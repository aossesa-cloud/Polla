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56974\Documents\Tablas\Nuevas\"/>
    </mc:Choice>
  </mc:AlternateContent>
  <xr:revisionPtr revIDLastSave="0" documentId="13_ncr:1_{327C724E-A9E6-4354-BD86-9D83C9704ACF}" xr6:coauthVersionLast="47" xr6:coauthVersionMax="47" xr10:uidLastSave="{00000000-0000-0000-0000-000000000000}"/>
  <bookViews>
    <workbookView xWindow="-98" yWindow="-98" windowWidth="22695" windowHeight="14476" tabRatio="720" activeTab="1" xr2:uid="{00000000-000D-0000-FFFF-FFFF00000000}"/>
  </bookViews>
  <sheets>
    <sheet name="STUD" sheetId="7" r:id="rId1"/>
    <sheet name="Lunes" sheetId="26" r:id="rId2"/>
    <sheet name="Martes" sheetId="55" r:id="rId3"/>
    <sheet name="Miercoles" sheetId="56" r:id="rId4"/>
    <sheet name="Jueves" sheetId="57" r:id="rId5"/>
    <sheet name="Viernes" sheetId="58" r:id="rId6"/>
    <sheet name="Sabado" sheetId="59" r:id="rId7"/>
    <sheet name="Domingo" sheetId="60" r:id="rId8"/>
    <sheet name="Programa" sheetId="53" r:id="rId9"/>
    <sheet name="Importacion" sheetId="61" r:id="rId10"/>
    <sheet name="Generar" sheetId="54" r:id="rId11"/>
  </sheets>
  <definedNames>
    <definedName name="_xlnm._FilterDatabase" localSheetId="7" hidden="1">Domingo!$D$4:$F$128</definedName>
    <definedName name="_xlnm._FilterDatabase" localSheetId="4" hidden="1">Jueves!$D$4:$E$128</definedName>
    <definedName name="_xlnm._FilterDatabase" localSheetId="1" hidden="1">Lunes!$AE$73:$AH$73</definedName>
    <definedName name="_xlnm._FilterDatabase" localSheetId="2" hidden="1">Martes!$D$4:$E$128</definedName>
    <definedName name="_xlnm._FilterDatabase" localSheetId="3" hidden="1">Miercoles!$D$4:$E$128</definedName>
    <definedName name="_xlnm._FilterDatabase" localSheetId="6" hidden="1">Sabado!$D$4:$F$128</definedName>
    <definedName name="_xlnm._FilterDatabase" localSheetId="5" hidden="1">Viernes!$D$4:$F$128</definedName>
    <definedName name="_xleta.COUNT" hidden="1" xlm="1">#NAME?</definedName>
    <definedName name="_xleta.OR" hidden="1" xlm="1">#NAME?</definedName>
    <definedName name="_xleta.SORT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0" i="26" l="1"/>
  <c r="AF113" i="26" l="1"/>
  <c r="AG113" i="26" s="1"/>
  <c r="AF112" i="26"/>
  <c r="AG112" i="26" s="1"/>
  <c r="AF99" i="26"/>
  <c r="AG99" i="26" s="1"/>
  <c r="AF91" i="26"/>
  <c r="AG91" i="26" s="1"/>
  <c r="AF94" i="26"/>
  <c r="AG94" i="26" s="1"/>
  <c r="AF78" i="26"/>
  <c r="AG78" i="26" s="1"/>
  <c r="AF76" i="26"/>
  <c r="AG76" i="26" s="1"/>
  <c r="AF104" i="26"/>
  <c r="AG104" i="26" s="1"/>
  <c r="AF80" i="26"/>
  <c r="AG80" i="26" s="1"/>
  <c r="AF90" i="26"/>
  <c r="AG90" i="26" s="1"/>
  <c r="AF102" i="26"/>
  <c r="AG102" i="26" s="1"/>
  <c r="AF79" i="26"/>
  <c r="AG79" i="26" s="1"/>
  <c r="B147" i="26"/>
  <c r="B145" i="26"/>
  <c r="B143" i="26"/>
  <c r="B141" i="26"/>
  <c r="B139" i="26"/>
  <c r="B137" i="26"/>
  <c r="B135" i="26"/>
  <c r="B133" i="26"/>
  <c r="F140" i="26"/>
  <c r="G140" i="26"/>
  <c r="H140" i="26"/>
  <c r="I140" i="26"/>
  <c r="J140" i="26"/>
  <c r="K140" i="26"/>
  <c r="L140" i="26"/>
  <c r="M140" i="26"/>
  <c r="N140" i="26"/>
  <c r="O140" i="26"/>
  <c r="P140" i="26"/>
  <c r="Q140" i="26"/>
  <c r="R140" i="26"/>
  <c r="S140" i="26"/>
  <c r="T140" i="26"/>
  <c r="U140" i="26"/>
  <c r="V140" i="26"/>
  <c r="W140" i="26"/>
  <c r="X140" i="26"/>
  <c r="Y140" i="26"/>
  <c r="Z140" i="26"/>
  <c r="E142" i="26"/>
  <c r="F142" i="26"/>
  <c r="G142" i="26"/>
  <c r="H142" i="26"/>
  <c r="I142" i="26"/>
  <c r="J142" i="26"/>
  <c r="K142" i="26"/>
  <c r="L142" i="26"/>
  <c r="M142" i="26"/>
  <c r="N142" i="26"/>
  <c r="O142" i="26"/>
  <c r="P142" i="26"/>
  <c r="Q142" i="26"/>
  <c r="R142" i="26"/>
  <c r="S142" i="26"/>
  <c r="T142" i="26"/>
  <c r="U142" i="26"/>
  <c r="V142" i="26"/>
  <c r="W142" i="26"/>
  <c r="X142" i="26"/>
  <c r="Y142" i="26"/>
  <c r="Z142" i="26"/>
  <c r="E144" i="26"/>
  <c r="F144" i="26"/>
  <c r="G144" i="26"/>
  <c r="H144" i="26"/>
  <c r="I144" i="26"/>
  <c r="J144" i="26"/>
  <c r="K144" i="26"/>
  <c r="L144" i="26"/>
  <c r="M144" i="26"/>
  <c r="N144" i="26"/>
  <c r="O144" i="26"/>
  <c r="P144" i="26"/>
  <c r="Q144" i="26"/>
  <c r="R144" i="26"/>
  <c r="S144" i="26"/>
  <c r="T144" i="26"/>
  <c r="U144" i="26"/>
  <c r="V144" i="26"/>
  <c r="W144" i="26"/>
  <c r="X144" i="26"/>
  <c r="Y144" i="26"/>
  <c r="Z144" i="26"/>
  <c r="D146" i="26"/>
  <c r="F146" i="26"/>
  <c r="G146" i="26"/>
  <c r="H146" i="26"/>
  <c r="I146" i="26"/>
  <c r="J146" i="26"/>
  <c r="K146" i="26"/>
  <c r="L146" i="26"/>
  <c r="M146" i="26"/>
  <c r="N146" i="26"/>
  <c r="O146" i="26"/>
  <c r="P146" i="26"/>
  <c r="Q146" i="26"/>
  <c r="R146" i="26"/>
  <c r="S146" i="26"/>
  <c r="T146" i="26"/>
  <c r="U146" i="26"/>
  <c r="V146" i="26"/>
  <c r="W146" i="26"/>
  <c r="X146" i="26"/>
  <c r="Y146" i="26"/>
  <c r="Z146" i="26"/>
  <c r="D148" i="26"/>
  <c r="E148" i="26"/>
  <c r="F148" i="26"/>
  <c r="G148" i="26"/>
  <c r="H148" i="26"/>
  <c r="I148" i="26"/>
  <c r="J148" i="26"/>
  <c r="K148" i="26"/>
  <c r="L148" i="26"/>
  <c r="M148" i="26"/>
  <c r="N148" i="26"/>
  <c r="O148" i="26"/>
  <c r="P148" i="26"/>
  <c r="Q148" i="26"/>
  <c r="R148" i="26"/>
  <c r="S148" i="26"/>
  <c r="T148" i="26"/>
  <c r="U148" i="26"/>
  <c r="V148" i="26"/>
  <c r="W148" i="26"/>
  <c r="X148" i="26"/>
  <c r="Y148" i="26"/>
  <c r="Z148" i="26"/>
  <c r="B149" i="26"/>
  <c r="D150" i="26"/>
  <c r="E150" i="26"/>
  <c r="B151" i="26"/>
  <c r="D152" i="26"/>
  <c r="E152" i="26"/>
  <c r="B153" i="26"/>
  <c r="D154" i="26"/>
  <c r="E154" i="26"/>
  <c r="B155" i="26"/>
  <c r="D156" i="26"/>
  <c r="E156" i="26"/>
  <c r="B157" i="26"/>
  <c r="D158" i="26"/>
  <c r="E158" i="26"/>
  <c r="B131" i="26"/>
  <c r="B129" i="26"/>
  <c r="E130" i="26"/>
  <c r="F130" i="26"/>
  <c r="G130" i="26"/>
  <c r="H130" i="26"/>
  <c r="I130" i="26"/>
  <c r="J130" i="26"/>
  <c r="K130" i="26"/>
  <c r="L130" i="26"/>
  <c r="M130" i="26"/>
  <c r="N130" i="26"/>
  <c r="O130" i="26"/>
  <c r="P130" i="26"/>
  <c r="Q130" i="26"/>
  <c r="R130" i="26"/>
  <c r="S130" i="26"/>
  <c r="T130" i="26"/>
  <c r="U130" i="26"/>
  <c r="V130" i="26"/>
  <c r="W130" i="26"/>
  <c r="X130" i="26"/>
  <c r="Y130" i="26"/>
  <c r="Z130" i="26"/>
  <c r="D132" i="26"/>
  <c r="E132" i="26"/>
  <c r="F132" i="26"/>
  <c r="G132" i="26"/>
  <c r="H132" i="26"/>
  <c r="I132" i="26"/>
  <c r="J132" i="26"/>
  <c r="K132" i="26"/>
  <c r="L132" i="26"/>
  <c r="M132" i="26"/>
  <c r="N132" i="26"/>
  <c r="O132" i="26"/>
  <c r="P132" i="26"/>
  <c r="Q132" i="26"/>
  <c r="R132" i="26"/>
  <c r="S132" i="26"/>
  <c r="T132" i="26"/>
  <c r="U132" i="26"/>
  <c r="V132" i="26"/>
  <c r="W132" i="26"/>
  <c r="X132" i="26"/>
  <c r="Y132" i="26"/>
  <c r="Z132" i="26"/>
  <c r="D134" i="26"/>
  <c r="F134" i="26"/>
  <c r="G134" i="26"/>
  <c r="H134" i="26"/>
  <c r="I134" i="26"/>
  <c r="J134" i="26"/>
  <c r="K134" i="26"/>
  <c r="L134" i="26"/>
  <c r="M134" i="26"/>
  <c r="N134" i="26"/>
  <c r="O134" i="26"/>
  <c r="P134" i="26"/>
  <c r="Q134" i="26"/>
  <c r="R134" i="26"/>
  <c r="S134" i="26"/>
  <c r="T134" i="26"/>
  <c r="U134" i="26"/>
  <c r="V134" i="26"/>
  <c r="W134" i="26"/>
  <c r="X134" i="26"/>
  <c r="Y134" i="26"/>
  <c r="Z134" i="26"/>
  <c r="F136" i="26"/>
  <c r="G136" i="26"/>
  <c r="H136" i="26"/>
  <c r="I136" i="26"/>
  <c r="J136" i="26"/>
  <c r="K136" i="26"/>
  <c r="L136" i="26"/>
  <c r="M136" i="26"/>
  <c r="N136" i="26"/>
  <c r="O136" i="26"/>
  <c r="P136" i="26"/>
  <c r="Q136" i="26"/>
  <c r="R136" i="26"/>
  <c r="S136" i="26"/>
  <c r="T136" i="26"/>
  <c r="U136" i="26"/>
  <c r="V136" i="26"/>
  <c r="W136" i="26"/>
  <c r="X136" i="26"/>
  <c r="Y136" i="26"/>
  <c r="Z136" i="26"/>
  <c r="D138" i="26"/>
  <c r="E138" i="26"/>
  <c r="F138" i="26"/>
  <c r="G138" i="26"/>
  <c r="H138" i="26"/>
  <c r="I138" i="26"/>
  <c r="J138" i="26"/>
  <c r="K138" i="26"/>
  <c r="L138" i="26"/>
  <c r="M138" i="26"/>
  <c r="N138" i="26"/>
  <c r="O138" i="26"/>
  <c r="P138" i="26"/>
  <c r="Q138" i="26"/>
  <c r="R138" i="26"/>
  <c r="S138" i="26"/>
  <c r="T138" i="26"/>
  <c r="U138" i="26"/>
  <c r="V138" i="26"/>
  <c r="W138" i="26"/>
  <c r="X138" i="26"/>
  <c r="Y138" i="26"/>
  <c r="Z138" i="26"/>
  <c r="C147" i="26" l="1"/>
  <c r="AF76" i="56" l="1"/>
  <c r="AF91" i="56"/>
  <c r="AF92" i="56"/>
  <c r="AF75" i="56"/>
  <c r="Y167" i="26" l="1"/>
  <c r="Y166" i="26" s="1"/>
  <c r="Z167" i="26"/>
  <c r="Z166" i="26" s="1"/>
  <c r="AA167" i="26"/>
  <c r="AA166" i="26" s="1"/>
  <c r="Y173" i="26"/>
  <c r="Y172" i="26" s="1"/>
  <c r="Z173" i="26"/>
  <c r="Z172" i="26" s="1"/>
  <c r="AA173" i="26"/>
  <c r="AA172" i="26" s="1"/>
  <c r="Y178" i="26"/>
  <c r="Y177" i="26" s="1"/>
  <c r="Z178" i="26"/>
  <c r="Z177" i="26" s="1"/>
  <c r="AA178" i="26"/>
  <c r="AA177" i="26" s="1"/>
  <c r="AA134" i="26" l="1"/>
  <c r="AA130" i="26"/>
  <c r="AA132" i="26"/>
  <c r="C131" i="26" s="1"/>
  <c r="AA136" i="26"/>
  <c r="AA138" i="26"/>
  <c r="C137" i="26" s="1"/>
  <c r="Z150" i="26"/>
  <c r="Z152" i="26"/>
  <c r="Z154" i="26"/>
  <c r="Z156" i="26"/>
  <c r="Z158" i="26"/>
  <c r="Y154" i="26"/>
  <c r="Y156" i="26"/>
  <c r="Y152" i="26"/>
  <c r="Y150" i="26"/>
  <c r="Y158" i="26"/>
  <c r="AF75" i="60"/>
  <c r="AF86" i="60"/>
  <c r="AF83" i="60"/>
  <c r="AF88" i="60"/>
  <c r="AF81" i="60"/>
  <c r="AF77" i="60"/>
  <c r="AF85" i="60"/>
  <c r="AF89" i="60"/>
  <c r="AF79" i="60"/>
  <c r="AF78" i="60"/>
  <c r="AF80" i="60"/>
  <c r="AF82" i="60"/>
  <c r="AF76" i="60"/>
  <c r="AF87" i="60"/>
  <c r="AF90" i="60"/>
  <c r="AF91" i="60"/>
  <c r="AF92" i="60"/>
  <c r="AF93" i="60"/>
  <c r="AF94" i="60"/>
  <c r="AF95" i="60"/>
  <c r="AF96" i="60"/>
  <c r="AF97" i="60"/>
  <c r="AF98" i="60"/>
  <c r="AF99" i="60"/>
  <c r="AF100" i="60"/>
  <c r="AF101" i="60"/>
  <c r="AF84" i="60"/>
  <c r="AF89" i="59"/>
  <c r="AF75" i="59"/>
  <c r="AF76" i="59"/>
  <c r="AF78" i="59"/>
  <c r="AF81" i="59"/>
  <c r="AF87" i="59"/>
  <c r="AF80" i="59"/>
  <c r="AF82" i="59"/>
  <c r="AF86" i="59"/>
  <c r="AF84" i="59"/>
  <c r="AF79" i="59"/>
  <c r="AF88" i="59"/>
  <c r="AF74" i="59"/>
  <c r="AF85" i="59"/>
  <c r="AF91" i="59"/>
  <c r="AF92" i="59"/>
  <c r="AF93" i="59"/>
  <c r="AF90" i="59"/>
  <c r="AF94" i="59"/>
  <c r="AF95" i="59"/>
  <c r="AF97" i="59"/>
  <c r="AF96" i="59"/>
  <c r="AF98" i="59"/>
  <c r="AF99" i="59"/>
  <c r="AF100" i="59"/>
  <c r="AF101" i="59"/>
  <c r="AF83" i="59"/>
  <c r="AF77" i="59"/>
  <c r="AF79" i="58"/>
  <c r="AF78" i="58"/>
  <c r="AF76" i="58"/>
  <c r="AF83" i="58"/>
  <c r="AF89" i="58"/>
  <c r="AF84" i="58"/>
  <c r="AF74" i="58"/>
  <c r="AF86" i="58"/>
  <c r="AF75" i="58"/>
  <c r="AF80" i="58"/>
  <c r="AF90" i="58"/>
  <c r="AF91" i="58"/>
  <c r="AF81" i="58"/>
  <c r="AF88" i="58"/>
  <c r="AF85" i="58"/>
  <c r="AF82" i="58"/>
  <c r="AF93" i="58"/>
  <c r="AF92" i="58"/>
  <c r="AF94" i="58"/>
  <c r="AF95" i="58"/>
  <c r="AF96" i="58"/>
  <c r="AF97" i="58"/>
  <c r="AF98" i="58"/>
  <c r="AF99" i="58"/>
  <c r="AF100" i="58"/>
  <c r="AF101" i="58"/>
  <c r="AF87" i="58"/>
  <c r="AF77" i="58"/>
  <c r="AF91" i="57"/>
  <c r="AF77" i="57"/>
  <c r="AF76" i="57"/>
  <c r="AF81" i="57"/>
  <c r="AF85" i="57"/>
  <c r="AF82" i="57"/>
  <c r="AF84" i="57"/>
  <c r="AF88" i="57"/>
  <c r="AF86" i="57"/>
  <c r="AF83" i="57"/>
  <c r="AF74" i="57"/>
  <c r="AF90" i="57"/>
  <c r="AF79" i="57"/>
  <c r="AF92" i="57"/>
  <c r="AF89" i="57"/>
  <c r="AF80" i="57"/>
  <c r="AF78" i="57"/>
  <c r="AF93" i="57"/>
  <c r="AF94" i="57"/>
  <c r="AF97" i="57"/>
  <c r="AF96" i="57"/>
  <c r="AF95" i="57"/>
  <c r="AF98" i="57"/>
  <c r="AF99" i="57"/>
  <c r="AF100" i="57"/>
  <c r="AF101" i="57"/>
  <c r="AF75" i="57"/>
  <c r="AF87" i="57"/>
  <c r="BC6" i="60" l="1"/>
  <c r="BC7" i="60"/>
  <c r="BC8" i="60"/>
  <c r="BC9" i="60"/>
  <c r="BC10" i="60"/>
  <c r="BC11" i="60"/>
  <c r="BC12" i="60"/>
  <c r="BC13" i="60"/>
  <c r="BC14" i="60"/>
  <c r="BC15" i="60"/>
  <c r="BC16" i="60"/>
  <c r="BC17" i="60"/>
  <c r="BC18" i="60"/>
  <c r="BC19" i="60"/>
  <c r="BC20" i="60"/>
  <c r="BC21" i="60"/>
  <c r="BC22" i="60"/>
  <c r="BC23" i="60"/>
  <c r="BC24" i="60"/>
  <c r="BC25" i="60"/>
  <c r="BC26" i="60"/>
  <c r="BC27" i="60"/>
  <c r="BC28" i="60"/>
  <c r="BC29" i="60"/>
  <c r="BC30" i="60"/>
  <c r="BC31" i="60"/>
  <c r="BC5" i="60"/>
  <c r="BC4" i="60"/>
  <c r="B127" i="60"/>
  <c r="B125" i="60"/>
  <c r="B123" i="60"/>
  <c r="B121" i="60"/>
  <c r="B119" i="60"/>
  <c r="B117" i="60"/>
  <c r="B115" i="60"/>
  <c r="B113" i="60"/>
  <c r="B111" i="60"/>
  <c r="B109" i="60"/>
  <c r="B107" i="60"/>
  <c r="B105" i="60"/>
  <c r="B103" i="60"/>
  <c r="B101" i="60"/>
  <c r="B99" i="60"/>
  <c r="B97" i="60"/>
  <c r="B95" i="60"/>
  <c r="B93" i="60"/>
  <c r="B91" i="60"/>
  <c r="B89" i="60"/>
  <c r="B87" i="60"/>
  <c r="B85" i="60"/>
  <c r="B83" i="60"/>
  <c r="B81" i="60"/>
  <c r="B79" i="60"/>
  <c r="B77" i="60"/>
  <c r="B75" i="60"/>
  <c r="B73" i="60"/>
  <c r="AF74" i="60"/>
  <c r="Z148" i="60"/>
  <c r="Z147" i="60" s="1"/>
  <c r="Y148" i="60"/>
  <c r="X148" i="60"/>
  <c r="X147" i="60" s="1"/>
  <c r="W148" i="60"/>
  <c r="W147" i="60" s="1"/>
  <c r="V148" i="60"/>
  <c r="V147" i="60" s="1"/>
  <c r="U148" i="60"/>
  <c r="U147" i="60" s="1"/>
  <c r="T148" i="60"/>
  <c r="T147" i="60" s="1"/>
  <c r="S148" i="60"/>
  <c r="R148" i="60"/>
  <c r="R147" i="60" s="1"/>
  <c r="Q148" i="60"/>
  <c r="P148" i="60"/>
  <c r="P147" i="60" s="1"/>
  <c r="O148" i="60"/>
  <c r="O147" i="60" s="1"/>
  <c r="N148" i="60"/>
  <c r="M148" i="60"/>
  <c r="M147" i="60" s="1"/>
  <c r="L148" i="60"/>
  <c r="L147" i="60" s="1"/>
  <c r="K148" i="60"/>
  <c r="J148" i="60"/>
  <c r="J147" i="60" s="1"/>
  <c r="I148" i="60"/>
  <c r="H148" i="60"/>
  <c r="H147" i="60" s="1"/>
  <c r="G148" i="60"/>
  <c r="G147" i="60" s="1"/>
  <c r="F148" i="60"/>
  <c r="F147" i="60" s="1"/>
  <c r="E148" i="60"/>
  <c r="E147" i="60" s="1"/>
  <c r="D148" i="60"/>
  <c r="D147" i="60" s="1"/>
  <c r="AB147" i="60"/>
  <c r="AA147" i="60"/>
  <c r="Y147" i="60"/>
  <c r="S147" i="60"/>
  <c r="Q147" i="60"/>
  <c r="N147" i="60"/>
  <c r="K147" i="60"/>
  <c r="I147" i="60"/>
  <c r="Z143" i="60"/>
  <c r="Z142" i="60" s="1"/>
  <c r="Y143" i="60"/>
  <c r="X143" i="60"/>
  <c r="X142" i="60" s="1"/>
  <c r="W143" i="60"/>
  <c r="W142" i="60" s="1"/>
  <c r="V143" i="60"/>
  <c r="V142" i="60" s="1"/>
  <c r="U143" i="60"/>
  <c r="U142" i="60" s="1"/>
  <c r="T143" i="60"/>
  <c r="T142" i="60" s="1"/>
  <c r="S143" i="60"/>
  <c r="S142" i="60" s="1"/>
  <c r="R143" i="60"/>
  <c r="R142" i="60" s="1"/>
  <c r="Q143" i="60"/>
  <c r="Q142" i="60" s="1"/>
  <c r="P143" i="60"/>
  <c r="P142" i="60" s="1"/>
  <c r="O143" i="60"/>
  <c r="O142" i="60" s="1"/>
  <c r="N143" i="60"/>
  <c r="N142" i="60" s="1"/>
  <c r="M143" i="60"/>
  <c r="M142" i="60" s="1"/>
  <c r="L143" i="60"/>
  <c r="L142" i="60" s="1"/>
  <c r="K143" i="60"/>
  <c r="J143" i="60"/>
  <c r="J142" i="60" s="1"/>
  <c r="I143" i="60"/>
  <c r="I142" i="60" s="1"/>
  <c r="H143" i="60"/>
  <c r="H142" i="60" s="1"/>
  <c r="H94" i="60" s="1"/>
  <c r="G143" i="60"/>
  <c r="G142" i="60" s="1"/>
  <c r="G12" i="60" s="1"/>
  <c r="F143" i="60"/>
  <c r="F142" i="60" s="1"/>
  <c r="E143" i="60"/>
  <c r="E142" i="60" s="1"/>
  <c r="D143" i="60"/>
  <c r="D142" i="60" s="1"/>
  <c r="AB142" i="60"/>
  <c r="AA142" i="60"/>
  <c r="Y142" i="60"/>
  <c r="K142" i="60"/>
  <c r="AC137" i="60"/>
  <c r="AC136" i="60" s="1"/>
  <c r="AB137" i="60"/>
  <c r="AA137" i="60"/>
  <c r="AA136" i="60" s="1"/>
  <c r="AA80" i="60" s="1"/>
  <c r="Z137" i="60"/>
  <c r="Z136" i="60" s="1"/>
  <c r="Y137" i="60"/>
  <c r="Y136" i="60" s="1"/>
  <c r="X137" i="60"/>
  <c r="X136" i="60" s="1"/>
  <c r="X108" i="60" s="1"/>
  <c r="W137" i="60"/>
  <c r="W136" i="60" s="1"/>
  <c r="W92" i="60" s="1"/>
  <c r="V137" i="60"/>
  <c r="V136" i="60" s="1"/>
  <c r="U137" i="60"/>
  <c r="U136" i="60" s="1"/>
  <c r="U28" i="60" s="1"/>
  <c r="T137" i="60"/>
  <c r="T136" i="60" s="1"/>
  <c r="S137" i="60"/>
  <c r="S136" i="60" s="1"/>
  <c r="S110" i="60" s="1"/>
  <c r="R137" i="60"/>
  <c r="R136" i="60" s="1"/>
  <c r="R76" i="60" s="1"/>
  <c r="Q137" i="60"/>
  <c r="Q136" i="60" s="1"/>
  <c r="Q96" i="60" s="1"/>
  <c r="P137" i="60"/>
  <c r="P136" i="60" s="1"/>
  <c r="O137" i="60"/>
  <c r="O136" i="60" s="1"/>
  <c r="O82" i="60" s="1"/>
  <c r="N137" i="60"/>
  <c r="N136" i="60" s="1"/>
  <c r="N34" i="60" s="1"/>
  <c r="M137" i="60"/>
  <c r="M136" i="60" s="1"/>
  <c r="M28" i="60" s="1"/>
  <c r="L137" i="60"/>
  <c r="L136" i="60" s="1"/>
  <c r="L36" i="60" s="1"/>
  <c r="K137" i="60"/>
  <c r="K136" i="60" s="1"/>
  <c r="K92" i="60" s="1"/>
  <c r="J137" i="60"/>
  <c r="J136" i="60" s="1"/>
  <c r="I137" i="60"/>
  <c r="I136" i="60" s="1"/>
  <c r="I56" i="60" s="1"/>
  <c r="H137" i="60"/>
  <c r="H136" i="60" s="1"/>
  <c r="H42" i="60" s="1"/>
  <c r="G137" i="60"/>
  <c r="G136" i="60" s="1"/>
  <c r="G92" i="60" s="1"/>
  <c r="F137" i="60"/>
  <c r="F136" i="60" s="1"/>
  <c r="F116" i="60" s="1"/>
  <c r="E137" i="60"/>
  <c r="E136" i="60" s="1"/>
  <c r="E50" i="60" s="1"/>
  <c r="D137" i="60"/>
  <c r="D136" i="60" s="1"/>
  <c r="AB136" i="60"/>
  <c r="AB112" i="60" s="1"/>
  <c r="I122" i="60"/>
  <c r="I108" i="60"/>
  <c r="Q104" i="60"/>
  <c r="F104" i="60"/>
  <c r="AF103" i="60"/>
  <c r="AH103" i="60" s="1"/>
  <c r="Q100" i="60"/>
  <c r="O92" i="60"/>
  <c r="F88" i="60"/>
  <c r="W84" i="60"/>
  <c r="O84" i="60"/>
  <c r="G84" i="60"/>
  <c r="G82" i="60"/>
  <c r="W76" i="60"/>
  <c r="G76" i="60"/>
  <c r="A75" i="60"/>
  <c r="A77" i="60" s="1"/>
  <c r="A79" i="60" s="1"/>
  <c r="A81" i="60" s="1"/>
  <c r="A83" i="60" s="1"/>
  <c r="A85" i="60" s="1"/>
  <c r="A87" i="60" s="1"/>
  <c r="A89" i="60" s="1"/>
  <c r="A91" i="60" s="1"/>
  <c r="A93" i="60" s="1"/>
  <c r="A95" i="60" s="1"/>
  <c r="A97" i="60" s="1"/>
  <c r="A99" i="60" s="1"/>
  <c r="A101" i="60" s="1"/>
  <c r="A103" i="60" s="1"/>
  <c r="A105" i="60" s="1"/>
  <c r="A107" i="60" s="1"/>
  <c r="A109" i="60" s="1"/>
  <c r="A111" i="60" s="1"/>
  <c r="A113" i="60" s="1"/>
  <c r="A115" i="60" s="1"/>
  <c r="A117" i="60" s="1"/>
  <c r="A119" i="60" s="1"/>
  <c r="A121" i="60" s="1"/>
  <c r="A123" i="60" s="1"/>
  <c r="A125" i="60" s="1"/>
  <c r="A127" i="60" s="1"/>
  <c r="W74" i="60"/>
  <c r="P74" i="60"/>
  <c r="O74" i="60"/>
  <c r="G74" i="60"/>
  <c r="AM73" i="60"/>
  <c r="AK73" i="60"/>
  <c r="AI73" i="60"/>
  <c r="W68" i="60"/>
  <c r="O68" i="60"/>
  <c r="G68" i="60"/>
  <c r="B67" i="60"/>
  <c r="W66" i="60"/>
  <c r="O66" i="60"/>
  <c r="G66" i="60"/>
  <c r="F66" i="60"/>
  <c r="B65" i="60"/>
  <c r="W64" i="60"/>
  <c r="O64" i="60"/>
  <c r="G64" i="60"/>
  <c r="B63" i="60"/>
  <c r="W62" i="60"/>
  <c r="O62" i="60"/>
  <c r="K62" i="60"/>
  <c r="G62" i="60"/>
  <c r="B61" i="60"/>
  <c r="W60" i="60"/>
  <c r="O60" i="60"/>
  <c r="G60" i="60"/>
  <c r="F60" i="60"/>
  <c r="B59" i="60"/>
  <c r="W58" i="60"/>
  <c r="O58" i="60"/>
  <c r="G58" i="60"/>
  <c r="B57" i="60"/>
  <c r="W56" i="60"/>
  <c r="Q56" i="60"/>
  <c r="O56" i="60"/>
  <c r="H56" i="60"/>
  <c r="G56" i="60"/>
  <c r="B55" i="60"/>
  <c r="W54" i="60"/>
  <c r="R54" i="60"/>
  <c r="Q54" i="60"/>
  <c r="O54" i="60"/>
  <c r="G54" i="60"/>
  <c r="B53" i="60"/>
  <c r="W52" i="60"/>
  <c r="O52" i="60"/>
  <c r="G52" i="60"/>
  <c r="B51" i="60"/>
  <c r="W50" i="60"/>
  <c r="O50" i="60"/>
  <c r="G50" i="60"/>
  <c r="B49" i="60"/>
  <c r="W48" i="60"/>
  <c r="O48" i="60"/>
  <c r="G48" i="60"/>
  <c r="B47" i="60"/>
  <c r="W46" i="60"/>
  <c r="O46" i="60"/>
  <c r="G46" i="60"/>
  <c r="B45" i="60"/>
  <c r="W44" i="60"/>
  <c r="O44" i="60"/>
  <c r="G44" i="60"/>
  <c r="F44" i="60"/>
  <c r="B43" i="60"/>
  <c r="W42" i="60"/>
  <c r="O42" i="60"/>
  <c r="G42" i="60"/>
  <c r="B41" i="60"/>
  <c r="W40" i="60"/>
  <c r="O40" i="60"/>
  <c r="I40" i="60"/>
  <c r="G40" i="60"/>
  <c r="B39" i="60"/>
  <c r="W38" i="60"/>
  <c r="O38" i="60"/>
  <c r="G38" i="60"/>
  <c r="B37" i="60"/>
  <c r="W36" i="60"/>
  <c r="O36" i="60"/>
  <c r="G36" i="60"/>
  <c r="B35" i="60"/>
  <c r="W34" i="60"/>
  <c r="R34" i="60"/>
  <c r="Q34" i="60"/>
  <c r="P34" i="60"/>
  <c r="O34" i="60"/>
  <c r="J34" i="60"/>
  <c r="H34" i="60"/>
  <c r="G34" i="60"/>
  <c r="F34" i="60"/>
  <c r="AF33" i="60"/>
  <c r="AH33" i="60" s="1"/>
  <c r="B33" i="60"/>
  <c r="X32" i="60"/>
  <c r="W32" i="60"/>
  <c r="R32" i="60"/>
  <c r="Q32" i="60"/>
  <c r="P32" i="60"/>
  <c r="O32" i="60"/>
  <c r="J32" i="60"/>
  <c r="H32" i="60"/>
  <c r="G32" i="60"/>
  <c r="F32" i="60"/>
  <c r="AQ31" i="60"/>
  <c r="AF31" i="60"/>
  <c r="B31" i="60"/>
  <c r="AQ30" i="60"/>
  <c r="AF30" i="60"/>
  <c r="W30" i="60"/>
  <c r="R30" i="60"/>
  <c r="Q30" i="60"/>
  <c r="P30" i="60"/>
  <c r="O30" i="60"/>
  <c r="N30" i="60"/>
  <c r="J30" i="60"/>
  <c r="I30" i="60"/>
  <c r="H30" i="60"/>
  <c r="G30" i="60"/>
  <c r="AQ29" i="60"/>
  <c r="AF29" i="60"/>
  <c r="B29" i="60"/>
  <c r="AQ28" i="60"/>
  <c r="AF28" i="60"/>
  <c r="W28" i="60"/>
  <c r="R28" i="60"/>
  <c r="Q28" i="60"/>
  <c r="P28" i="60"/>
  <c r="O28" i="60"/>
  <c r="N28" i="60"/>
  <c r="J28" i="60"/>
  <c r="H28" i="60"/>
  <c r="G28" i="60"/>
  <c r="AQ27" i="60"/>
  <c r="AF27" i="60"/>
  <c r="B27" i="60"/>
  <c r="AQ26" i="60"/>
  <c r="AF26" i="60"/>
  <c r="W26" i="60"/>
  <c r="R26" i="60"/>
  <c r="Q26" i="60"/>
  <c r="P26" i="60"/>
  <c r="O26" i="60"/>
  <c r="N26" i="60"/>
  <c r="J26" i="60"/>
  <c r="H26" i="60"/>
  <c r="G26" i="60"/>
  <c r="F26" i="60"/>
  <c r="AQ25" i="60"/>
  <c r="AF25" i="60"/>
  <c r="B25" i="60"/>
  <c r="AQ24" i="60"/>
  <c r="AF24" i="60"/>
  <c r="W24" i="60"/>
  <c r="R24" i="60"/>
  <c r="Q24" i="60"/>
  <c r="P24" i="60"/>
  <c r="O24" i="60"/>
  <c r="J24" i="60"/>
  <c r="H24" i="60"/>
  <c r="G24" i="60"/>
  <c r="F24" i="60"/>
  <c r="AQ23" i="60"/>
  <c r="AF23" i="60"/>
  <c r="B23" i="60"/>
  <c r="AQ22" i="60"/>
  <c r="AF22" i="60"/>
  <c r="W22" i="60"/>
  <c r="R22" i="60"/>
  <c r="Q22" i="60"/>
  <c r="P22" i="60"/>
  <c r="O22" i="60"/>
  <c r="N22" i="60"/>
  <c r="J22" i="60"/>
  <c r="I22" i="60"/>
  <c r="H22" i="60"/>
  <c r="G22" i="60"/>
  <c r="F22" i="60"/>
  <c r="AQ21" i="60"/>
  <c r="AF21" i="60"/>
  <c r="B21" i="60"/>
  <c r="AQ20" i="60"/>
  <c r="AF20" i="60"/>
  <c r="W20" i="60"/>
  <c r="R20" i="60"/>
  <c r="Q20" i="60"/>
  <c r="P20" i="60"/>
  <c r="O20" i="60"/>
  <c r="J20" i="60"/>
  <c r="I20" i="60"/>
  <c r="H20" i="60"/>
  <c r="G20" i="60"/>
  <c r="AQ19" i="60"/>
  <c r="AF19" i="60"/>
  <c r="B19" i="60"/>
  <c r="AQ18" i="60"/>
  <c r="AF18" i="60"/>
  <c r="W18" i="60"/>
  <c r="R18" i="60"/>
  <c r="P18" i="60"/>
  <c r="N18" i="60"/>
  <c r="L18" i="60"/>
  <c r="J18" i="60"/>
  <c r="H18" i="60"/>
  <c r="G18" i="60"/>
  <c r="AQ17" i="60"/>
  <c r="AF17" i="60"/>
  <c r="B17" i="60"/>
  <c r="AQ16" i="60"/>
  <c r="AF16" i="60"/>
  <c r="W16" i="60"/>
  <c r="R16" i="60"/>
  <c r="Q16" i="60"/>
  <c r="P16" i="60"/>
  <c r="O16" i="60"/>
  <c r="J16" i="60"/>
  <c r="H16" i="60"/>
  <c r="G16" i="60"/>
  <c r="AQ15" i="60"/>
  <c r="AF15" i="60"/>
  <c r="B15" i="60"/>
  <c r="AQ14" i="60"/>
  <c r="AF11" i="60"/>
  <c r="W14" i="60"/>
  <c r="R14" i="60"/>
  <c r="Q14" i="60"/>
  <c r="P14" i="60"/>
  <c r="O14" i="60"/>
  <c r="J14" i="60"/>
  <c r="H14" i="60"/>
  <c r="G14" i="60"/>
  <c r="AQ12" i="60"/>
  <c r="AF14" i="60"/>
  <c r="B13" i="60"/>
  <c r="AQ11" i="60"/>
  <c r="AF12" i="60"/>
  <c r="W12" i="60"/>
  <c r="U12" i="60"/>
  <c r="R12" i="60"/>
  <c r="Q12" i="60"/>
  <c r="P12" i="60"/>
  <c r="O12" i="60"/>
  <c r="J12" i="60"/>
  <c r="I12" i="60"/>
  <c r="H12" i="60"/>
  <c r="F12" i="60"/>
  <c r="AQ13" i="60"/>
  <c r="AF13" i="60"/>
  <c r="B11" i="60"/>
  <c r="AQ6" i="60"/>
  <c r="AF7" i="60"/>
  <c r="X10" i="60"/>
  <c r="W10" i="60"/>
  <c r="R10" i="60"/>
  <c r="Q10" i="60"/>
  <c r="P10" i="60"/>
  <c r="O10" i="60"/>
  <c r="N10" i="60"/>
  <c r="J10" i="60"/>
  <c r="I10" i="60"/>
  <c r="H10" i="60"/>
  <c r="G10" i="60"/>
  <c r="AQ10" i="60"/>
  <c r="AF8" i="60"/>
  <c r="B9" i="60"/>
  <c r="AQ7" i="60"/>
  <c r="AF10" i="60"/>
  <c r="W8" i="60"/>
  <c r="R8" i="60"/>
  <c r="P8" i="60"/>
  <c r="O8" i="60"/>
  <c r="N8" i="60"/>
  <c r="L8" i="60"/>
  <c r="K8" i="60"/>
  <c r="J8" i="60"/>
  <c r="I8" i="60"/>
  <c r="H8" i="60"/>
  <c r="G8" i="60"/>
  <c r="F8" i="60"/>
  <c r="AQ8" i="60"/>
  <c r="AF5" i="60"/>
  <c r="B7" i="60"/>
  <c r="A7" i="60"/>
  <c r="A9" i="60" s="1"/>
  <c r="A11" i="60" s="1"/>
  <c r="A13" i="60" s="1"/>
  <c r="A15" i="60" s="1"/>
  <c r="A17" i="60" s="1"/>
  <c r="A19" i="60" s="1"/>
  <c r="A21" i="60" s="1"/>
  <c r="A23" i="60" s="1"/>
  <c r="A25" i="60" s="1"/>
  <c r="A27" i="60" s="1"/>
  <c r="A29" i="60" s="1"/>
  <c r="A31" i="60" s="1"/>
  <c r="A33" i="60" s="1"/>
  <c r="A35" i="60" s="1"/>
  <c r="A37" i="60" s="1"/>
  <c r="A39" i="60" s="1"/>
  <c r="A41" i="60" s="1"/>
  <c r="A43" i="60" s="1"/>
  <c r="A45" i="60" s="1"/>
  <c r="A47" i="60" s="1"/>
  <c r="A49" i="60" s="1"/>
  <c r="A51" i="60" s="1"/>
  <c r="A53" i="60" s="1"/>
  <c r="A55" i="60" s="1"/>
  <c r="A57" i="60" s="1"/>
  <c r="A59" i="60" s="1"/>
  <c r="A61" i="60" s="1"/>
  <c r="A63" i="60" s="1"/>
  <c r="A65" i="60" s="1"/>
  <c r="A67" i="60" s="1"/>
  <c r="AQ9" i="60"/>
  <c r="AF9" i="60"/>
  <c r="X6" i="60"/>
  <c r="W6" i="60"/>
  <c r="R6" i="60"/>
  <c r="Q6" i="60"/>
  <c r="P6" i="60"/>
  <c r="O6" i="60"/>
  <c r="N6" i="60"/>
  <c r="J6" i="60"/>
  <c r="I6" i="60"/>
  <c r="H6" i="60"/>
  <c r="G6" i="60"/>
  <c r="F6" i="60"/>
  <c r="AQ5" i="60"/>
  <c r="AF4" i="60"/>
  <c r="B5" i="60"/>
  <c r="AQ4" i="60"/>
  <c r="AF6" i="60"/>
  <c r="AM3" i="60"/>
  <c r="AK3" i="60"/>
  <c r="AI3" i="60"/>
  <c r="B127" i="59"/>
  <c r="B125" i="59"/>
  <c r="B123" i="59"/>
  <c r="B121" i="59"/>
  <c r="B119" i="59"/>
  <c r="B117" i="59"/>
  <c r="B115" i="59"/>
  <c r="B113" i="59"/>
  <c r="B111" i="59"/>
  <c r="B109" i="59"/>
  <c r="B107" i="59"/>
  <c r="B105" i="59"/>
  <c r="B103" i="59"/>
  <c r="B101" i="59"/>
  <c r="B99" i="59"/>
  <c r="B97" i="59"/>
  <c r="B95" i="59"/>
  <c r="B93" i="59"/>
  <c r="B91" i="59"/>
  <c r="B89" i="59"/>
  <c r="B87" i="59"/>
  <c r="B85" i="59"/>
  <c r="B83" i="59"/>
  <c r="B81" i="59"/>
  <c r="B79" i="59"/>
  <c r="B77" i="59"/>
  <c r="B75" i="59"/>
  <c r="B73" i="59"/>
  <c r="Z148" i="59"/>
  <c r="Y148" i="59"/>
  <c r="Y147" i="59" s="1"/>
  <c r="X148" i="59"/>
  <c r="X147" i="59" s="1"/>
  <c r="W148" i="59"/>
  <c r="W147" i="59" s="1"/>
  <c r="V148" i="59"/>
  <c r="V147" i="59" s="1"/>
  <c r="U148" i="59"/>
  <c r="U147" i="59" s="1"/>
  <c r="T148" i="59"/>
  <c r="T147" i="59" s="1"/>
  <c r="S148" i="59"/>
  <c r="S147" i="59" s="1"/>
  <c r="R148" i="59"/>
  <c r="R147" i="59" s="1"/>
  <c r="Q148" i="59"/>
  <c r="Q147" i="59" s="1"/>
  <c r="P148" i="59"/>
  <c r="P147" i="59" s="1"/>
  <c r="O148" i="59"/>
  <c r="O147" i="59" s="1"/>
  <c r="N148" i="59"/>
  <c r="N147" i="59" s="1"/>
  <c r="M148" i="59"/>
  <c r="M147" i="59" s="1"/>
  <c r="L148" i="59"/>
  <c r="L147" i="59" s="1"/>
  <c r="K148" i="59"/>
  <c r="K147" i="59" s="1"/>
  <c r="J148" i="59"/>
  <c r="I148" i="59"/>
  <c r="I147" i="59" s="1"/>
  <c r="H148" i="59"/>
  <c r="H147" i="59" s="1"/>
  <c r="G148" i="59"/>
  <c r="G147" i="59" s="1"/>
  <c r="F148" i="59"/>
  <c r="F147" i="59" s="1"/>
  <c r="E148" i="59"/>
  <c r="E147" i="59" s="1"/>
  <c r="D148" i="59"/>
  <c r="D147" i="59" s="1"/>
  <c r="AB147" i="59"/>
  <c r="AA147" i="59"/>
  <c r="Z147" i="59"/>
  <c r="J147" i="59"/>
  <c r="Z143" i="59"/>
  <c r="Z142" i="59" s="1"/>
  <c r="Y143" i="59"/>
  <c r="X143" i="59"/>
  <c r="X142" i="59" s="1"/>
  <c r="W143" i="59"/>
  <c r="W142" i="59" s="1"/>
  <c r="V143" i="59"/>
  <c r="V142" i="59" s="1"/>
  <c r="U143" i="59"/>
  <c r="U142" i="59" s="1"/>
  <c r="T143" i="59"/>
  <c r="T142" i="59" s="1"/>
  <c r="S143" i="59"/>
  <c r="S142" i="59" s="1"/>
  <c r="S20" i="59" s="1"/>
  <c r="R143" i="59"/>
  <c r="R142" i="59" s="1"/>
  <c r="Q143" i="59"/>
  <c r="Q142" i="59" s="1"/>
  <c r="P143" i="59"/>
  <c r="P142" i="59" s="1"/>
  <c r="O143" i="59"/>
  <c r="O142" i="59" s="1"/>
  <c r="N143" i="59"/>
  <c r="N142" i="59" s="1"/>
  <c r="M143" i="59"/>
  <c r="M142" i="59" s="1"/>
  <c r="L143" i="59"/>
  <c r="L142" i="59" s="1"/>
  <c r="K143" i="59"/>
  <c r="K142" i="59" s="1"/>
  <c r="K12" i="59" s="1"/>
  <c r="J143" i="59"/>
  <c r="J142" i="59" s="1"/>
  <c r="I143" i="59"/>
  <c r="I142" i="59" s="1"/>
  <c r="H143" i="59"/>
  <c r="H142" i="59" s="1"/>
  <c r="G143" i="59"/>
  <c r="G142" i="59" s="1"/>
  <c r="F143" i="59"/>
  <c r="F142" i="59" s="1"/>
  <c r="E143" i="59"/>
  <c r="E142" i="59" s="1"/>
  <c r="D143" i="59"/>
  <c r="D142" i="59" s="1"/>
  <c r="AB142" i="59"/>
  <c r="AA142" i="59"/>
  <c r="Y142" i="59"/>
  <c r="AC137" i="59"/>
  <c r="AC136" i="59" s="1"/>
  <c r="AB137" i="59"/>
  <c r="AB136" i="59" s="1"/>
  <c r="AB18" i="59" s="1"/>
  <c r="AA137" i="59"/>
  <c r="AA136" i="59" s="1"/>
  <c r="Z137" i="59"/>
  <c r="Z136" i="59" s="1"/>
  <c r="Y137" i="59"/>
  <c r="Y136" i="59" s="1"/>
  <c r="X137" i="59"/>
  <c r="X136" i="59" s="1"/>
  <c r="X108" i="59" s="1"/>
  <c r="W137" i="59"/>
  <c r="W136" i="59" s="1"/>
  <c r="W112" i="59" s="1"/>
  <c r="V137" i="59"/>
  <c r="V136" i="59" s="1"/>
  <c r="U137" i="59"/>
  <c r="U136" i="59" s="1"/>
  <c r="T137" i="59"/>
  <c r="T136" i="59" s="1"/>
  <c r="T32" i="59" s="1"/>
  <c r="S137" i="59"/>
  <c r="S136" i="59" s="1"/>
  <c r="R137" i="59"/>
  <c r="R136" i="59" s="1"/>
  <c r="R6" i="59" s="1"/>
  <c r="Q137" i="59"/>
  <c r="Q136" i="59" s="1"/>
  <c r="Q102" i="59" s="1"/>
  <c r="P137" i="59"/>
  <c r="P136" i="59" s="1"/>
  <c r="P102" i="59" s="1"/>
  <c r="O137" i="59"/>
  <c r="O136" i="59" s="1"/>
  <c r="O124" i="59" s="1"/>
  <c r="N137" i="59"/>
  <c r="N136" i="59" s="1"/>
  <c r="M137" i="59"/>
  <c r="M136" i="59" s="1"/>
  <c r="L137" i="59"/>
  <c r="L136" i="59" s="1"/>
  <c r="L34" i="59" s="1"/>
  <c r="K137" i="59"/>
  <c r="K136" i="59" s="1"/>
  <c r="J137" i="59"/>
  <c r="J136" i="59" s="1"/>
  <c r="J20" i="59" s="1"/>
  <c r="I137" i="59"/>
  <c r="I136" i="59" s="1"/>
  <c r="I18" i="59" s="1"/>
  <c r="H137" i="59"/>
  <c r="H136" i="59" s="1"/>
  <c r="H124" i="59" s="1"/>
  <c r="G137" i="59"/>
  <c r="G136" i="59" s="1"/>
  <c r="G108" i="59" s="1"/>
  <c r="F137" i="59"/>
  <c r="F136" i="59" s="1"/>
  <c r="F26" i="59" s="1"/>
  <c r="E137" i="59"/>
  <c r="E136" i="59" s="1"/>
  <c r="D137" i="59"/>
  <c r="D136" i="59" s="1"/>
  <c r="D30" i="59" s="1"/>
  <c r="O118" i="59"/>
  <c r="AA110" i="59"/>
  <c r="AF103" i="59"/>
  <c r="AH103" i="59" s="1"/>
  <c r="AG106" i="59" s="1"/>
  <c r="K92" i="59"/>
  <c r="H86" i="59"/>
  <c r="X84" i="59"/>
  <c r="O80" i="59"/>
  <c r="AA76" i="59"/>
  <c r="A75" i="59"/>
  <c r="A77" i="59" s="1"/>
  <c r="A79" i="59" s="1"/>
  <c r="A81" i="59" s="1"/>
  <c r="A83" i="59" s="1"/>
  <c r="A85" i="59" s="1"/>
  <c r="A87" i="59" s="1"/>
  <c r="A89" i="59" s="1"/>
  <c r="A91" i="59" s="1"/>
  <c r="A93" i="59" s="1"/>
  <c r="A95" i="59" s="1"/>
  <c r="A97" i="59" s="1"/>
  <c r="A99" i="59" s="1"/>
  <c r="A101" i="59" s="1"/>
  <c r="A103" i="59" s="1"/>
  <c r="A105" i="59" s="1"/>
  <c r="A107" i="59" s="1"/>
  <c r="A109" i="59" s="1"/>
  <c r="A111" i="59" s="1"/>
  <c r="A113" i="59" s="1"/>
  <c r="A115" i="59" s="1"/>
  <c r="A117" i="59" s="1"/>
  <c r="A119" i="59" s="1"/>
  <c r="A121" i="59" s="1"/>
  <c r="A123" i="59" s="1"/>
  <c r="A125" i="59" s="1"/>
  <c r="A127" i="59" s="1"/>
  <c r="O74" i="59"/>
  <c r="AM73" i="59"/>
  <c r="AK73" i="59"/>
  <c r="AI73" i="59"/>
  <c r="H68" i="59"/>
  <c r="B67" i="59"/>
  <c r="M66" i="59"/>
  <c r="I66" i="59"/>
  <c r="B65" i="59"/>
  <c r="S64" i="59"/>
  <c r="P64" i="59"/>
  <c r="O64" i="59"/>
  <c r="B63" i="59"/>
  <c r="H62" i="59"/>
  <c r="B61" i="59"/>
  <c r="B59" i="59"/>
  <c r="B57" i="59"/>
  <c r="B55" i="59"/>
  <c r="AA54" i="59"/>
  <c r="X54" i="59"/>
  <c r="K54" i="59"/>
  <c r="B53" i="59"/>
  <c r="X52" i="59"/>
  <c r="B51" i="59"/>
  <c r="X50" i="59"/>
  <c r="W50" i="59"/>
  <c r="S50" i="59"/>
  <c r="K50" i="59"/>
  <c r="B49" i="59"/>
  <c r="AA48" i="59"/>
  <c r="X48" i="59"/>
  <c r="S48" i="59"/>
  <c r="K48" i="59"/>
  <c r="H48" i="59"/>
  <c r="B47" i="59"/>
  <c r="B45" i="59"/>
  <c r="B43" i="59"/>
  <c r="X42" i="59"/>
  <c r="B41" i="59"/>
  <c r="AA40" i="59"/>
  <c r="X40" i="59"/>
  <c r="S40" i="59"/>
  <c r="K40" i="59"/>
  <c r="B39" i="59"/>
  <c r="AA38" i="59"/>
  <c r="K38" i="59"/>
  <c r="H38" i="59"/>
  <c r="G38" i="59"/>
  <c r="B37" i="59"/>
  <c r="B35" i="59"/>
  <c r="AA34" i="59"/>
  <c r="K34" i="59"/>
  <c r="H34" i="59"/>
  <c r="G34" i="59"/>
  <c r="AF33" i="59"/>
  <c r="AH33" i="59" s="1"/>
  <c r="B33" i="59"/>
  <c r="S32" i="59"/>
  <c r="R32" i="59"/>
  <c r="J32" i="59"/>
  <c r="AQ31" i="59"/>
  <c r="AF31" i="59"/>
  <c r="B31" i="59"/>
  <c r="AQ30" i="59"/>
  <c r="AF30" i="59"/>
  <c r="AA30" i="59"/>
  <c r="L30" i="59"/>
  <c r="K30" i="59"/>
  <c r="J30" i="59"/>
  <c r="F30" i="59"/>
  <c r="AQ29" i="59"/>
  <c r="AF29" i="59"/>
  <c r="B29" i="59"/>
  <c r="AQ28" i="59"/>
  <c r="AF28" i="59"/>
  <c r="AA28" i="59"/>
  <c r="T28" i="59"/>
  <c r="K28" i="59"/>
  <c r="H28" i="59"/>
  <c r="AQ27" i="59"/>
  <c r="AF27" i="59"/>
  <c r="B27" i="59"/>
  <c r="AQ26" i="59"/>
  <c r="AF26" i="59"/>
  <c r="AA26" i="59"/>
  <c r="Z26" i="59"/>
  <c r="X26" i="59"/>
  <c r="AQ25" i="59"/>
  <c r="AF25" i="59"/>
  <c r="B25" i="59"/>
  <c r="AQ24" i="59"/>
  <c r="AF24" i="59"/>
  <c r="AB24" i="59"/>
  <c r="S24" i="59"/>
  <c r="Q24" i="59"/>
  <c r="P24" i="59"/>
  <c r="L24" i="59"/>
  <c r="K24" i="59"/>
  <c r="AQ23" i="59"/>
  <c r="AF23" i="59"/>
  <c r="B23" i="59"/>
  <c r="AQ22" i="59"/>
  <c r="AF22" i="59"/>
  <c r="AA22" i="59"/>
  <c r="S22" i="59"/>
  <c r="R22" i="59"/>
  <c r="Q22" i="59"/>
  <c r="K22" i="59"/>
  <c r="AQ21" i="59"/>
  <c r="AF21" i="59"/>
  <c r="B21" i="59"/>
  <c r="AQ20" i="59"/>
  <c r="AF20" i="59"/>
  <c r="AA20" i="59"/>
  <c r="R20" i="59"/>
  <c r="K20" i="59"/>
  <c r="G20" i="59"/>
  <c r="D20" i="59"/>
  <c r="AQ19" i="59"/>
  <c r="AF19" i="59"/>
  <c r="B19" i="59"/>
  <c r="AQ18" i="59"/>
  <c r="AF18" i="59"/>
  <c r="AA18" i="59"/>
  <c r="X18" i="59"/>
  <c r="S18" i="59"/>
  <c r="K18" i="59"/>
  <c r="J18" i="59"/>
  <c r="H18" i="59"/>
  <c r="AQ17" i="59"/>
  <c r="AF17" i="59"/>
  <c r="B17" i="59"/>
  <c r="AQ16" i="59"/>
  <c r="AF16" i="59"/>
  <c r="AB16" i="59"/>
  <c r="AA16" i="59"/>
  <c r="X16" i="59"/>
  <c r="S16" i="59"/>
  <c r="AQ13" i="59"/>
  <c r="AF12" i="59"/>
  <c r="B15" i="59"/>
  <c r="AQ12" i="59"/>
  <c r="AF13" i="59"/>
  <c r="AA14" i="59"/>
  <c r="R14" i="59"/>
  <c r="Q14" i="59"/>
  <c r="P14" i="59"/>
  <c r="K14" i="59"/>
  <c r="AQ15" i="59"/>
  <c r="AF14" i="59"/>
  <c r="B13" i="59"/>
  <c r="AQ14" i="59"/>
  <c r="AF15" i="59"/>
  <c r="AA12" i="59"/>
  <c r="T12" i="59"/>
  <c r="S12" i="59"/>
  <c r="R12" i="59"/>
  <c r="J12" i="59"/>
  <c r="AQ8" i="59"/>
  <c r="AF10" i="59"/>
  <c r="B11" i="59"/>
  <c r="AQ10" i="59"/>
  <c r="AF9" i="59"/>
  <c r="AA10" i="59"/>
  <c r="S10" i="59"/>
  <c r="R10" i="59"/>
  <c r="K10" i="59"/>
  <c r="AQ9" i="59"/>
  <c r="AF4" i="59"/>
  <c r="B9" i="59"/>
  <c r="AQ4" i="59"/>
  <c r="AF11" i="59"/>
  <c r="AB8" i="59"/>
  <c r="AA8" i="59"/>
  <c r="Z8" i="59"/>
  <c r="S8" i="59"/>
  <c r="R8" i="59"/>
  <c r="J8" i="59"/>
  <c r="D8" i="59"/>
  <c r="AQ5" i="59"/>
  <c r="AF8" i="59"/>
  <c r="B7" i="59"/>
  <c r="A7" i="59"/>
  <c r="A9" i="59" s="1"/>
  <c r="A11" i="59" s="1"/>
  <c r="A13" i="59" s="1"/>
  <c r="A15" i="59" s="1"/>
  <c r="A17" i="59" s="1"/>
  <c r="A19" i="59" s="1"/>
  <c r="A21" i="59" s="1"/>
  <c r="A23" i="59" s="1"/>
  <c r="A25" i="59" s="1"/>
  <c r="A27" i="59" s="1"/>
  <c r="A29" i="59" s="1"/>
  <c r="A31" i="59" s="1"/>
  <c r="A33" i="59" s="1"/>
  <c r="A35" i="59" s="1"/>
  <c r="A37" i="59" s="1"/>
  <c r="A39" i="59" s="1"/>
  <c r="A41" i="59" s="1"/>
  <c r="A43" i="59" s="1"/>
  <c r="A45" i="59" s="1"/>
  <c r="A47" i="59" s="1"/>
  <c r="A49" i="59" s="1"/>
  <c r="A51" i="59" s="1"/>
  <c r="A53" i="59" s="1"/>
  <c r="A55" i="59" s="1"/>
  <c r="A57" i="59" s="1"/>
  <c r="A59" i="59" s="1"/>
  <c r="A61" i="59" s="1"/>
  <c r="A63" i="59" s="1"/>
  <c r="A65" i="59" s="1"/>
  <c r="A67" i="59" s="1"/>
  <c r="AQ7" i="59"/>
  <c r="AF5" i="59"/>
  <c r="AB6" i="59"/>
  <c r="AA6" i="59"/>
  <c r="S6" i="59"/>
  <c r="L6" i="59"/>
  <c r="H6" i="59"/>
  <c r="AQ11" i="59"/>
  <c r="AF7" i="59"/>
  <c r="B5" i="59"/>
  <c r="AQ6" i="59"/>
  <c r="AF6" i="59"/>
  <c r="AM3" i="59"/>
  <c r="AK3" i="59"/>
  <c r="AI3" i="59"/>
  <c r="B127" i="58"/>
  <c r="B125" i="58"/>
  <c r="B123" i="58"/>
  <c r="B121" i="58"/>
  <c r="B119" i="58"/>
  <c r="B117" i="58"/>
  <c r="B115" i="58"/>
  <c r="B113" i="58"/>
  <c r="B111" i="58"/>
  <c r="B109" i="58"/>
  <c r="B107" i="58"/>
  <c r="B105" i="58"/>
  <c r="B103" i="58"/>
  <c r="B101" i="58"/>
  <c r="B99" i="58"/>
  <c r="B97" i="58"/>
  <c r="B95" i="58"/>
  <c r="B93" i="58"/>
  <c r="B91" i="58"/>
  <c r="B89" i="58"/>
  <c r="B87" i="58"/>
  <c r="B85" i="58"/>
  <c r="B83" i="58"/>
  <c r="B81" i="58"/>
  <c r="B79" i="58"/>
  <c r="B77" i="58"/>
  <c r="B75" i="58"/>
  <c r="B73" i="58"/>
  <c r="Z148" i="58"/>
  <c r="Z147" i="58" s="1"/>
  <c r="Y148" i="58"/>
  <c r="Y147" i="58" s="1"/>
  <c r="X148" i="58"/>
  <c r="X147" i="58" s="1"/>
  <c r="W148" i="58"/>
  <c r="W147" i="58" s="1"/>
  <c r="V148" i="58"/>
  <c r="V147" i="58" s="1"/>
  <c r="U148" i="58"/>
  <c r="T148" i="58"/>
  <c r="T147" i="58" s="1"/>
  <c r="S148" i="58"/>
  <c r="S147" i="58" s="1"/>
  <c r="R148" i="58"/>
  <c r="R147" i="58" s="1"/>
  <c r="Q148" i="58"/>
  <c r="Q147" i="58" s="1"/>
  <c r="P148" i="58"/>
  <c r="P147" i="58" s="1"/>
  <c r="P30" i="58" s="1"/>
  <c r="O148" i="58"/>
  <c r="O147" i="58" s="1"/>
  <c r="N148" i="58"/>
  <c r="N147" i="58" s="1"/>
  <c r="M148" i="58"/>
  <c r="L148" i="58"/>
  <c r="L147" i="58" s="1"/>
  <c r="K148" i="58"/>
  <c r="K147" i="58" s="1"/>
  <c r="J148" i="58"/>
  <c r="J147" i="58" s="1"/>
  <c r="J76" i="58" s="1"/>
  <c r="I148" i="58"/>
  <c r="I147" i="58" s="1"/>
  <c r="H148" i="58"/>
  <c r="H147" i="58" s="1"/>
  <c r="G148" i="58"/>
  <c r="G147" i="58" s="1"/>
  <c r="F148" i="58"/>
  <c r="F147" i="58" s="1"/>
  <c r="E148" i="58"/>
  <c r="D148" i="58"/>
  <c r="D147" i="58" s="1"/>
  <c r="AB147" i="58"/>
  <c r="AA147" i="58"/>
  <c r="U147" i="58"/>
  <c r="U8" i="58" s="1"/>
  <c r="M147" i="58"/>
  <c r="E147" i="58"/>
  <c r="Z143" i="58"/>
  <c r="Z142" i="58" s="1"/>
  <c r="Y143" i="58"/>
  <c r="X143" i="58"/>
  <c r="X142" i="58" s="1"/>
  <c r="W143" i="58"/>
  <c r="W142" i="58" s="1"/>
  <c r="V143" i="58"/>
  <c r="V142" i="58" s="1"/>
  <c r="U143" i="58"/>
  <c r="U142" i="58" s="1"/>
  <c r="U12" i="58" s="1"/>
  <c r="T143" i="58"/>
  <c r="T142" i="58" s="1"/>
  <c r="S143" i="58"/>
  <c r="S142" i="58" s="1"/>
  <c r="R143" i="58"/>
  <c r="R142" i="58" s="1"/>
  <c r="Q143" i="58"/>
  <c r="Q142" i="58" s="1"/>
  <c r="P143" i="58"/>
  <c r="P142" i="58" s="1"/>
  <c r="P28" i="58" s="1"/>
  <c r="O143" i="58"/>
  <c r="O142" i="58" s="1"/>
  <c r="N143" i="58"/>
  <c r="N142" i="58" s="1"/>
  <c r="M143" i="58"/>
  <c r="M142" i="58" s="1"/>
  <c r="M28" i="58" s="1"/>
  <c r="L143" i="58"/>
  <c r="L142" i="58" s="1"/>
  <c r="K143" i="58"/>
  <c r="K142" i="58" s="1"/>
  <c r="J143" i="58"/>
  <c r="J142" i="58" s="1"/>
  <c r="I143" i="58"/>
  <c r="I142" i="58" s="1"/>
  <c r="H143" i="58"/>
  <c r="H142" i="58" s="1"/>
  <c r="G143" i="58"/>
  <c r="G142" i="58" s="1"/>
  <c r="F143" i="58"/>
  <c r="F142" i="58" s="1"/>
  <c r="E143" i="58"/>
  <c r="E142" i="58" s="1"/>
  <c r="D143" i="58"/>
  <c r="D142" i="58" s="1"/>
  <c r="AB142" i="58"/>
  <c r="AA142" i="58"/>
  <c r="Y142" i="58"/>
  <c r="AC137" i="58"/>
  <c r="AC136" i="58" s="1"/>
  <c r="AB137" i="58"/>
  <c r="AB136" i="58" s="1"/>
  <c r="AB120" i="58" s="1"/>
  <c r="AA137" i="58"/>
  <c r="AA136" i="58" s="1"/>
  <c r="AA100" i="58" s="1"/>
  <c r="Z137" i="58"/>
  <c r="Z136" i="58" s="1"/>
  <c r="Z94" i="58" s="1"/>
  <c r="Y137" i="58"/>
  <c r="Y136" i="58" s="1"/>
  <c r="X137" i="58"/>
  <c r="X136" i="58" s="1"/>
  <c r="X22" i="58" s="1"/>
  <c r="W137" i="58"/>
  <c r="W136" i="58" s="1"/>
  <c r="V137" i="58"/>
  <c r="V136" i="58" s="1"/>
  <c r="U137" i="58"/>
  <c r="U136" i="58" s="1"/>
  <c r="T137" i="58"/>
  <c r="T136" i="58" s="1"/>
  <c r="T102" i="58" s="1"/>
  <c r="S137" i="58"/>
  <c r="S136" i="58" s="1"/>
  <c r="S100" i="58" s="1"/>
  <c r="R137" i="58"/>
  <c r="R136" i="58" s="1"/>
  <c r="R108" i="58" s="1"/>
  <c r="Q137" i="58"/>
  <c r="Q136" i="58" s="1"/>
  <c r="Q88" i="58" s="1"/>
  <c r="P137" i="58"/>
  <c r="P136" i="58" s="1"/>
  <c r="P126" i="58" s="1"/>
  <c r="O137" i="58"/>
  <c r="O136" i="58" s="1"/>
  <c r="O44" i="58" s="1"/>
  <c r="N137" i="58"/>
  <c r="N136" i="58" s="1"/>
  <c r="M137" i="58"/>
  <c r="M136" i="58" s="1"/>
  <c r="M126" i="58" s="1"/>
  <c r="L137" i="58"/>
  <c r="L136" i="58" s="1"/>
  <c r="L76" i="58" s="1"/>
  <c r="K137" i="58"/>
  <c r="K136" i="58" s="1"/>
  <c r="K68" i="58" s="1"/>
  <c r="J137" i="58"/>
  <c r="J136" i="58" s="1"/>
  <c r="J66" i="58" s="1"/>
  <c r="I137" i="58"/>
  <c r="I136" i="58" s="1"/>
  <c r="I126" i="58" s="1"/>
  <c r="H137" i="58"/>
  <c r="H136" i="58" s="1"/>
  <c r="H34" i="58" s="1"/>
  <c r="G137" i="58"/>
  <c r="G136" i="58" s="1"/>
  <c r="F137" i="58"/>
  <c r="F136" i="58" s="1"/>
  <c r="F82" i="58" s="1"/>
  <c r="E137" i="58"/>
  <c r="E136" i="58" s="1"/>
  <c r="E100" i="58" s="1"/>
  <c r="D137" i="58"/>
  <c r="D136" i="58" s="1"/>
  <c r="D26" i="58" s="1"/>
  <c r="U110" i="58"/>
  <c r="AF103" i="58"/>
  <c r="AH103" i="58" s="1"/>
  <c r="J86" i="58"/>
  <c r="A75" i="58"/>
  <c r="A77" i="58" s="1"/>
  <c r="A79" i="58" s="1"/>
  <c r="A81" i="58" s="1"/>
  <c r="A83" i="58" s="1"/>
  <c r="A85" i="58" s="1"/>
  <c r="A87" i="58" s="1"/>
  <c r="A89" i="58" s="1"/>
  <c r="A91" i="58" s="1"/>
  <c r="A93" i="58" s="1"/>
  <c r="A95" i="58" s="1"/>
  <c r="A97" i="58" s="1"/>
  <c r="A99" i="58" s="1"/>
  <c r="A101" i="58" s="1"/>
  <c r="A103" i="58" s="1"/>
  <c r="A105" i="58" s="1"/>
  <c r="A107" i="58" s="1"/>
  <c r="A109" i="58" s="1"/>
  <c r="A111" i="58" s="1"/>
  <c r="A113" i="58" s="1"/>
  <c r="A115" i="58" s="1"/>
  <c r="A117" i="58" s="1"/>
  <c r="A119" i="58" s="1"/>
  <c r="A121" i="58" s="1"/>
  <c r="A123" i="58" s="1"/>
  <c r="A125" i="58" s="1"/>
  <c r="A127" i="58" s="1"/>
  <c r="E74" i="58"/>
  <c r="D74" i="58"/>
  <c r="AM73" i="58"/>
  <c r="AK73" i="58"/>
  <c r="AI73" i="58"/>
  <c r="R68" i="58"/>
  <c r="O68" i="58"/>
  <c r="J68" i="58"/>
  <c r="B67" i="58"/>
  <c r="R66" i="58"/>
  <c r="M66" i="58"/>
  <c r="D66" i="58"/>
  <c r="B65" i="58"/>
  <c r="S64" i="58"/>
  <c r="J64" i="58"/>
  <c r="D64" i="58"/>
  <c r="B63" i="58"/>
  <c r="M62" i="58"/>
  <c r="J62" i="58"/>
  <c r="B61" i="58"/>
  <c r="S60" i="58"/>
  <c r="R60" i="58"/>
  <c r="P60" i="58"/>
  <c r="J60" i="58"/>
  <c r="B59" i="58"/>
  <c r="R58" i="58"/>
  <c r="J58" i="58"/>
  <c r="B57" i="58"/>
  <c r="R56" i="58"/>
  <c r="B55" i="58"/>
  <c r="R54" i="58"/>
  <c r="B53" i="58"/>
  <c r="R52" i="58"/>
  <c r="P52" i="58"/>
  <c r="B51" i="58"/>
  <c r="Z50" i="58"/>
  <c r="R50" i="58"/>
  <c r="O50" i="58"/>
  <c r="B49" i="58"/>
  <c r="R48" i="58"/>
  <c r="J48" i="58"/>
  <c r="B47" i="58"/>
  <c r="S46" i="58"/>
  <c r="R46" i="58"/>
  <c r="M46" i="58"/>
  <c r="J46" i="58"/>
  <c r="B45" i="58"/>
  <c r="R44" i="58"/>
  <c r="M44" i="58"/>
  <c r="J44" i="58"/>
  <c r="B43" i="58"/>
  <c r="J42" i="58"/>
  <c r="B41" i="58"/>
  <c r="J40" i="58"/>
  <c r="B39" i="58"/>
  <c r="R38" i="58"/>
  <c r="K38" i="58"/>
  <c r="J38" i="58"/>
  <c r="E38" i="58"/>
  <c r="B37" i="58"/>
  <c r="J36" i="58"/>
  <c r="B35" i="58"/>
  <c r="Z34" i="58"/>
  <c r="U34" i="58"/>
  <c r="M34" i="58"/>
  <c r="E34" i="58"/>
  <c r="AF33" i="58"/>
  <c r="AH33" i="58" s="1"/>
  <c r="B33" i="58"/>
  <c r="P32" i="58"/>
  <c r="J32" i="58"/>
  <c r="H32" i="58"/>
  <c r="D32" i="58"/>
  <c r="AQ31" i="58"/>
  <c r="AF31" i="58"/>
  <c r="B31" i="58"/>
  <c r="AQ30" i="58"/>
  <c r="AF30" i="58"/>
  <c r="Z30" i="58"/>
  <c r="J30" i="58"/>
  <c r="AQ29" i="58"/>
  <c r="AF29" i="58"/>
  <c r="B29" i="58"/>
  <c r="AQ28" i="58"/>
  <c r="AF28" i="58"/>
  <c r="U28" i="58"/>
  <c r="R28" i="58"/>
  <c r="J28" i="58"/>
  <c r="E28" i="58"/>
  <c r="AQ27" i="58"/>
  <c r="AF27" i="58"/>
  <c r="B27" i="58"/>
  <c r="AQ26" i="58"/>
  <c r="AF26" i="58"/>
  <c r="AB26" i="58"/>
  <c r="R26" i="58"/>
  <c r="P26" i="58"/>
  <c r="AQ25" i="58"/>
  <c r="AF25" i="58"/>
  <c r="B25" i="58"/>
  <c r="AQ24" i="58"/>
  <c r="AF24" i="58"/>
  <c r="S24" i="58"/>
  <c r="O24" i="58"/>
  <c r="E24" i="58"/>
  <c r="AQ23" i="58"/>
  <c r="AF23" i="58"/>
  <c r="B23" i="58"/>
  <c r="AQ22" i="58"/>
  <c r="AF22" i="58"/>
  <c r="R22" i="58"/>
  <c r="J22" i="58"/>
  <c r="G22" i="58"/>
  <c r="F22" i="58"/>
  <c r="AQ21" i="58"/>
  <c r="AF21" i="58"/>
  <c r="B21" i="58"/>
  <c r="AQ20" i="58"/>
  <c r="AF20" i="58"/>
  <c r="P20" i="58"/>
  <c r="AQ19" i="58"/>
  <c r="AF19" i="58"/>
  <c r="B19" i="58"/>
  <c r="AQ7" i="58"/>
  <c r="AF8" i="58"/>
  <c r="U18" i="58"/>
  <c r="T18" i="58"/>
  <c r="R18" i="58"/>
  <c r="M18" i="58"/>
  <c r="E18" i="58"/>
  <c r="AQ6" i="58"/>
  <c r="AF15" i="58"/>
  <c r="B17" i="58"/>
  <c r="AQ16" i="58"/>
  <c r="AF7" i="58"/>
  <c r="R16" i="58"/>
  <c r="J16" i="58"/>
  <c r="D16" i="58"/>
  <c r="AQ9" i="58"/>
  <c r="AF9" i="58"/>
  <c r="B15" i="58"/>
  <c r="AQ13" i="58"/>
  <c r="AF18" i="58"/>
  <c r="U14" i="58"/>
  <c r="AQ11" i="58"/>
  <c r="AF17" i="58"/>
  <c r="B13" i="58"/>
  <c r="AQ18" i="58"/>
  <c r="AF13" i="58"/>
  <c r="AQ4" i="58"/>
  <c r="AF4" i="58"/>
  <c r="B11" i="58"/>
  <c r="AQ12" i="58"/>
  <c r="AF14" i="58"/>
  <c r="AB10" i="58"/>
  <c r="H10" i="58"/>
  <c r="AQ15" i="58"/>
  <c r="AF11" i="58"/>
  <c r="B9" i="58"/>
  <c r="AQ8" i="58"/>
  <c r="AF5" i="58"/>
  <c r="J8" i="58"/>
  <c r="E8" i="58"/>
  <c r="AQ17" i="58"/>
  <c r="AF12" i="58"/>
  <c r="B7" i="58"/>
  <c r="A7" i="58"/>
  <c r="A9" i="58" s="1"/>
  <c r="A11" i="58" s="1"/>
  <c r="A13" i="58" s="1"/>
  <c r="A15" i="58" s="1"/>
  <c r="A17" i="58" s="1"/>
  <c r="A19" i="58" s="1"/>
  <c r="A21" i="58" s="1"/>
  <c r="A23" i="58" s="1"/>
  <c r="A25" i="58" s="1"/>
  <c r="A27" i="58" s="1"/>
  <c r="A29" i="58" s="1"/>
  <c r="A31" i="58" s="1"/>
  <c r="A33" i="58" s="1"/>
  <c r="A35" i="58" s="1"/>
  <c r="A37" i="58" s="1"/>
  <c r="A39" i="58" s="1"/>
  <c r="A41" i="58" s="1"/>
  <c r="A43" i="58" s="1"/>
  <c r="A45" i="58" s="1"/>
  <c r="A47" i="58" s="1"/>
  <c r="A49" i="58" s="1"/>
  <c r="A51" i="58" s="1"/>
  <c r="A53" i="58" s="1"/>
  <c r="A55" i="58" s="1"/>
  <c r="A57" i="58" s="1"/>
  <c r="A59" i="58" s="1"/>
  <c r="A61" i="58" s="1"/>
  <c r="A63" i="58" s="1"/>
  <c r="A65" i="58" s="1"/>
  <c r="A67" i="58" s="1"/>
  <c r="AQ10" i="58"/>
  <c r="AF16" i="58"/>
  <c r="R6" i="58"/>
  <c r="P6" i="58"/>
  <c r="J6" i="58"/>
  <c r="AQ14" i="58"/>
  <c r="AF10" i="58"/>
  <c r="B5" i="58"/>
  <c r="AQ5" i="58"/>
  <c r="AF6" i="58"/>
  <c r="AM3" i="58"/>
  <c r="AK3" i="58"/>
  <c r="AI3" i="58"/>
  <c r="B127" i="57"/>
  <c r="B125" i="57"/>
  <c r="B123" i="57"/>
  <c r="B121" i="57"/>
  <c r="B119" i="57"/>
  <c r="B117" i="57"/>
  <c r="B115" i="57"/>
  <c r="B113" i="57"/>
  <c r="B111" i="57"/>
  <c r="B109" i="57"/>
  <c r="B107" i="57"/>
  <c r="B105" i="57"/>
  <c r="B103" i="57"/>
  <c r="B101" i="57"/>
  <c r="B99" i="57"/>
  <c r="B97" i="57"/>
  <c r="B95" i="57"/>
  <c r="B93" i="57"/>
  <c r="B91" i="57"/>
  <c r="B89" i="57"/>
  <c r="B87" i="57"/>
  <c r="B85" i="57"/>
  <c r="B83" i="57"/>
  <c r="B81" i="57"/>
  <c r="B79" i="57"/>
  <c r="B77" i="57"/>
  <c r="B75" i="57"/>
  <c r="B73" i="57"/>
  <c r="Z148" i="57"/>
  <c r="Z147" i="57" s="1"/>
  <c r="Y148" i="57"/>
  <c r="Y147" i="57" s="1"/>
  <c r="X148" i="57"/>
  <c r="X147" i="57" s="1"/>
  <c r="X18" i="57" s="1"/>
  <c r="W148" i="57"/>
  <c r="W147" i="57" s="1"/>
  <c r="V148" i="57"/>
  <c r="V147" i="57" s="1"/>
  <c r="U148" i="57"/>
  <c r="U147" i="57" s="1"/>
  <c r="T148" i="57"/>
  <c r="T147" i="57" s="1"/>
  <c r="S148" i="57"/>
  <c r="S147" i="57" s="1"/>
  <c r="R148" i="57"/>
  <c r="R147" i="57" s="1"/>
  <c r="Q148" i="57"/>
  <c r="Q147" i="57" s="1"/>
  <c r="P148" i="57"/>
  <c r="P147" i="57" s="1"/>
  <c r="O148" i="57"/>
  <c r="O147" i="57" s="1"/>
  <c r="N148" i="57"/>
  <c r="N147" i="57" s="1"/>
  <c r="M148" i="57"/>
  <c r="M147" i="57" s="1"/>
  <c r="M10" i="57" s="1"/>
  <c r="L148" i="57"/>
  <c r="L147" i="57" s="1"/>
  <c r="K148" i="57"/>
  <c r="K147" i="57" s="1"/>
  <c r="J148" i="57"/>
  <c r="J147" i="57" s="1"/>
  <c r="I148" i="57"/>
  <c r="I147" i="57" s="1"/>
  <c r="H148" i="57"/>
  <c r="H147" i="57" s="1"/>
  <c r="G148" i="57"/>
  <c r="G147" i="57" s="1"/>
  <c r="F148" i="57"/>
  <c r="F147" i="57" s="1"/>
  <c r="E148" i="57"/>
  <c r="E147" i="57" s="1"/>
  <c r="E92" i="57" s="1"/>
  <c r="D148" i="57"/>
  <c r="D147" i="57" s="1"/>
  <c r="AB147" i="57"/>
  <c r="AA147" i="57"/>
  <c r="Z143" i="57"/>
  <c r="Z142" i="57" s="1"/>
  <c r="Y143" i="57"/>
  <c r="Y142" i="57" s="1"/>
  <c r="X143" i="57"/>
  <c r="X142" i="57" s="1"/>
  <c r="W143" i="57"/>
  <c r="W142" i="57" s="1"/>
  <c r="V143" i="57"/>
  <c r="V142" i="57" s="1"/>
  <c r="U143" i="57"/>
  <c r="U142" i="57" s="1"/>
  <c r="T143" i="57"/>
  <c r="T142" i="57" s="1"/>
  <c r="S143" i="57"/>
  <c r="S142" i="57" s="1"/>
  <c r="R143" i="57"/>
  <c r="R142" i="57" s="1"/>
  <c r="Q143" i="57"/>
  <c r="Q142" i="57" s="1"/>
  <c r="Q28" i="57" s="1"/>
  <c r="P143" i="57"/>
  <c r="P142" i="57" s="1"/>
  <c r="O143" i="57"/>
  <c r="O142" i="57" s="1"/>
  <c r="N143" i="57"/>
  <c r="N142" i="57" s="1"/>
  <c r="M143" i="57"/>
  <c r="M142" i="57" s="1"/>
  <c r="L143" i="57"/>
  <c r="L142" i="57" s="1"/>
  <c r="K143" i="57"/>
  <c r="K142" i="57" s="1"/>
  <c r="J143" i="57"/>
  <c r="J142" i="57" s="1"/>
  <c r="I143" i="57"/>
  <c r="I142" i="57" s="1"/>
  <c r="I12" i="57" s="1"/>
  <c r="H143" i="57"/>
  <c r="H142" i="57" s="1"/>
  <c r="H28" i="57" s="1"/>
  <c r="G143" i="57"/>
  <c r="G142" i="57" s="1"/>
  <c r="F143" i="57"/>
  <c r="F142" i="57" s="1"/>
  <c r="E143" i="57"/>
  <c r="E142" i="57" s="1"/>
  <c r="D143" i="57"/>
  <c r="D142" i="57" s="1"/>
  <c r="AB142" i="57"/>
  <c r="AA142" i="57"/>
  <c r="AC137" i="57"/>
  <c r="AB137" i="57"/>
  <c r="AB136" i="57" s="1"/>
  <c r="AB124" i="57" s="1"/>
  <c r="AA137" i="57"/>
  <c r="AA136" i="57" s="1"/>
  <c r="AA54" i="57" s="1"/>
  <c r="Z137" i="57"/>
  <c r="Y137" i="57"/>
  <c r="X137" i="57"/>
  <c r="X136" i="57" s="1"/>
  <c r="X28" i="57" s="1"/>
  <c r="W137" i="57"/>
  <c r="W136" i="57" s="1"/>
  <c r="W6" i="57" s="1"/>
  <c r="V137" i="57"/>
  <c r="V136" i="57" s="1"/>
  <c r="U137" i="57"/>
  <c r="U136" i="57" s="1"/>
  <c r="T137" i="57"/>
  <c r="T136" i="57" s="1"/>
  <c r="S137" i="57"/>
  <c r="S136" i="57" s="1"/>
  <c r="S34" i="57" s="1"/>
  <c r="R137" i="57"/>
  <c r="R136" i="57" s="1"/>
  <c r="R74" i="57" s="1"/>
  <c r="Q137" i="57"/>
  <c r="Q136" i="57" s="1"/>
  <c r="P137" i="57"/>
  <c r="P136" i="57" s="1"/>
  <c r="P18" i="57" s="1"/>
  <c r="O137" i="57"/>
  <c r="O136" i="57" s="1"/>
  <c r="N137" i="57"/>
  <c r="N136" i="57" s="1"/>
  <c r="N66" i="57" s="1"/>
  <c r="M137" i="57"/>
  <c r="M136" i="57" s="1"/>
  <c r="M96" i="57" s="1"/>
  <c r="L137" i="57"/>
  <c r="L136" i="57" s="1"/>
  <c r="L10" i="57" s="1"/>
  <c r="K137" i="57"/>
  <c r="K136" i="57" s="1"/>
  <c r="J137" i="57"/>
  <c r="J136" i="57" s="1"/>
  <c r="J48" i="57" s="1"/>
  <c r="I137" i="57"/>
  <c r="I136" i="57" s="1"/>
  <c r="H137" i="57"/>
  <c r="H136" i="57" s="1"/>
  <c r="H126" i="57" s="1"/>
  <c r="G137" i="57"/>
  <c r="G136" i="57" s="1"/>
  <c r="F137" i="57"/>
  <c r="F136" i="57" s="1"/>
  <c r="F46" i="57" s="1"/>
  <c r="E137" i="57"/>
  <c r="E136" i="57" s="1"/>
  <c r="E98" i="57" s="1"/>
  <c r="D137" i="57"/>
  <c r="D136" i="57" s="1"/>
  <c r="D86" i="57" s="1"/>
  <c r="AC136" i="57"/>
  <c r="Z136" i="57"/>
  <c r="Z122" i="57" s="1"/>
  <c r="Y136" i="57"/>
  <c r="Y126" i="57" s="1"/>
  <c r="Q128" i="57"/>
  <c r="X126" i="57"/>
  <c r="Q126" i="57"/>
  <c r="P126" i="57"/>
  <c r="Q124" i="57"/>
  <c r="Q122" i="57"/>
  <c r="Y120" i="57"/>
  <c r="Q120" i="57"/>
  <c r="I120" i="57"/>
  <c r="Q118" i="57"/>
  <c r="I118" i="57"/>
  <c r="Y116" i="57"/>
  <c r="E116" i="57"/>
  <c r="Y114" i="57"/>
  <c r="Q114" i="57"/>
  <c r="Y112" i="57"/>
  <c r="Q112" i="57"/>
  <c r="X110" i="57"/>
  <c r="H110" i="57"/>
  <c r="Y108" i="57"/>
  <c r="Y106" i="57"/>
  <c r="E106" i="57"/>
  <c r="Y104" i="57"/>
  <c r="R104" i="57"/>
  <c r="Q104" i="57"/>
  <c r="I104" i="57"/>
  <c r="AF103" i="57"/>
  <c r="AH103" i="57" s="1"/>
  <c r="Y102" i="57"/>
  <c r="I102" i="57"/>
  <c r="Y100" i="57"/>
  <c r="X100" i="57"/>
  <c r="I100" i="57"/>
  <c r="Y98" i="57"/>
  <c r="Y96" i="57"/>
  <c r="Y94" i="57"/>
  <c r="E94" i="57"/>
  <c r="Y92" i="57"/>
  <c r="Y90" i="57"/>
  <c r="Y88" i="57"/>
  <c r="Y86" i="57"/>
  <c r="Q86" i="57"/>
  <c r="I86" i="57"/>
  <c r="E86" i="57"/>
  <c r="Y84" i="57"/>
  <c r="I84" i="57"/>
  <c r="E84" i="57"/>
  <c r="Y82" i="57"/>
  <c r="Y80" i="57"/>
  <c r="Y78" i="57"/>
  <c r="I78" i="57"/>
  <c r="Y76" i="57"/>
  <c r="A75" i="57"/>
  <c r="A77" i="57" s="1"/>
  <c r="A79" i="57" s="1"/>
  <c r="A81" i="57" s="1"/>
  <c r="A83" i="57" s="1"/>
  <c r="A85" i="57" s="1"/>
  <c r="A87" i="57" s="1"/>
  <c r="A89" i="57" s="1"/>
  <c r="A91" i="57" s="1"/>
  <c r="A93" i="57" s="1"/>
  <c r="A95" i="57" s="1"/>
  <c r="A97" i="57" s="1"/>
  <c r="A99" i="57" s="1"/>
  <c r="A101" i="57" s="1"/>
  <c r="A103" i="57" s="1"/>
  <c r="A105" i="57" s="1"/>
  <c r="A107" i="57" s="1"/>
  <c r="A109" i="57" s="1"/>
  <c r="A111" i="57" s="1"/>
  <c r="A113" i="57" s="1"/>
  <c r="A115" i="57" s="1"/>
  <c r="A117" i="57" s="1"/>
  <c r="A119" i="57" s="1"/>
  <c r="A121" i="57" s="1"/>
  <c r="A123" i="57" s="1"/>
  <c r="A125" i="57" s="1"/>
  <c r="A127" i="57" s="1"/>
  <c r="Y74" i="57"/>
  <c r="Q74" i="57"/>
  <c r="AM73" i="57"/>
  <c r="AK73" i="57"/>
  <c r="AI73" i="57"/>
  <c r="Y68" i="57"/>
  <c r="Q68" i="57"/>
  <c r="I68" i="57"/>
  <c r="B67" i="57"/>
  <c r="Y66" i="57"/>
  <c r="Q66" i="57"/>
  <c r="I66" i="57"/>
  <c r="B65" i="57"/>
  <c r="Y64" i="57"/>
  <c r="Q64" i="57"/>
  <c r="I64" i="57"/>
  <c r="E64" i="57"/>
  <c r="B63" i="57"/>
  <c r="Y62" i="57"/>
  <c r="X62" i="57"/>
  <c r="Q62" i="57"/>
  <c r="P62" i="57"/>
  <c r="I62" i="57"/>
  <c r="H62" i="57"/>
  <c r="E62" i="57"/>
  <c r="B61" i="57"/>
  <c r="Y60" i="57"/>
  <c r="Q60" i="57"/>
  <c r="I60" i="57"/>
  <c r="E60" i="57"/>
  <c r="B59" i="57"/>
  <c r="Y58" i="57"/>
  <c r="Q58" i="57"/>
  <c r="I58" i="57"/>
  <c r="E58" i="57"/>
  <c r="B57" i="57"/>
  <c r="Y56" i="57"/>
  <c r="Q56" i="57"/>
  <c r="I56" i="57"/>
  <c r="B55" i="57"/>
  <c r="Y54" i="57"/>
  <c r="Q54" i="57"/>
  <c r="I54" i="57"/>
  <c r="B53" i="57"/>
  <c r="Y52" i="57"/>
  <c r="Q52" i="57"/>
  <c r="I52" i="57"/>
  <c r="E52" i="57"/>
  <c r="B51" i="57"/>
  <c r="Y50" i="57"/>
  <c r="Q50" i="57"/>
  <c r="I50" i="57"/>
  <c r="B49" i="57"/>
  <c r="Y48" i="57"/>
  <c r="X48" i="57"/>
  <c r="Q48" i="57"/>
  <c r="P48" i="57"/>
  <c r="I48" i="57"/>
  <c r="H48" i="57"/>
  <c r="B47" i="57"/>
  <c r="Y46" i="57"/>
  <c r="X46" i="57"/>
  <c r="Q46" i="57"/>
  <c r="P46" i="57"/>
  <c r="I46" i="57"/>
  <c r="H46" i="57"/>
  <c r="E46" i="57"/>
  <c r="B45" i="57"/>
  <c r="Y44" i="57"/>
  <c r="X44" i="57"/>
  <c r="Q44" i="57"/>
  <c r="P44" i="57"/>
  <c r="I44" i="57"/>
  <c r="H44" i="57"/>
  <c r="E44" i="57"/>
  <c r="B43" i="57"/>
  <c r="Y42" i="57"/>
  <c r="X42" i="57"/>
  <c r="Q42" i="57"/>
  <c r="P42" i="57"/>
  <c r="I42" i="57"/>
  <c r="H42" i="57"/>
  <c r="B41" i="57"/>
  <c r="Y40" i="57"/>
  <c r="X40" i="57"/>
  <c r="R40" i="57"/>
  <c r="Q40" i="57"/>
  <c r="P40" i="57"/>
  <c r="I40" i="57"/>
  <c r="H40" i="57"/>
  <c r="B39" i="57"/>
  <c r="Y38" i="57"/>
  <c r="X38" i="57"/>
  <c r="Q38" i="57"/>
  <c r="P38" i="57"/>
  <c r="I38" i="57"/>
  <c r="H38" i="57"/>
  <c r="E38" i="57"/>
  <c r="B37" i="57"/>
  <c r="Y36" i="57"/>
  <c r="X36" i="57"/>
  <c r="Q36" i="57"/>
  <c r="P36" i="57"/>
  <c r="I36" i="57"/>
  <c r="H36" i="57"/>
  <c r="E36" i="57"/>
  <c r="B35" i="57"/>
  <c r="Y34" i="57"/>
  <c r="X34" i="57"/>
  <c r="Q34" i="57"/>
  <c r="P34" i="57"/>
  <c r="I34" i="57"/>
  <c r="H34" i="57"/>
  <c r="E34" i="57"/>
  <c r="AF33" i="57"/>
  <c r="AH33" i="57" s="1"/>
  <c r="B33" i="57"/>
  <c r="AB32" i="57"/>
  <c r="Y32" i="57"/>
  <c r="X32" i="57"/>
  <c r="Q32" i="57"/>
  <c r="P32" i="57"/>
  <c r="I32" i="57"/>
  <c r="H32" i="57"/>
  <c r="D32" i="57"/>
  <c r="AQ31" i="57"/>
  <c r="AF31" i="57"/>
  <c r="B31" i="57"/>
  <c r="AQ30" i="57"/>
  <c r="AF30" i="57"/>
  <c r="Y30" i="57"/>
  <c r="X30" i="57"/>
  <c r="R30" i="57"/>
  <c r="Q30" i="57"/>
  <c r="P30" i="57"/>
  <c r="I30" i="57"/>
  <c r="H30" i="57"/>
  <c r="E30" i="57"/>
  <c r="AQ29" i="57"/>
  <c r="AF29" i="57"/>
  <c r="B29" i="57"/>
  <c r="AQ28" i="57"/>
  <c r="AF28" i="57"/>
  <c r="Y28" i="57"/>
  <c r="AQ27" i="57"/>
  <c r="AF27" i="57"/>
  <c r="B27" i="57"/>
  <c r="AQ26" i="57"/>
  <c r="AF26" i="57"/>
  <c r="Y26" i="57"/>
  <c r="X26" i="57"/>
  <c r="H26" i="57"/>
  <c r="E26" i="57"/>
  <c r="AQ25" i="57"/>
  <c r="AF25" i="57"/>
  <c r="B25" i="57"/>
  <c r="AQ24" i="57"/>
  <c r="AF24" i="57"/>
  <c r="Y24" i="57"/>
  <c r="X24" i="57"/>
  <c r="Q24" i="57"/>
  <c r="P24" i="57"/>
  <c r="H24" i="57"/>
  <c r="E24" i="57"/>
  <c r="AQ23" i="57"/>
  <c r="AF23" i="57"/>
  <c r="B23" i="57"/>
  <c r="AQ22" i="57"/>
  <c r="AF22" i="57"/>
  <c r="Y22" i="57"/>
  <c r="X22" i="57"/>
  <c r="P22" i="57"/>
  <c r="M22" i="57"/>
  <c r="AQ21" i="57"/>
  <c r="AF21" i="57"/>
  <c r="B21" i="57"/>
  <c r="AQ20" i="57"/>
  <c r="AF20" i="57"/>
  <c r="AA20" i="57"/>
  <c r="Z20" i="57"/>
  <c r="Y20" i="57"/>
  <c r="X20" i="57"/>
  <c r="P20" i="57"/>
  <c r="AQ19" i="57"/>
  <c r="AF19" i="57"/>
  <c r="B19" i="57"/>
  <c r="AQ5" i="57"/>
  <c r="AF4" i="57"/>
  <c r="Y18" i="57"/>
  <c r="Q18" i="57"/>
  <c r="M18" i="57"/>
  <c r="H18" i="57"/>
  <c r="E18" i="57"/>
  <c r="AQ4" i="57"/>
  <c r="AF5" i="57"/>
  <c r="B17" i="57"/>
  <c r="AQ16" i="57"/>
  <c r="AF14" i="57"/>
  <c r="Y16" i="57"/>
  <c r="X16" i="57"/>
  <c r="E16" i="57"/>
  <c r="AQ11" i="57"/>
  <c r="AF10" i="57"/>
  <c r="B15" i="57"/>
  <c r="AQ9" i="57"/>
  <c r="AF17" i="57"/>
  <c r="Y14" i="57"/>
  <c r="X14" i="57"/>
  <c r="P14" i="57"/>
  <c r="AQ10" i="57"/>
  <c r="AF18" i="57"/>
  <c r="B13" i="57"/>
  <c r="AQ17" i="57"/>
  <c r="AF16" i="57"/>
  <c r="Z12" i="57"/>
  <c r="Y12" i="57"/>
  <c r="X12" i="57"/>
  <c r="AQ8" i="57"/>
  <c r="AF6" i="57"/>
  <c r="B11" i="57"/>
  <c r="AQ13" i="57"/>
  <c r="AF12" i="57"/>
  <c r="Y10" i="57"/>
  <c r="X10" i="57"/>
  <c r="Q10" i="57"/>
  <c r="J10" i="57"/>
  <c r="AQ18" i="57"/>
  <c r="AF7" i="57"/>
  <c r="B9" i="57"/>
  <c r="AQ6" i="57"/>
  <c r="AF13" i="57"/>
  <c r="Z8" i="57"/>
  <c r="Y8" i="57"/>
  <c r="E8" i="57"/>
  <c r="AQ15" i="57"/>
  <c r="AF8" i="57"/>
  <c r="B7" i="57"/>
  <c r="A7" i="57"/>
  <c r="A9" i="57" s="1"/>
  <c r="A11" i="57" s="1"/>
  <c r="A13" i="57" s="1"/>
  <c r="A15" i="57" s="1"/>
  <c r="A17" i="57" s="1"/>
  <c r="A19" i="57" s="1"/>
  <c r="A21" i="57" s="1"/>
  <c r="A23" i="57" s="1"/>
  <c r="A25" i="57" s="1"/>
  <c r="A27" i="57" s="1"/>
  <c r="A29" i="57" s="1"/>
  <c r="A31" i="57" s="1"/>
  <c r="A33" i="57" s="1"/>
  <c r="A35" i="57" s="1"/>
  <c r="A37" i="57" s="1"/>
  <c r="A39" i="57" s="1"/>
  <c r="A41" i="57" s="1"/>
  <c r="A43" i="57" s="1"/>
  <c r="A45" i="57" s="1"/>
  <c r="A47" i="57" s="1"/>
  <c r="A49" i="57" s="1"/>
  <c r="A51" i="57" s="1"/>
  <c r="A53" i="57" s="1"/>
  <c r="A55" i="57" s="1"/>
  <c r="A57" i="57" s="1"/>
  <c r="A59" i="57" s="1"/>
  <c r="A61" i="57" s="1"/>
  <c r="A63" i="57" s="1"/>
  <c r="A65" i="57" s="1"/>
  <c r="A67" i="57" s="1"/>
  <c r="AQ12" i="57"/>
  <c r="AF11" i="57"/>
  <c r="Y6" i="57"/>
  <c r="E6" i="57"/>
  <c r="AQ14" i="57"/>
  <c r="AF9" i="57"/>
  <c r="B5" i="57"/>
  <c r="AQ7" i="57"/>
  <c r="AF15" i="57"/>
  <c r="AM3" i="57"/>
  <c r="AK3" i="57"/>
  <c r="AI3" i="57"/>
  <c r="B127" i="56"/>
  <c r="B125" i="56"/>
  <c r="B123" i="56"/>
  <c r="B121" i="56"/>
  <c r="B119" i="56"/>
  <c r="B117" i="56"/>
  <c r="B115" i="56"/>
  <c r="B113" i="56"/>
  <c r="B111" i="56"/>
  <c r="B109" i="56"/>
  <c r="B107" i="56"/>
  <c r="B105" i="56"/>
  <c r="B103" i="56"/>
  <c r="B101" i="56"/>
  <c r="B99" i="56"/>
  <c r="B97" i="56"/>
  <c r="B95" i="56"/>
  <c r="B93" i="56"/>
  <c r="B91" i="56"/>
  <c r="B89" i="56"/>
  <c r="B87" i="56"/>
  <c r="B85" i="56"/>
  <c r="B83" i="56"/>
  <c r="B81" i="56"/>
  <c r="B79" i="56"/>
  <c r="B77" i="56"/>
  <c r="B75" i="56"/>
  <c r="B73" i="56"/>
  <c r="AF96" i="56"/>
  <c r="AF74" i="56"/>
  <c r="AF78" i="56"/>
  <c r="AF93" i="56"/>
  <c r="AF88" i="56"/>
  <c r="AF85" i="56"/>
  <c r="AF86" i="56"/>
  <c r="AF82" i="56"/>
  <c r="AF84" i="56"/>
  <c r="AF80" i="56"/>
  <c r="AF94" i="56"/>
  <c r="AF79" i="56"/>
  <c r="AF83" i="56"/>
  <c r="AF77" i="56"/>
  <c r="AF97" i="56"/>
  <c r="AF81" i="56"/>
  <c r="AF87" i="56"/>
  <c r="AF95" i="56"/>
  <c r="AF89" i="56"/>
  <c r="AF90" i="56"/>
  <c r="Z148" i="56"/>
  <c r="Y148" i="56"/>
  <c r="Y147" i="56" s="1"/>
  <c r="X148" i="56"/>
  <c r="W148" i="56"/>
  <c r="W147" i="56" s="1"/>
  <c r="V148" i="56"/>
  <c r="V147" i="56" s="1"/>
  <c r="U148" i="56"/>
  <c r="U147" i="56" s="1"/>
  <c r="T148" i="56"/>
  <c r="T147" i="56" s="1"/>
  <c r="S148" i="56"/>
  <c r="S147" i="56" s="1"/>
  <c r="R148" i="56"/>
  <c r="R147" i="56" s="1"/>
  <c r="R88" i="56" s="1"/>
  <c r="Q148" i="56"/>
  <c r="Q147" i="56" s="1"/>
  <c r="P148" i="56"/>
  <c r="P147" i="56" s="1"/>
  <c r="O148" i="56"/>
  <c r="O147" i="56" s="1"/>
  <c r="N148" i="56"/>
  <c r="N147" i="56" s="1"/>
  <c r="M148" i="56"/>
  <c r="M147" i="56" s="1"/>
  <c r="L148" i="56"/>
  <c r="L147" i="56" s="1"/>
  <c r="K148" i="56"/>
  <c r="K147" i="56" s="1"/>
  <c r="J148" i="56"/>
  <c r="J147" i="56" s="1"/>
  <c r="J24" i="56" s="1"/>
  <c r="I148" i="56"/>
  <c r="I147" i="56" s="1"/>
  <c r="H148" i="56"/>
  <c r="H147" i="56" s="1"/>
  <c r="G148" i="56"/>
  <c r="G147" i="56" s="1"/>
  <c r="F148" i="56"/>
  <c r="F147" i="56" s="1"/>
  <c r="E148" i="56"/>
  <c r="E147" i="56" s="1"/>
  <c r="D148" i="56"/>
  <c r="D147" i="56" s="1"/>
  <c r="AB147" i="56"/>
  <c r="AA147" i="56"/>
  <c r="Z147" i="56"/>
  <c r="X147" i="56"/>
  <c r="Z143" i="56"/>
  <c r="Z142" i="56" s="1"/>
  <c r="Y143" i="56"/>
  <c r="X143" i="56"/>
  <c r="X142" i="56" s="1"/>
  <c r="W143" i="56"/>
  <c r="W142" i="56" s="1"/>
  <c r="V143" i="56"/>
  <c r="V142" i="56" s="1"/>
  <c r="U143" i="56"/>
  <c r="U142" i="56" s="1"/>
  <c r="T143" i="56"/>
  <c r="T142" i="56" s="1"/>
  <c r="S143" i="56"/>
  <c r="S142" i="56" s="1"/>
  <c r="R143" i="56"/>
  <c r="R142" i="56" s="1"/>
  <c r="Q143" i="56"/>
  <c r="Q142" i="56" s="1"/>
  <c r="P143" i="56"/>
  <c r="P142" i="56" s="1"/>
  <c r="O143" i="56"/>
  <c r="O142" i="56" s="1"/>
  <c r="N143" i="56"/>
  <c r="N142" i="56" s="1"/>
  <c r="M143" i="56"/>
  <c r="M142" i="56" s="1"/>
  <c r="L143" i="56"/>
  <c r="L142" i="56" s="1"/>
  <c r="K143" i="56"/>
  <c r="K142" i="56" s="1"/>
  <c r="J143" i="56"/>
  <c r="J142" i="56" s="1"/>
  <c r="I143" i="56"/>
  <c r="I142" i="56" s="1"/>
  <c r="H143" i="56"/>
  <c r="H142" i="56" s="1"/>
  <c r="G143" i="56"/>
  <c r="G142" i="56" s="1"/>
  <c r="F143" i="56"/>
  <c r="F142" i="56" s="1"/>
  <c r="E143" i="56"/>
  <c r="E142" i="56" s="1"/>
  <c r="D143" i="56"/>
  <c r="D142" i="56" s="1"/>
  <c r="AB142" i="56"/>
  <c r="AA142" i="56"/>
  <c r="Y142" i="56"/>
  <c r="AC137" i="56"/>
  <c r="AB137" i="56"/>
  <c r="AB136" i="56" s="1"/>
  <c r="AB78" i="56" s="1"/>
  <c r="AA137" i="56"/>
  <c r="AA136" i="56" s="1"/>
  <c r="AA26" i="56" s="1"/>
  <c r="Z137" i="56"/>
  <c r="Y137" i="56"/>
  <c r="Y136" i="56" s="1"/>
  <c r="Y66" i="56" s="1"/>
  <c r="X137" i="56"/>
  <c r="X136" i="56" s="1"/>
  <c r="W137" i="56"/>
  <c r="W136" i="56" s="1"/>
  <c r="W56" i="56" s="1"/>
  <c r="V137" i="56"/>
  <c r="V136" i="56" s="1"/>
  <c r="V110" i="56" s="1"/>
  <c r="U137" i="56"/>
  <c r="T137" i="56"/>
  <c r="T136" i="56" s="1"/>
  <c r="T108" i="56" s="1"/>
  <c r="S137" i="56"/>
  <c r="S136" i="56" s="1"/>
  <c r="R137" i="56"/>
  <c r="R136" i="56" s="1"/>
  <c r="R8" i="56" s="1"/>
  <c r="Q137" i="56"/>
  <c r="Q136" i="56" s="1"/>
  <c r="Q94" i="56" s="1"/>
  <c r="P137" i="56"/>
  <c r="P136" i="56" s="1"/>
  <c r="O137" i="56"/>
  <c r="O136" i="56" s="1"/>
  <c r="O82" i="56" s="1"/>
  <c r="N137" i="56"/>
  <c r="N136" i="56" s="1"/>
  <c r="N102" i="56" s="1"/>
  <c r="M137" i="56"/>
  <c r="M136" i="56" s="1"/>
  <c r="M14" i="56" s="1"/>
  <c r="L137" i="56"/>
  <c r="L136" i="56" s="1"/>
  <c r="L118" i="56" s="1"/>
  <c r="K137" i="56"/>
  <c r="K136" i="56" s="1"/>
  <c r="K6" i="56" s="1"/>
  <c r="J137" i="56"/>
  <c r="J136" i="56" s="1"/>
  <c r="J118" i="56" s="1"/>
  <c r="I137" i="56"/>
  <c r="I136" i="56" s="1"/>
  <c r="H137" i="56"/>
  <c r="H136" i="56" s="1"/>
  <c r="H112" i="56" s="1"/>
  <c r="G137" i="56"/>
  <c r="G136" i="56" s="1"/>
  <c r="G114" i="56" s="1"/>
  <c r="F137" i="56"/>
  <c r="F136" i="56" s="1"/>
  <c r="F26" i="56" s="1"/>
  <c r="E137" i="56"/>
  <c r="E136" i="56" s="1"/>
  <c r="E22" i="56" s="1"/>
  <c r="D137" i="56"/>
  <c r="D136" i="56" s="1"/>
  <c r="D20" i="56" s="1"/>
  <c r="AC136" i="56"/>
  <c r="Z136" i="56"/>
  <c r="Z122" i="56" s="1"/>
  <c r="U136" i="56"/>
  <c r="U10" i="56" s="1"/>
  <c r="T126" i="56"/>
  <c r="Q110" i="56"/>
  <c r="J110" i="56"/>
  <c r="R108" i="56"/>
  <c r="R106" i="56"/>
  <c r="AB104" i="56"/>
  <c r="AF103" i="56"/>
  <c r="AH103" i="56" s="1"/>
  <c r="T102" i="56"/>
  <c r="AF101" i="56"/>
  <c r="AF100" i="56"/>
  <c r="J100" i="56"/>
  <c r="AF99" i="56"/>
  <c r="AF98" i="56"/>
  <c r="J98" i="56"/>
  <c r="T96" i="56"/>
  <c r="AB92" i="56"/>
  <c r="R92" i="56"/>
  <c r="R90" i="56"/>
  <c r="R82" i="56"/>
  <c r="Q82" i="56"/>
  <c r="R78" i="56"/>
  <c r="R76" i="56"/>
  <c r="A75" i="56"/>
  <c r="A77" i="56" s="1"/>
  <c r="A79" i="56" s="1"/>
  <c r="A81" i="56" s="1"/>
  <c r="A83" i="56" s="1"/>
  <c r="A85" i="56" s="1"/>
  <c r="A87" i="56" s="1"/>
  <c r="A89" i="56" s="1"/>
  <c r="A91" i="56" s="1"/>
  <c r="A93" i="56" s="1"/>
  <c r="A95" i="56" s="1"/>
  <c r="A97" i="56" s="1"/>
  <c r="A99" i="56" s="1"/>
  <c r="A101" i="56" s="1"/>
  <c r="A103" i="56" s="1"/>
  <c r="A105" i="56" s="1"/>
  <c r="A107" i="56" s="1"/>
  <c r="A109" i="56" s="1"/>
  <c r="A111" i="56" s="1"/>
  <c r="A113" i="56" s="1"/>
  <c r="A115" i="56" s="1"/>
  <c r="A117" i="56" s="1"/>
  <c r="A119" i="56" s="1"/>
  <c r="A121" i="56" s="1"/>
  <c r="A123" i="56" s="1"/>
  <c r="A125" i="56" s="1"/>
  <c r="A127" i="56" s="1"/>
  <c r="AM73" i="56"/>
  <c r="AK73" i="56"/>
  <c r="AI73" i="56"/>
  <c r="B67" i="56"/>
  <c r="AB66" i="56"/>
  <c r="T66" i="56"/>
  <c r="B65" i="56"/>
  <c r="T64" i="56"/>
  <c r="R64" i="56"/>
  <c r="B63" i="56"/>
  <c r="AB62" i="56"/>
  <c r="H62" i="56"/>
  <c r="B61" i="56"/>
  <c r="B59" i="56"/>
  <c r="J58" i="56"/>
  <c r="B57" i="56"/>
  <c r="Z56" i="56"/>
  <c r="R56" i="56"/>
  <c r="B55" i="56"/>
  <c r="L54" i="56"/>
  <c r="B53" i="56"/>
  <c r="B51" i="56"/>
  <c r="AB50" i="56"/>
  <c r="R50" i="56"/>
  <c r="B49" i="56"/>
  <c r="B47" i="56"/>
  <c r="B45" i="56"/>
  <c r="AB44" i="56"/>
  <c r="J44" i="56"/>
  <c r="B43" i="56"/>
  <c r="Z42" i="56"/>
  <c r="R42" i="56"/>
  <c r="B41" i="56"/>
  <c r="T40" i="56"/>
  <c r="R40" i="56"/>
  <c r="B39" i="56"/>
  <c r="B37" i="56"/>
  <c r="B35" i="56"/>
  <c r="Z34" i="56"/>
  <c r="AF33" i="56"/>
  <c r="AH33" i="56" s="1"/>
  <c r="B33" i="56"/>
  <c r="R32" i="56"/>
  <c r="AQ31" i="56"/>
  <c r="AF31" i="56"/>
  <c r="B31" i="56"/>
  <c r="AQ30" i="56"/>
  <c r="AF30" i="56"/>
  <c r="Z30" i="56"/>
  <c r="AQ29" i="56"/>
  <c r="AF29" i="56"/>
  <c r="B29" i="56"/>
  <c r="AQ28" i="56"/>
  <c r="AF28" i="56"/>
  <c r="Z28" i="56"/>
  <c r="AQ27" i="56"/>
  <c r="AF27" i="56"/>
  <c r="B27" i="56"/>
  <c r="AQ26" i="56"/>
  <c r="AF26" i="56"/>
  <c r="AQ25" i="56"/>
  <c r="AF25" i="56"/>
  <c r="B25" i="56"/>
  <c r="AQ24" i="56"/>
  <c r="AF24" i="56"/>
  <c r="AB24" i="56"/>
  <c r="T24" i="56"/>
  <c r="AQ23" i="56"/>
  <c r="AF23" i="56"/>
  <c r="B23" i="56"/>
  <c r="AQ22" i="56"/>
  <c r="AF22" i="56"/>
  <c r="Z22" i="56"/>
  <c r="R22" i="56"/>
  <c r="J22" i="56"/>
  <c r="AQ21" i="56"/>
  <c r="AF21" i="56"/>
  <c r="B21" i="56"/>
  <c r="AQ20" i="56"/>
  <c r="AF20" i="56"/>
  <c r="T20" i="56"/>
  <c r="AQ19" i="56"/>
  <c r="AF19" i="56"/>
  <c r="B19" i="56"/>
  <c r="AQ9" i="56"/>
  <c r="AF10" i="56"/>
  <c r="Z18" i="56"/>
  <c r="Y18" i="56"/>
  <c r="AQ6" i="56"/>
  <c r="AF7" i="56"/>
  <c r="B17" i="56"/>
  <c r="AQ14" i="56"/>
  <c r="AF5" i="56"/>
  <c r="AB16" i="56"/>
  <c r="Z16" i="56"/>
  <c r="R16" i="56"/>
  <c r="J16" i="56"/>
  <c r="AQ12" i="56"/>
  <c r="AF6" i="56"/>
  <c r="B15" i="56"/>
  <c r="AQ7" i="56"/>
  <c r="AF15" i="56"/>
  <c r="Z14" i="56"/>
  <c r="T14" i="56"/>
  <c r="J14" i="56"/>
  <c r="AQ4" i="56"/>
  <c r="AF16" i="56"/>
  <c r="B13" i="56"/>
  <c r="AQ15" i="56"/>
  <c r="AF13" i="56"/>
  <c r="AB12" i="56"/>
  <c r="Z12" i="56"/>
  <c r="R12" i="56"/>
  <c r="AQ10" i="56"/>
  <c r="AF9" i="56"/>
  <c r="B11" i="56"/>
  <c r="AQ11" i="56"/>
  <c r="AF11" i="56"/>
  <c r="Z10" i="56"/>
  <c r="T10" i="56"/>
  <c r="R10" i="56"/>
  <c r="AQ18" i="56"/>
  <c r="AF18" i="56"/>
  <c r="B9" i="56"/>
  <c r="AQ17" i="56"/>
  <c r="AF14" i="56"/>
  <c r="AB8" i="56"/>
  <c r="AA8" i="56"/>
  <c r="AQ16" i="56"/>
  <c r="AF12" i="56"/>
  <c r="B7" i="56"/>
  <c r="A7" i="56"/>
  <c r="A9" i="56" s="1"/>
  <c r="A11" i="56" s="1"/>
  <c r="A13" i="56" s="1"/>
  <c r="A15" i="56" s="1"/>
  <c r="A17" i="56" s="1"/>
  <c r="A19" i="56" s="1"/>
  <c r="A21" i="56" s="1"/>
  <c r="A23" i="56" s="1"/>
  <c r="A25" i="56" s="1"/>
  <c r="A27" i="56" s="1"/>
  <c r="A29" i="56" s="1"/>
  <c r="A31" i="56" s="1"/>
  <c r="A33" i="56" s="1"/>
  <c r="A35" i="56" s="1"/>
  <c r="A37" i="56" s="1"/>
  <c r="A39" i="56" s="1"/>
  <c r="A41" i="56" s="1"/>
  <c r="A43" i="56" s="1"/>
  <c r="A45" i="56" s="1"/>
  <c r="A47" i="56" s="1"/>
  <c r="A49" i="56" s="1"/>
  <c r="A51" i="56" s="1"/>
  <c r="A53" i="56" s="1"/>
  <c r="A55" i="56" s="1"/>
  <c r="A57" i="56" s="1"/>
  <c r="A59" i="56" s="1"/>
  <c r="A61" i="56" s="1"/>
  <c r="A63" i="56" s="1"/>
  <c r="A65" i="56" s="1"/>
  <c r="A67" i="56" s="1"/>
  <c r="AQ8" i="56"/>
  <c r="AF8" i="56"/>
  <c r="Z6" i="56"/>
  <c r="T6" i="56"/>
  <c r="R6" i="56"/>
  <c r="AQ13" i="56"/>
  <c r="AF17" i="56"/>
  <c r="B5" i="56"/>
  <c r="AQ5" i="56"/>
  <c r="AF4" i="56"/>
  <c r="AM3" i="56"/>
  <c r="AK3" i="56"/>
  <c r="AI3" i="56"/>
  <c r="AQ12" i="55"/>
  <c r="AQ7" i="55"/>
  <c r="AQ16" i="55"/>
  <c r="AQ13" i="55"/>
  <c r="AQ11" i="55"/>
  <c r="AQ10" i="55"/>
  <c r="AQ15" i="55"/>
  <c r="AQ4" i="55"/>
  <c r="AQ5" i="55"/>
  <c r="AQ14" i="55"/>
  <c r="AQ18" i="55"/>
  <c r="AQ6" i="55"/>
  <c r="AQ9" i="55"/>
  <c r="AQ19" i="55"/>
  <c r="AQ20" i="55"/>
  <c r="AQ21" i="55"/>
  <c r="AQ22" i="55"/>
  <c r="AQ23" i="55"/>
  <c r="AQ24" i="55"/>
  <c r="AQ25" i="55"/>
  <c r="AQ26" i="55"/>
  <c r="AQ27" i="55"/>
  <c r="AQ28" i="55"/>
  <c r="AQ29" i="55"/>
  <c r="AQ30" i="55"/>
  <c r="AQ31" i="55"/>
  <c r="AQ17" i="55"/>
  <c r="AQ8" i="55"/>
  <c r="Y122" i="60" l="1"/>
  <c r="Y32" i="60"/>
  <c r="Y28" i="60"/>
  <c r="Y16" i="60"/>
  <c r="Y12" i="60"/>
  <c r="Y54" i="60"/>
  <c r="Y18" i="60"/>
  <c r="O32" i="59"/>
  <c r="W80" i="59"/>
  <c r="H12" i="59"/>
  <c r="J74" i="58"/>
  <c r="O78" i="59"/>
  <c r="G124" i="59"/>
  <c r="Y64" i="56"/>
  <c r="Z74" i="56"/>
  <c r="AA12" i="57"/>
  <c r="E20" i="57"/>
  <c r="Z14" i="58"/>
  <c r="Z32" i="58"/>
  <c r="Z74" i="58"/>
  <c r="Q8" i="59"/>
  <c r="G16" i="59"/>
  <c r="W22" i="59"/>
  <c r="H24" i="59"/>
  <c r="W24" i="59"/>
  <c r="H26" i="59"/>
  <c r="P28" i="59"/>
  <c r="O30" i="59"/>
  <c r="O34" i="59"/>
  <c r="O36" i="59"/>
  <c r="O38" i="59"/>
  <c r="G42" i="59"/>
  <c r="H44" i="59"/>
  <c r="O46" i="59"/>
  <c r="O48" i="59"/>
  <c r="G50" i="59"/>
  <c r="G52" i="59"/>
  <c r="H54" i="59"/>
  <c r="G56" i="59"/>
  <c r="O58" i="59"/>
  <c r="O60" i="59"/>
  <c r="W62" i="59"/>
  <c r="W64" i="59"/>
  <c r="P66" i="59"/>
  <c r="W68" i="59"/>
  <c r="P78" i="59"/>
  <c r="H82" i="59"/>
  <c r="W86" i="59"/>
  <c r="G106" i="59"/>
  <c r="W124" i="59"/>
  <c r="AA40" i="60"/>
  <c r="K60" i="60"/>
  <c r="G60" i="59"/>
  <c r="O68" i="59"/>
  <c r="W94" i="59"/>
  <c r="X10" i="59"/>
  <c r="Y98" i="56"/>
  <c r="P32" i="59"/>
  <c r="G44" i="59"/>
  <c r="H58" i="59"/>
  <c r="L28" i="60"/>
  <c r="Z52" i="56"/>
  <c r="Z106" i="56"/>
  <c r="Q6" i="57"/>
  <c r="E10" i="57"/>
  <c r="I88" i="57"/>
  <c r="Y110" i="57"/>
  <c r="Z12" i="58"/>
  <c r="Z16" i="58"/>
  <c r="D20" i="58"/>
  <c r="Z36" i="58"/>
  <c r="Z48" i="58"/>
  <c r="Z52" i="58"/>
  <c r="Z68" i="58"/>
  <c r="W6" i="59"/>
  <c r="O12" i="59"/>
  <c r="X14" i="59"/>
  <c r="I16" i="59"/>
  <c r="O18" i="59"/>
  <c r="W20" i="59"/>
  <c r="G22" i="59"/>
  <c r="X22" i="59"/>
  <c r="J24" i="59"/>
  <c r="X24" i="59"/>
  <c r="J26" i="59"/>
  <c r="R28" i="59"/>
  <c r="P30" i="59"/>
  <c r="P34" i="59"/>
  <c r="P36" i="59"/>
  <c r="P38" i="59"/>
  <c r="O40" i="59"/>
  <c r="H42" i="59"/>
  <c r="P44" i="59"/>
  <c r="P46" i="59"/>
  <c r="P48" i="59"/>
  <c r="H50" i="59"/>
  <c r="H52" i="59"/>
  <c r="H56" i="59"/>
  <c r="P58" i="59"/>
  <c r="P60" i="59"/>
  <c r="X62" i="59"/>
  <c r="X64" i="59"/>
  <c r="W66" i="59"/>
  <c r="X68" i="59"/>
  <c r="G76" i="59"/>
  <c r="W78" i="59"/>
  <c r="O82" i="59"/>
  <c r="G88" i="59"/>
  <c r="Q106" i="59"/>
  <c r="K26" i="59"/>
  <c r="M12" i="60"/>
  <c r="I14" i="60"/>
  <c r="I16" i="60"/>
  <c r="F18" i="60"/>
  <c r="Q18" i="60"/>
  <c r="L20" i="60"/>
  <c r="I24" i="60"/>
  <c r="F28" i="60"/>
  <c r="K30" i="60"/>
  <c r="I32" i="60"/>
  <c r="I34" i="60"/>
  <c r="F58" i="60"/>
  <c r="F110" i="60"/>
  <c r="O8" i="59"/>
  <c r="G36" i="59"/>
  <c r="AB18" i="60"/>
  <c r="K28" i="60"/>
  <c r="Z38" i="58"/>
  <c r="P6" i="59"/>
  <c r="G12" i="59"/>
  <c r="H36" i="59"/>
  <c r="P62" i="59"/>
  <c r="X74" i="59"/>
  <c r="O86" i="59"/>
  <c r="I26" i="57"/>
  <c r="E28" i="57"/>
  <c r="Z6" i="58"/>
  <c r="Z10" i="58"/>
  <c r="Z40" i="58"/>
  <c r="X6" i="59"/>
  <c r="P12" i="59"/>
  <c r="O16" i="59"/>
  <c r="P18" i="59"/>
  <c r="X20" i="59"/>
  <c r="H22" i="59"/>
  <c r="O26" i="59"/>
  <c r="R30" i="59"/>
  <c r="X32" i="59"/>
  <c r="W34" i="59"/>
  <c r="W36" i="59"/>
  <c r="W38" i="59"/>
  <c r="P40" i="59"/>
  <c r="O42" i="59"/>
  <c r="Q44" i="59"/>
  <c r="Q46" i="59"/>
  <c r="Q48" i="59"/>
  <c r="O52" i="59"/>
  <c r="O54" i="59"/>
  <c r="P56" i="59"/>
  <c r="R58" i="59"/>
  <c r="X60" i="59"/>
  <c r="X66" i="59"/>
  <c r="O76" i="59"/>
  <c r="X78" i="59"/>
  <c r="W82" i="59"/>
  <c r="O88" i="59"/>
  <c r="W106" i="59"/>
  <c r="K6" i="60"/>
  <c r="Q8" i="60"/>
  <c r="F10" i="60"/>
  <c r="N12" i="60"/>
  <c r="N20" i="60"/>
  <c r="L22" i="60"/>
  <c r="I26" i="60"/>
  <c r="S26" i="60"/>
  <c r="L30" i="60"/>
  <c r="K64" i="60"/>
  <c r="S76" i="60"/>
  <c r="I94" i="60"/>
  <c r="F122" i="60"/>
  <c r="G46" i="59"/>
  <c r="G58" i="59"/>
  <c r="W74" i="59"/>
  <c r="S74" i="60"/>
  <c r="Q86" i="56"/>
  <c r="Z28" i="58"/>
  <c r="Z56" i="58"/>
  <c r="H40" i="59"/>
  <c r="G54" i="59"/>
  <c r="O66" i="59"/>
  <c r="G82" i="59"/>
  <c r="L10" i="60"/>
  <c r="Z76" i="56"/>
  <c r="E22" i="57"/>
  <c r="I28" i="57"/>
  <c r="Z8" i="58"/>
  <c r="Z20" i="58"/>
  <c r="Z76" i="58"/>
  <c r="G24" i="58"/>
  <c r="X8" i="59"/>
  <c r="P16" i="59"/>
  <c r="P26" i="59"/>
  <c r="X28" i="59"/>
  <c r="G30" i="59"/>
  <c r="W30" i="59"/>
  <c r="G32" i="59"/>
  <c r="X34" i="59"/>
  <c r="X36" i="59"/>
  <c r="X38" i="59"/>
  <c r="P42" i="59"/>
  <c r="W44" i="59"/>
  <c r="W46" i="59"/>
  <c r="P50" i="59"/>
  <c r="P52" i="59"/>
  <c r="P54" i="59"/>
  <c r="W56" i="59"/>
  <c r="W58" i="59"/>
  <c r="G64" i="59"/>
  <c r="G66" i="59"/>
  <c r="P76" i="59"/>
  <c r="G80" i="59"/>
  <c r="O84" i="59"/>
  <c r="O90" i="59"/>
  <c r="L14" i="60"/>
  <c r="L16" i="60"/>
  <c r="AA16" i="60"/>
  <c r="U18" i="60"/>
  <c r="L24" i="60"/>
  <c r="L32" i="60"/>
  <c r="L34" i="60"/>
  <c r="F68" i="60"/>
  <c r="O10" i="59"/>
  <c r="G40" i="59"/>
  <c r="O62" i="59"/>
  <c r="G78" i="59"/>
  <c r="W118" i="59"/>
  <c r="Z64" i="58"/>
  <c r="P8" i="59"/>
  <c r="P20" i="59"/>
  <c r="O28" i="59"/>
  <c r="H46" i="59"/>
  <c r="H60" i="59"/>
  <c r="P68" i="59"/>
  <c r="AA68" i="60"/>
  <c r="Z8" i="56"/>
  <c r="J10" i="56"/>
  <c r="Z48" i="56"/>
  <c r="J94" i="56"/>
  <c r="M76" i="57"/>
  <c r="Z26" i="58"/>
  <c r="Z54" i="58"/>
  <c r="Z66" i="58"/>
  <c r="Z84" i="58"/>
  <c r="G6" i="59"/>
  <c r="G8" i="59"/>
  <c r="J10" i="59"/>
  <c r="H14" i="59"/>
  <c r="R16" i="59"/>
  <c r="W18" i="59"/>
  <c r="P22" i="59"/>
  <c r="O24" i="59"/>
  <c r="R26" i="59"/>
  <c r="H30" i="59"/>
  <c r="X30" i="59"/>
  <c r="H32" i="59"/>
  <c r="W40" i="59"/>
  <c r="W42" i="59"/>
  <c r="X44" i="59"/>
  <c r="X46" i="59"/>
  <c r="W48" i="59"/>
  <c r="W52" i="59"/>
  <c r="W54" i="59"/>
  <c r="X56" i="59"/>
  <c r="X58" i="59"/>
  <c r="G62" i="59"/>
  <c r="H64" i="59"/>
  <c r="H66" i="59"/>
  <c r="G68" i="59"/>
  <c r="W76" i="59"/>
  <c r="H80" i="59"/>
  <c r="P84" i="59"/>
  <c r="G92" i="59"/>
  <c r="O112" i="59"/>
  <c r="E12" i="60"/>
  <c r="N14" i="60"/>
  <c r="N16" i="60"/>
  <c r="I18" i="60"/>
  <c r="F20" i="60"/>
  <c r="N24" i="60"/>
  <c r="L26" i="60"/>
  <c r="I28" i="60"/>
  <c r="F30" i="60"/>
  <c r="N32" i="60"/>
  <c r="Q102" i="60"/>
  <c r="R10" i="58"/>
  <c r="R20" i="58"/>
  <c r="R80" i="58"/>
  <c r="P22" i="58"/>
  <c r="M8" i="58"/>
  <c r="J34" i="58"/>
  <c r="J10" i="58"/>
  <c r="J82" i="58"/>
  <c r="Z108" i="58"/>
  <c r="Z82" i="58"/>
  <c r="R124" i="58"/>
  <c r="Z86" i="58"/>
  <c r="Z98" i="58"/>
  <c r="Z78" i="58"/>
  <c r="Q82" i="57"/>
  <c r="Q12" i="57"/>
  <c r="Q98" i="57"/>
  <c r="Q84" i="57"/>
  <c r="Q102" i="57"/>
  <c r="I82" i="57"/>
  <c r="E32" i="57"/>
  <c r="AB6" i="57"/>
  <c r="D66" i="57"/>
  <c r="D78" i="57"/>
  <c r="D62" i="57"/>
  <c r="AB114" i="57"/>
  <c r="R14" i="56"/>
  <c r="R30" i="56"/>
  <c r="J102" i="56"/>
  <c r="J32" i="56"/>
  <c r="J104" i="56"/>
  <c r="D22" i="57"/>
  <c r="D30" i="57"/>
  <c r="AB52" i="57"/>
  <c r="D64" i="57"/>
  <c r="D116" i="57"/>
  <c r="AB12" i="57"/>
  <c r="AB30" i="57"/>
  <c r="AB88" i="57"/>
  <c r="AB94" i="57"/>
  <c r="AB8" i="57"/>
  <c r="AB14" i="57"/>
  <c r="AB20" i="57"/>
  <c r="AB28" i="57"/>
  <c r="D34" i="57"/>
  <c r="AB34" i="57"/>
  <c r="D54" i="57"/>
  <c r="AB78" i="57"/>
  <c r="AB100" i="57"/>
  <c r="AB110" i="57"/>
  <c r="D122" i="57"/>
  <c r="D6" i="57"/>
  <c r="AB16" i="57"/>
  <c r="AB24" i="57"/>
  <c r="D58" i="57"/>
  <c r="D92" i="57"/>
  <c r="D98" i="57"/>
  <c r="AB116" i="57"/>
  <c r="AB128" i="57"/>
  <c r="D24" i="57"/>
  <c r="D28" i="57"/>
  <c r="D36" i="57"/>
  <c r="AB36" i="57"/>
  <c r="D124" i="57"/>
  <c r="AB60" i="57"/>
  <c r="AB64" i="57"/>
  <c r="AB106" i="57"/>
  <c r="D8" i="57"/>
  <c r="AB10" i="57"/>
  <c r="AB18" i="57"/>
  <c r="AB22" i="57"/>
  <c r="AB26" i="57"/>
  <c r="D38" i="57"/>
  <c r="AB38" i="57"/>
  <c r="AB46" i="57"/>
  <c r="AB48" i="57"/>
  <c r="AB86" i="57"/>
  <c r="AB92" i="57"/>
  <c r="AB98" i="57"/>
  <c r="D120" i="57"/>
  <c r="D126" i="57"/>
  <c r="AA12" i="56"/>
  <c r="AB32" i="56"/>
  <c r="AB38" i="56"/>
  <c r="AB54" i="56"/>
  <c r="AB60" i="56"/>
  <c r="T80" i="56"/>
  <c r="AB96" i="56"/>
  <c r="T8" i="56"/>
  <c r="AB6" i="56"/>
  <c r="AB14" i="56"/>
  <c r="T16" i="56"/>
  <c r="T18" i="56"/>
  <c r="AB26" i="56"/>
  <c r="L50" i="56"/>
  <c r="T74" i="56"/>
  <c r="AB80" i="56"/>
  <c r="AA20" i="56"/>
  <c r="AB18" i="56"/>
  <c r="AA22" i="56"/>
  <c r="AB34" i="56"/>
  <c r="T46" i="56"/>
  <c r="T84" i="56"/>
  <c r="T94" i="56"/>
  <c r="AA10" i="56"/>
  <c r="T12" i="56"/>
  <c r="H32" i="56"/>
  <c r="L64" i="56"/>
  <c r="T68" i="56"/>
  <c r="AB84" i="56"/>
  <c r="H104" i="56"/>
  <c r="AB10" i="56"/>
  <c r="T30" i="56"/>
  <c r="H36" i="56"/>
  <c r="T42" i="56"/>
  <c r="T48" i="56"/>
  <c r="AB58" i="56"/>
  <c r="AB76" i="56"/>
  <c r="J6" i="56"/>
  <c r="R100" i="56"/>
  <c r="D10" i="58"/>
  <c r="AB12" i="58"/>
  <c r="T30" i="58"/>
  <c r="D58" i="58"/>
  <c r="AB18" i="58"/>
  <c r="T22" i="58"/>
  <c r="D56" i="58"/>
  <c r="L64" i="58"/>
  <c r="L66" i="58"/>
  <c r="AB8" i="58"/>
  <c r="T6" i="58"/>
  <c r="L10" i="58"/>
  <c r="D30" i="58"/>
  <c r="L34" i="58"/>
  <c r="T64" i="58"/>
  <c r="D8" i="58"/>
  <c r="AB16" i="58"/>
  <c r="AB20" i="58"/>
  <c r="AB24" i="58"/>
  <c r="H30" i="58"/>
  <c r="T32" i="58"/>
  <c r="T56" i="58"/>
  <c r="T58" i="58"/>
  <c r="T66" i="58"/>
  <c r="AB74" i="58"/>
  <c r="X84" i="58"/>
  <c r="L18" i="58"/>
  <c r="T24" i="58"/>
  <c r="T26" i="58"/>
  <c r="D28" i="58"/>
  <c r="AB28" i="58"/>
  <c r="P34" i="58"/>
  <c r="P54" i="58"/>
  <c r="AB58" i="58"/>
  <c r="AB64" i="58"/>
  <c r="L6" i="58"/>
  <c r="T8" i="58"/>
  <c r="D34" i="58"/>
  <c r="AB14" i="58"/>
  <c r="AB6" i="58"/>
  <c r="T10" i="58"/>
  <c r="D12" i="58"/>
  <c r="P18" i="58"/>
  <c r="D6" i="58"/>
  <c r="L12" i="58"/>
  <c r="T14" i="58"/>
  <c r="L22" i="58"/>
  <c r="L30" i="58"/>
  <c r="T34" i="58"/>
  <c r="AB56" i="58"/>
  <c r="AB66" i="58"/>
  <c r="R24" i="58"/>
  <c r="G14" i="58"/>
  <c r="L94" i="58"/>
  <c r="AB94" i="58"/>
  <c r="T16" i="58"/>
  <c r="D18" i="58"/>
  <c r="T20" i="58"/>
  <c r="D22" i="58"/>
  <c r="AB22" i="58"/>
  <c r="P24" i="58"/>
  <c r="T28" i="58"/>
  <c r="L32" i="58"/>
  <c r="L56" i="58"/>
  <c r="L58" i="58"/>
  <c r="T74" i="58"/>
  <c r="J90" i="58"/>
  <c r="U88" i="58"/>
  <c r="M24" i="58"/>
  <c r="L28" i="58"/>
  <c r="L8" i="58"/>
  <c r="L24" i="58"/>
  <c r="L26" i="58"/>
  <c r="K50" i="58"/>
  <c r="Q56" i="58"/>
  <c r="AA114" i="58"/>
  <c r="Q58" i="58"/>
  <c r="Q54" i="58"/>
  <c r="Q66" i="58"/>
  <c r="Q82" i="58"/>
  <c r="Q10" i="58"/>
  <c r="Q6" i="58"/>
  <c r="S36" i="58"/>
  <c r="Q48" i="58"/>
  <c r="Q14" i="58"/>
  <c r="Q18" i="58"/>
  <c r="Q34" i="58"/>
  <c r="K16" i="58"/>
  <c r="S76" i="58"/>
  <c r="H12" i="58"/>
  <c r="Q52" i="58"/>
  <c r="P94" i="58"/>
  <c r="Q100" i="58"/>
  <c r="Z124" i="58"/>
  <c r="Q98" i="58"/>
  <c r="Q78" i="58"/>
  <c r="L86" i="58"/>
  <c r="J80" i="58"/>
  <c r="E80" i="58"/>
  <c r="D18" i="57"/>
  <c r="D26" i="57"/>
  <c r="D12" i="57"/>
  <c r="D20" i="57"/>
  <c r="Z52" i="57"/>
  <c r="R58" i="57"/>
  <c r="Z74" i="57"/>
  <c r="Z28" i="57"/>
  <c r="Z34" i="57"/>
  <c r="Z104" i="57"/>
  <c r="R42" i="57"/>
  <c r="Z6" i="57"/>
  <c r="Z14" i="57"/>
  <c r="J16" i="57"/>
  <c r="Z30" i="57"/>
  <c r="R36" i="57"/>
  <c r="Z40" i="57"/>
  <c r="Z58" i="57"/>
  <c r="J26" i="57"/>
  <c r="Z38" i="57"/>
  <c r="Z18" i="57"/>
  <c r="R22" i="57"/>
  <c r="Z26" i="57"/>
  <c r="Z32" i="57"/>
  <c r="J34" i="57"/>
  <c r="Z42" i="57"/>
  <c r="J12" i="57"/>
  <c r="R28" i="57"/>
  <c r="R32" i="57"/>
  <c r="J8" i="57"/>
  <c r="Z10" i="57"/>
  <c r="J30" i="57"/>
  <c r="Z44" i="57"/>
  <c r="R122" i="57"/>
  <c r="AA128" i="57"/>
  <c r="J24" i="57"/>
  <c r="R8" i="57"/>
  <c r="Z16" i="57"/>
  <c r="Z24" i="57"/>
  <c r="J32" i="57"/>
  <c r="Z36" i="57"/>
  <c r="AA48" i="57"/>
  <c r="AA16" i="57"/>
  <c r="Z22" i="57"/>
  <c r="J28" i="57"/>
  <c r="R34" i="57"/>
  <c r="AA66" i="57"/>
  <c r="Z88" i="57"/>
  <c r="AA108" i="57"/>
  <c r="J88" i="56"/>
  <c r="J12" i="56"/>
  <c r="J30" i="56"/>
  <c r="H90" i="56"/>
  <c r="N6" i="56"/>
  <c r="G30" i="56"/>
  <c r="F34" i="56"/>
  <c r="N104" i="56"/>
  <c r="N110" i="56"/>
  <c r="AB126" i="56"/>
  <c r="N18" i="56"/>
  <c r="N28" i="56"/>
  <c r="N34" i="56"/>
  <c r="V86" i="56"/>
  <c r="N26" i="56"/>
  <c r="V50" i="56"/>
  <c r="N94" i="56"/>
  <c r="T112" i="56"/>
  <c r="V8" i="56"/>
  <c r="V12" i="56"/>
  <c r="G56" i="56"/>
  <c r="V88" i="56"/>
  <c r="T106" i="56"/>
  <c r="T114" i="56"/>
  <c r="N8" i="56"/>
  <c r="V14" i="56"/>
  <c r="V94" i="56"/>
  <c r="V98" i="56"/>
  <c r="W106" i="56"/>
  <c r="V92" i="56"/>
  <c r="N10" i="56"/>
  <c r="N14" i="56"/>
  <c r="N52" i="56"/>
  <c r="T120" i="56"/>
  <c r="Q20" i="59"/>
  <c r="Q26" i="59"/>
  <c r="Q30" i="59"/>
  <c r="Q32" i="59"/>
  <c r="Q40" i="59"/>
  <c r="I42" i="59"/>
  <c r="Q120" i="59"/>
  <c r="W84" i="59"/>
  <c r="I36" i="59"/>
  <c r="I58" i="59"/>
  <c r="Q64" i="59"/>
  <c r="Q92" i="59"/>
  <c r="I6" i="59"/>
  <c r="I8" i="59"/>
  <c r="I24" i="59"/>
  <c r="Q34" i="59"/>
  <c r="I38" i="59"/>
  <c r="Q50" i="59"/>
  <c r="P74" i="59"/>
  <c r="P82" i="59"/>
  <c r="Q94" i="59"/>
  <c r="I22" i="59"/>
  <c r="I26" i="59"/>
  <c r="I32" i="59"/>
  <c r="Q52" i="59"/>
  <c r="Q56" i="59"/>
  <c r="Q68" i="59"/>
  <c r="Q74" i="59"/>
  <c r="Q36" i="59"/>
  <c r="X82" i="59"/>
  <c r="Q98" i="59"/>
  <c r="G118" i="59"/>
  <c r="Q10" i="59"/>
  <c r="Q28" i="59"/>
  <c r="H78" i="59"/>
  <c r="P80" i="59"/>
  <c r="X88" i="59"/>
  <c r="I76" i="59"/>
  <c r="J28" i="59"/>
  <c r="X76" i="59"/>
  <c r="W16" i="59"/>
  <c r="H20" i="59"/>
  <c r="H8" i="59"/>
  <c r="L16" i="58"/>
  <c r="L20" i="58"/>
  <c r="L74" i="58"/>
  <c r="J12" i="58"/>
  <c r="J98" i="58"/>
  <c r="H14" i="58"/>
  <c r="H8" i="58"/>
  <c r="D84" i="57"/>
  <c r="D14" i="57"/>
  <c r="R84" i="56"/>
  <c r="N12" i="56"/>
  <c r="N80" i="56"/>
  <c r="N86" i="56"/>
  <c r="J92" i="56"/>
  <c r="H92" i="56"/>
  <c r="F20" i="56"/>
  <c r="D118" i="60"/>
  <c r="D66" i="60"/>
  <c r="D36" i="60"/>
  <c r="D18" i="60"/>
  <c r="D56" i="60"/>
  <c r="D116" i="60"/>
  <c r="D106" i="60"/>
  <c r="D80" i="60"/>
  <c r="D64" i="60"/>
  <c r="D62" i="60"/>
  <c r="D20" i="60"/>
  <c r="D90" i="60"/>
  <c r="D76" i="60"/>
  <c r="D60" i="60"/>
  <c r="D54" i="60"/>
  <c r="D52" i="60"/>
  <c r="D50" i="60"/>
  <c r="D48" i="60"/>
  <c r="D46" i="60"/>
  <c r="D34" i="60"/>
  <c r="D22" i="60"/>
  <c r="D96" i="60"/>
  <c r="D84" i="60"/>
  <c r="D58" i="60"/>
  <c r="D44" i="60"/>
  <c r="D24" i="60"/>
  <c r="D38" i="60"/>
  <c r="D32" i="60"/>
  <c r="D16" i="60"/>
  <c r="D78" i="60"/>
  <c r="D26" i="60"/>
  <c r="D88" i="60"/>
  <c r="D42" i="60"/>
  <c r="D30" i="60"/>
  <c r="D28" i="60"/>
  <c r="D14" i="60"/>
  <c r="D8" i="60"/>
  <c r="D102" i="60"/>
  <c r="D68" i="60"/>
  <c r="D40" i="60"/>
  <c r="D12" i="60"/>
  <c r="D10" i="60"/>
  <c r="T120" i="60"/>
  <c r="T118" i="60"/>
  <c r="T100" i="60"/>
  <c r="T42" i="60"/>
  <c r="T14" i="60"/>
  <c r="T12" i="60"/>
  <c r="T10" i="60"/>
  <c r="T6" i="60"/>
  <c r="T90" i="60"/>
  <c r="T32" i="60"/>
  <c r="T28" i="60"/>
  <c r="T96" i="60"/>
  <c r="T66" i="60"/>
  <c r="T38" i="60"/>
  <c r="T16" i="60"/>
  <c r="T88" i="60"/>
  <c r="T20" i="60"/>
  <c r="T80" i="60"/>
  <c r="T56" i="60"/>
  <c r="T110" i="60"/>
  <c r="T94" i="60"/>
  <c r="T64" i="60"/>
  <c r="T34" i="60"/>
  <c r="T22" i="60"/>
  <c r="T18" i="60"/>
  <c r="T122" i="60"/>
  <c r="T102" i="60"/>
  <c r="T82" i="60"/>
  <c r="T24" i="60"/>
  <c r="T30" i="60"/>
  <c r="T8" i="60"/>
  <c r="T108" i="60"/>
  <c r="T74" i="60"/>
  <c r="T26" i="60"/>
  <c r="T92" i="60"/>
  <c r="AA14" i="60"/>
  <c r="AB16" i="60"/>
  <c r="S24" i="60"/>
  <c r="K26" i="60"/>
  <c r="K36" i="60"/>
  <c r="AA42" i="60"/>
  <c r="S44" i="60"/>
  <c r="S46" i="60"/>
  <c r="S48" i="60"/>
  <c r="S50" i="60"/>
  <c r="S52" i="60"/>
  <c r="S58" i="60"/>
  <c r="AA84" i="60"/>
  <c r="AA92" i="60"/>
  <c r="F16" i="60"/>
  <c r="E18" i="60"/>
  <c r="M18" i="60"/>
  <c r="AA6" i="60"/>
  <c r="AA8" i="60"/>
  <c r="AA10" i="60"/>
  <c r="AB14" i="60"/>
  <c r="S18" i="60"/>
  <c r="S22" i="60"/>
  <c r="K24" i="60"/>
  <c r="AA30" i="60"/>
  <c r="AA32" i="60"/>
  <c r="S34" i="60"/>
  <c r="K38" i="60"/>
  <c r="AB42" i="60"/>
  <c r="AA56" i="60"/>
  <c r="S60" i="60"/>
  <c r="S62" i="60"/>
  <c r="S64" i="60"/>
  <c r="K66" i="60"/>
  <c r="AA76" i="60"/>
  <c r="F14" i="60"/>
  <c r="AB6" i="60"/>
  <c r="AB8" i="60"/>
  <c r="AB10" i="60"/>
  <c r="AA12" i="60"/>
  <c r="S20" i="60"/>
  <c r="K22" i="60"/>
  <c r="AA26" i="60"/>
  <c r="AA28" i="60"/>
  <c r="K34" i="60"/>
  <c r="AA44" i="60"/>
  <c r="AA46" i="60"/>
  <c r="AA48" i="60"/>
  <c r="AA50" i="60"/>
  <c r="AA52" i="60"/>
  <c r="S54" i="60"/>
  <c r="AA58" i="60"/>
  <c r="AA74" i="60"/>
  <c r="AB82" i="60"/>
  <c r="AB122" i="60"/>
  <c r="K18" i="60"/>
  <c r="O18" i="60"/>
  <c r="D6" i="60"/>
  <c r="AB12" i="60"/>
  <c r="S16" i="60"/>
  <c r="K20" i="60"/>
  <c r="AA24" i="60"/>
  <c r="AB26" i="60"/>
  <c r="AB28" i="60"/>
  <c r="S36" i="60"/>
  <c r="S38" i="60"/>
  <c r="K40" i="60"/>
  <c r="K42" i="60"/>
  <c r="K56" i="60"/>
  <c r="AA60" i="60"/>
  <c r="AA62" i="60"/>
  <c r="S66" i="60"/>
  <c r="K68" i="60"/>
  <c r="K78" i="60"/>
  <c r="AA110" i="60"/>
  <c r="F128" i="60"/>
  <c r="K16" i="60"/>
  <c r="AA22" i="60"/>
  <c r="AB24" i="60"/>
  <c r="S32" i="60"/>
  <c r="AA34" i="60"/>
  <c r="AA64" i="60"/>
  <c r="K74" i="60"/>
  <c r="S78" i="60"/>
  <c r="F114" i="60"/>
  <c r="S6" i="60"/>
  <c r="S10" i="60"/>
  <c r="S12" i="60"/>
  <c r="S14" i="60"/>
  <c r="AA20" i="60"/>
  <c r="AB22" i="60"/>
  <c r="K32" i="60"/>
  <c r="AA36" i="60"/>
  <c r="S40" i="60"/>
  <c r="S42" i="60"/>
  <c r="AA54" i="60"/>
  <c r="S68" i="60"/>
  <c r="S8" i="60"/>
  <c r="K10" i="60"/>
  <c r="K12" i="60"/>
  <c r="K14" i="60"/>
  <c r="AA18" i="60"/>
  <c r="AB20" i="60"/>
  <c r="S28" i="60"/>
  <c r="S30" i="60"/>
  <c r="AA38" i="60"/>
  <c r="K44" i="60"/>
  <c r="K46" i="60"/>
  <c r="K48" i="60"/>
  <c r="K50" i="60"/>
  <c r="K52" i="60"/>
  <c r="K54" i="60"/>
  <c r="S56" i="60"/>
  <c r="K58" i="60"/>
  <c r="AA66" i="60"/>
  <c r="K76" i="60"/>
  <c r="S80" i="60"/>
  <c r="S84" i="60"/>
  <c r="F106" i="60"/>
  <c r="P88" i="59"/>
  <c r="P94" i="59"/>
  <c r="G28" i="59"/>
  <c r="O108" i="59"/>
  <c r="W14" i="59"/>
  <c r="P86" i="59"/>
  <c r="X90" i="59"/>
  <c r="P96" i="59"/>
  <c r="G112" i="59"/>
  <c r="H84" i="59"/>
  <c r="X86" i="59"/>
  <c r="H92" i="59"/>
  <c r="H114" i="59"/>
  <c r="G32" i="58"/>
  <c r="O34" i="58"/>
  <c r="O36" i="58"/>
  <c r="O38" i="58"/>
  <c r="O62" i="58"/>
  <c r="G78" i="58"/>
  <c r="O88" i="58"/>
  <c r="O8" i="58"/>
  <c r="G28" i="58"/>
  <c r="G46" i="58"/>
  <c r="O48" i="58"/>
  <c r="O54" i="58"/>
  <c r="O56" i="58"/>
  <c r="O60" i="58"/>
  <c r="D86" i="58"/>
  <c r="L14" i="58"/>
  <c r="M14" i="58"/>
  <c r="G12" i="58"/>
  <c r="G18" i="58"/>
  <c r="O20" i="58"/>
  <c r="O22" i="58"/>
  <c r="G30" i="58"/>
  <c r="O42" i="58"/>
  <c r="E84" i="58"/>
  <c r="G6" i="58"/>
  <c r="O52" i="58"/>
  <c r="R82" i="58"/>
  <c r="G8" i="58"/>
  <c r="O26" i="58"/>
  <c r="O32" i="58"/>
  <c r="G34" i="58"/>
  <c r="G40" i="58"/>
  <c r="O46" i="58"/>
  <c r="O74" i="58"/>
  <c r="O28" i="58"/>
  <c r="G38" i="58"/>
  <c r="O64" i="58"/>
  <c r="G68" i="58"/>
  <c r="Q90" i="58"/>
  <c r="O12" i="58"/>
  <c r="O16" i="58"/>
  <c r="O30" i="58"/>
  <c r="O40" i="58"/>
  <c r="K84" i="58"/>
  <c r="J94" i="58"/>
  <c r="J108" i="58"/>
  <c r="H6" i="57"/>
  <c r="F94" i="57"/>
  <c r="I116" i="57"/>
  <c r="Q96" i="57"/>
  <c r="E124" i="57"/>
  <c r="I124" i="57"/>
  <c r="Q78" i="57"/>
  <c r="F16" i="57"/>
  <c r="I122" i="57"/>
  <c r="G26" i="56"/>
  <c r="G34" i="56"/>
  <c r="G66" i="56"/>
  <c r="AB112" i="56"/>
  <c r="AB128" i="56"/>
  <c r="W88" i="56"/>
  <c r="G94" i="56"/>
  <c r="W80" i="56"/>
  <c r="O100" i="56"/>
  <c r="AB108" i="56"/>
  <c r="AB114" i="56"/>
  <c r="O8" i="56"/>
  <c r="G50" i="56"/>
  <c r="T104" i="56"/>
  <c r="G10" i="56"/>
  <c r="Q14" i="56"/>
  <c r="O12" i="56"/>
  <c r="G36" i="56"/>
  <c r="G42" i="56"/>
  <c r="W86" i="56"/>
  <c r="W46" i="56"/>
  <c r="O78" i="56"/>
  <c r="O84" i="56"/>
  <c r="O112" i="56"/>
  <c r="K8" i="56"/>
  <c r="L110" i="60"/>
  <c r="L12" i="60"/>
  <c r="L6" i="60"/>
  <c r="K84" i="60"/>
  <c r="D74" i="60"/>
  <c r="X12" i="59"/>
  <c r="X92" i="59"/>
  <c r="W90" i="59"/>
  <c r="W12" i="59"/>
  <c r="W92" i="59"/>
  <c r="Q18" i="59"/>
  <c r="Q16" i="59"/>
  <c r="P10" i="59"/>
  <c r="K76" i="59"/>
  <c r="K100" i="59"/>
  <c r="J6" i="59"/>
  <c r="J14" i="59"/>
  <c r="I88" i="59"/>
  <c r="I10" i="59"/>
  <c r="I12" i="59"/>
  <c r="H76" i="59"/>
  <c r="G84" i="59"/>
  <c r="G90" i="59"/>
  <c r="G100" i="59"/>
  <c r="G94" i="59"/>
  <c r="G14" i="59"/>
  <c r="O18" i="58"/>
  <c r="O14" i="58"/>
  <c r="O78" i="58"/>
  <c r="J14" i="58"/>
  <c r="E12" i="58"/>
  <c r="E14" i="58"/>
  <c r="Y120" i="58"/>
  <c r="Y40" i="58"/>
  <c r="Y104" i="58"/>
  <c r="Y80" i="58"/>
  <c r="Y6" i="58"/>
  <c r="Y56" i="58"/>
  <c r="Y66" i="58"/>
  <c r="Y52" i="58"/>
  <c r="Q118" i="58"/>
  <c r="P16" i="58"/>
  <c r="Q20" i="58"/>
  <c r="Q50" i="58"/>
  <c r="Q68" i="58"/>
  <c r="P92" i="58"/>
  <c r="Q110" i="58"/>
  <c r="I20" i="58"/>
  <c r="Q92" i="58"/>
  <c r="Q44" i="58"/>
  <c r="Q46" i="58"/>
  <c r="Q60" i="58"/>
  <c r="P62" i="58"/>
  <c r="Q76" i="58"/>
  <c r="Q80" i="58"/>
  <c r="J84" i="58"/>
  <c r="R86" i="58"/>
  <c r="Q112" i="58"/>
  <c r="Q104" i="58"/>
  <c r="Q64" i="58"/>
  <c r="Q12" i="58"/>
  <c r="Q30" i="58"/>
  <c r="Q32" i="58"/>
  <c r="R34" i="58"/>
  <c r="R36" i="58"/>
  <c r="Q40" i="58"/>
  <c r="R42" i="58"/>
  <c r="Z44" i="58"/>
  <c r="J52" i="58"/>
  <c r="J54" i="58"/>
  <c r="J56" i="58"/>
  <c r="Z58" i="58"/>
  <c r="R62" i="58"/>
  <c r="R64" i="58"/>
  <c r="R74" i="58"/>
  <c r="P84" i="58"/>
  <c r="P88" i="58"/>
  <c r="Q94" i="58"/>
  <c r="P116" i="58"/>
  <c r="Q36" i="58"/>
  <c r="Q42" i="58"/>
  <c r="Q62" i="58"/>
  <c r="Q74" i="58"/>
  <c r="Q8" i="58"/>
  <c r="Z18" i="58"/>
  <c r="H22" i="58"/>
  <c r="Z22" i="58"/>
  <c r="J24" i="58"/>
  <c r="Z24" i="58"/>
  <c r="J26" i="58"/>
  <c r="H28" i="58"/>
  <c r="R30" i="58"/>
  <c r="R32" i="58"/>
  <c r="Q38" i="58"/>
  <c r="R40" i="58"/>
  <c r="Z42" i="58"/>
  <c r="Z46" i="58"/>
  <c r="J50" i="58"/>
  <c r="Z60" i="58"/>
  <c r="Z62" i="58"/>
  <c r="J78" i="58"/>
  <c r="Z80" i="58"/>
  <c r="R84" i="58"/>
  <c r="R88" i="58"/>
  <c r="Q106" i="58"/>
  <c r="P118" i="58"/>
  <c r="Q94" i="57"/>
  <c r="Q90" i="57"/>
  <c r="Q100" i="57"/>
  <c r="Q92" i="57"/>
  <c r="M14" i="57"/>
  <c r="I74" i="57"/>
  <c r="I92" i="57"/>
  <c r="E12" i="57"/>
  <c r="E14" i="57"/>
  <c r="D16" i="57"/>
  <c r="N14" i="57"/>
  <c r="E114" i="57"/>
  <c r="I108" i="57"/>
  <c r="R16" i="57"/>
  <c r="E120" i="57"/>
  <c r="E128" i="57"/>
  <c r="P6" i="57"/>
  <c r="X8" i="57"/>
  <c r="F36" i="57"/>
  <c r="N26" i="57"/>
  <c r="E104" i="57"/>
  <c r="D104" i="57"/>
  <c r="Q6" i="56"/>
  <c r="L14" i="56"/>
  <c r="F10" i="56"/>
  <c r="L20" i="56"/>
  <c r="E18" i="56"/>
  <c r="M22" i="56"/>
  <c r="D8" i="56"/>
  <c r="D10" i="56"/>
  <c r="D12" i="56"/>
  <c r="L18" i="56"/>
  <c r="D24" i="56"/>
  <c r="D30" i="56"/>
  <c r="L48" i="56"/>
  <c r="L90" i="56"/>
  <c r="D18" i="56"/>
  <c r="L8" i="56"/>
  <c r="E12" i="56"/>
  <c r="M18" i="56"/>
  <c r="L24" i="56"/>
  <c r="L56" i="56"/>
  <c r="L84" i="56"/>
  <c r="E8" i="56"/>
  <c r="L38" i="56"/>
  <c r="L6" i="56"/>
  <c r="M8" i="56"/>
  <c r="D14" i="56"/>
  <c r="D16" i="56"/>
  <c r="L44" i="56"/>
  <c r="L74" i="56"/>
  <c r="M6" i="56"/>
  <c r="L12" i="56"/>
  <c r="E14" i="56"/>
  <c r="L30" i="56"/>
  <c r="E34" i="56"/>
  <c r="L88" i="56"/>
  <c r="L116" i="56"/>
  <c r="L10" i="56"/>
  <c r="M12" i="56"/>
  <c r="L16" i="56"/>
  <c r="E32" i="56"/>
  <c r="L36" i="56"/>
  <c r="L92" i="56"/>
  <c r="L106" i="56"/>
  <c r="V82" i="58"/>
  <c r="S14" i="58"/>
  <c r="R90" i="58"/>
  <c r="R12" i="58"/>
  <c r="Q86" i="58"/>
  <c r="P12" i="58"/>
  <c r="P14" i="58"/>
  <c r="O10" i="58"/>
  <c r="M12" i="58"/>
  <c r="E6" i="58"/>
  <c r="D14" i="58"/>
  <c r="D102" i="58"/>
  <c r="X84" i="57"/>
  <c r="R12" i="57"/>
  <c r="Q16" i="57"/>
  <c r="Q8" i="57"/>
  <c r="H100" i="57"/>
  <c r="H16" i="57"/>
  <c r="H14" i="57"/>
  <c r="E78" i="57"/>
  <c r="D108" i="57"/>
  <c r="D106" i="57"/>
  <c r="O96" i="56"/>
  <c r="O98" i="56"/>
  <c r="E20" i="56"/>
  <c r="M26" i="56"/>
  <c r="E28" i="56"/>
  <c r="Q50" i="56"/>
  <c r="Q62" i="56"/>
  <c r="T110" i="56"/>
  <c r="Y12" i="56"/>
  <c r="Y16" i="56"/>
  <c r="M28" i="56"/>
  <c r="Y62" i="56"/>
  <c r="L112" i="56"/>
  <c r="T118" i="56"/>
  <c r="Y6" i="56"/>
  <c r="E30" i="56"/>
  <c r="M32" i="56"/>
  <c r="M34" i="56"/>
  <c r="Q36" i="56"/>
  <c r="Q48" i="56"/>
  <c r="U54" i="56"/>
  <c r="M20" i="56"/>
  <c r="Q80" i="56"/>
  <c r="Q44" i="56"/>
  <c r="Y8" i="56"/>
  <c r="E24" i="56"/>
  <c r="Q38" i="56"/>
  <c r="Y14" i="56"/>
  <c r="Y10" i="56"/>
  <c r="Q16" i="56"/>
  <c r="E26" i="56"/>
  <c r="M30" i="56"/>
  <c r="Y38" i="56"/>
  <c r="Y52" i="56"/>
  <c r="J14" i="57"/>
  <c r="L32" i="57"/>
  <c r="W22" i="57"/>
  <c r="W40" i="57"/>
  <c r="M116" i="57"/>
  <c r="K10" i="58"/>
  <c r="AA10" i="58"/>
  <c r="Y18" i="58"/>
  <c r="S20" i="58"/>
  <c r="AA22" i="58"/>
  <c r="K28" i="58"/>
  <c r="AA30" i="58"/>
  <c r="S32" i="58"/>
  <c r="AA34" i="58"/>
  <c r="Y36" i="58"/>
  <c r="S42" i="58"/>
  <c r="Y46" i="58"/>
  <c r="K56" i="58"/>
  <c r="Y60" i="58"/>
  <c r="K66" i="58"/>
  <c r="H6" i="58"/>
  <c r="AA6" i="58"/>
  <c r="K24" i="58"/>
  <c r="Y24" i="58"/>
  <c r="Y28" i="58"/>
  <c r="AA40" i="58"/>
  <c r="Y42" i="58"/>
  <c r="S48" i="58"/>
  <c r="K52" i="58"/>
  <c r="AA52" i="58"/>
  <c r="S54" i="58"/>
  <c r="AA56" i="58"/>
  <c r="Y64" i="58"/>
  <c r="AA66" i="58"/>
  <c r="S74" i="58"/>
  <c r="K76" i="58"/>
  <c r="S86" i="58"/>
  <c r="K100" i="58"/>
  <c r="U24" i="58"/>
  <c r="Y14" i="58"/>
  <c r="Y16" i="58"/>
  <c r="AA18" i="58"/>
  <c r="K20" i="58"/>
  <c r="Y20" i="58"/>
  <c r="Y26" i="58"/>
  <c r="K32" i="58"/>
  <c r="Y32" i="58"/>
  <c r="AA36" i="58"/>
  <c r="K40" i="58"/>
  <c r="K46" i="58"/>
  <c r="AA46" i="58"/>
  <c r="Y48" i="58"/>
  <c r="Y54" i="58"/>
  <c r="S58" i="58"/>
  <c r="K60" i="58"/>
  <c r="AA60" i="58"/>
  <c r="K64" i="58"/>
  <c r="S68" i="58"/>
  <c r="AA24" i="58"/>
  <c r="AA28" i="58"/>
  <c r="S34" i="58"/>
  <c r="K36" i="58"/>
  <c r="S38" i="58"/>
  <c r="AA42" i="58"/>
  <c r="S44" i="58"/>
  <c r="S50" i="58"/>
  <c r="S62" i="58"/>
  <c r="AA64" i="58"/>
  <c r="Y68" i="58"/>
  <c r="Y74" i="58"/>
  <c r="K80" i="58"/>
  <c r="AA86" i="58"/>
  <c r="Y90" i="58"/>
  <c r="Y94" i="58"/>
  <c r="Y100" i="58"/>
  <c r="G16" i="58"/>
  <c r="O6" i="58"/>
  <c r="K82" i="58"/>
  <c r="S22" i="58"/>
  <c r="Y8" i="58"/>
  <c r="K12" i="58"/>
  <c r="Y12" i="58"/>
  <c r="AA14" i="58"/>
  <c r="AA16" i="58"/>
  <c r="AA20" i="58"/>
  <c r="K26" i="58"/>
  <c r="AA26" i="58"/>
  <c r="S30" i="58"/>
  <c r="AA32" i="58"/>
  <c r="K34" i="58"/>
  <c r="Y38" i="58"/>
  <c r="K42" i="58"/>
  <c r="Y44" i="58"/>
  <c r="AA48" i="58"/>
  <c r="Y50" i="58"/>
  <c r="K54" i="58"/>
  <c r="AA54" i="58"/>
  <c r="Y58" i="58"/>
  <c r="Y62" i="58"/>
  <c r="K74" i="58"/>
  <c r="AA76" i="58"/>
  <c r="AA90" i="58"/>
  <c r="H26" i="58"/>
  <c r="T12" i="58"/>
  <c r="S18" i="58"/>
  <c r="K48" i="58"/>
  <c r="S56" i="58"/>
  <c r="K62" i="58"/>
  <c r="S66" i="58"/>
  <c r="AA68" i="58"/>
  <c r="AA74" i="58"/>
  <c r="O104" i="58"/>
  <c r="AA8" i="58"/>
  <c r="Y10" i="58"/>
  <c r="AA12" i="58"/>
  <c r="K18" i="58"/>
  <c r="Y22" i="58"/>
  <c r="S28" i="58"/>
  <c r="K30" i="58"/>
  <c r="Y30" i="58"/>
  <c r="Y34" i="58"/>
  <c r="AA38" i="58"/>
  <c r="S40" i="58"/>
  <c r="K44" i="58"/>
  <c r="AA44" i="58"/>
  <c r="AA50" i="58"/>
  <c r="S52" i="58"/>
  <c r="K58" i="58"/>
  <c r="AA58" i="58"/>
  <c r="AA62" i="58"/>
  <c r="S80" i="58"/>
  <c r="Y92" i="58"/>
  <c r="AA96" i="58"/>
  <c r="S114" i="58"/>
  <c r="Y92" i="59"/>
  <c r="Y106" i="59"/>
  <c r="Y86" i="59"/>
  <c r="Y76" i="59"/>
  <c r="Y46" i="59"/>
  <c r="Y120" i="59"/>
  <c r="Y44" i="59"/>
  <c r="Y66" i="59"/>
  <c r="Y96" i="59"/>
  <c r="Y80" i="59"/>
  <c r="Y56" i="59"/>
  <c r="Y6" i="59"/>
  <c r="Y42" i="59"/>
  <c r="Y30" i="59"/>
  <c r="Y104" i="59"/>
  <c r="Y82" i="59"/>
  <c r="Y108" i="59"/>
  <c r="Y22" i="59"/>
  <c r="Y8" i="59"/>
  <c r="Y114" i="59"/>
  <c r="Y48" i="59"/>
  <c r="Y38" i="59"/>
  <c r="Y14" i="59"/>
  <c r="Y12" i="59"/>
  <c r="Y32" i="59"/>
  <c r="Y26" i="59"/>
  <c r="T8" i="59"/>
  <c r="AB20" i="59"/>
  <c r="X94" i="59"/>
  <c r="H108" i="59"/>
  <c r="X114" i="59"/>
  <c r="T6" i="59"/>
  <c r="L12" i="59"/>
  <c r="D16" i="59"/>
  <c r="L20" i="59"/>
  <c r="AB26" i="59"/>
  <c r="L28" i="59"/>
  <c r="AB28" i="59"/>
  <c r="L32" i="59"/>
  <c r="H88" i="59"/>
  <c r="P90" i="59"/>
  <c r="H96" i="59"/>
  <c r="X102" i="59"/>
  <c r="P108" i="59"/>
  <c r="P124" i="59"/>
  <c r="L8" i="59"/>
  <c r="L22" i="59"/>
  <c r="T30" i="59"/>
  <c r="D10" i="59"/>
  <c r="AB14" i="59"/>
  <c r="T18" i="59"/>
  <c r="T24" i="59"/>
  <c r="D34" i="59"/>
  <c r="T34" i="59"/>
  <c r="X96" i="59"/>
  <c r="D14" i="59"/>
  <c r="L18" i="59"/>
  <c r="T10" i="59"/>
  <c r="L14" i="59"/>
  <c r="L16" i="59"/>
  <c r="AB22" i="59"/>
  <c r="D26" i="59"/>
  <c r="T26" i="59"/>
  <c r="D32" i="59"/>
  <c r="H94" i="59"/>
  <c r="AB10" i="59"/>
  <c r="T22" i="59"/>
  <c r="H90" i="59"/>
  <c r="P92" i="59"/>
  <c r="P114" i="59"/>
  <c r="L26" i="59"/>
  <c r="T14" i="59"/>
  <c r="W26" i="59"/>
  <c r="W28" i="59"/>
  <c r="O20" i="59"/>
  <c r="O14" i="59"/>
  <c r="O22" i="59"/>
  <c r="O100" i="59"/>
  <c r="O92" i="59"/>
  <c r="O6" i="59"/>
  <c r="H16" i="59"/>
  <c r="H74" i="59"/>
  <c r="G10" i="59"/>
  <c r="G86" i="59"/>
  <c r="G24" i="59"/>
  <c r="D28" i="59"/>
  <c r="D6" i="59"/>
  <c r="D18" i="59"/>
  <c r="S12" i="58"/>
  <c r="S26" i="58"/>
  <c r="S78" i="58"/>
  <c r="Q26" i="58"/>
  <c r="Q120" i="58"/>
  <c r="Q22" i="58"/>
  <c r="Q28" i="58"/>
  <c r="Q84" i="58"/>
  <c r="P122" i="58"/>
  <c r="P8" i="58"/>
  <c r="P82" i="58"/>
  <c r="P10" i="58"/>
  <c r="K8" i="58"/>
  <c r="K14" i="58"/>
  <c r="K92" i="58"/>
  <c r="K6" i="58"/>
  <c r="I16" i="58"/>
  <c r="I82" i="58"/>
  <c r="I26" i="58"/>
  <c r="H16" i="58"/>
  <c r="H20" i="58"/>
  <c r="G10" i="58"/>
  <c r="G26" i="58"/>
  <c r="F24" i="58"/>
  <c r="R26" i="57"/>
  <c r="R20" i="57"/>
  <c r="R24" i="57"/>
  <c r="Q22" i="57"/>
  <c r="Q20" i="57"/>
  <c r="Q116" i="57"/>
  <c r="Q108" i="57"/>
  <c r="Q106" i="57"/>
  <c r="Q88" i="57"/>
  <c r="P16" i="57"/>
  <c r="P84" i="57"/>
  <c r="P8" i="57"/>
  <c r="P12" i="57"/>
  <c r="I22" i="57"/>
  <c r="I18" i="57"/>
  <c r="I6" i="57"/>
  <c r="I24" i="57"/>
  <c r="I90" i="57"/>
  <c r="I112" i="57"/>
  <c r="I10" i="57"/>
  <c r="I94" i="57"/>
  <c r="I98" i="57"/>
  <c r="I110" i="57"/>
  <c r="I114" i="57"/>
  <c r="H84" i="57"/>
  <c r="H8" i="57"/>
  <c r="H10" i="57"/>
  <c r="F8" i="57"/>
  <c r="F6" i="57"/>
  <c r="R68" i="56"/>
  <c r="R74" i="56"/>
  <c r="Q10" i="56"/>
  <c r="Q78" i="56"/>
  <c r="Q12" i="56"/>
  <c r="Q8" i="56"/>
  <c r="O22" i="56"/>
  <c r="J76" i="56"/>
  <c r="J8" i="56"/>
  <c r="H24" i="56"/>
  <c r="G90" i="56"/>
  <c r="G8" i="56"/>
  <c r="G18" i="56"/>
  <c r="O32" i="56"/>
  <c r="O42" i="56"/>
  <c r="G48" i="56"/>
  <c r="G60" i="56"/>
  <c r="O66" i="56"/>
  <c r="G76" i="56"/>
  <c r="G88" i="56"/>
  <c r="W102" i="56"/>
  <c r="W104" i="56"/>
  <c r="G120" i="56"/>
  <c r="G20" i="56"/>
  <c r="O26" i="56"/>
  <c r="G28" i="56"/>
  <c r="G40" i="56"/>
  <c r="G64" i="56"/>
  <c r="O76" i="56"/>
  <c r="W78" i="56"/>
  <c r="W84" i="56"/>
  <c r="O92" i="56"/>
  <c r="O94" i="56"/>
  <c r="W96" i="56"/>
  <c r="W98" i="56"/>
  <c r="W100" i="56"/>
  <c r="G108" i="56"/>
  <c r="O110" i="56"/>
  <c r="W112" i="56"/>
  <c r="G6" i="56"/>
  <c r="O14" i="56"/>
  <c r="O16" i="56"/>
  <c r="G24" i="56"/>
  <c r="O30" i="56"/>
  <c r="O34" i="56"/>
  <c r="O40" i="56"/>
  <c r="G54" i="56"/>
  <c r="O74" i="56"/>
  <c r="G80" i="56"/>
  <c r="O90" i="56"/>
  <c r="G104" i="56"/>
  <c r="G106" i="56"/>
  <c r="O108" i="56"/>
  <c r="W8" i="56"/>
  <c r="O10" i="56"/>
  <c r="W12" i="56"/>
  <c r="O20" i="56"/>
  <c r="G38" i="56"/>
  <c r="G46" i="56"/>
  <c r="G62" i="56"/>
  <c r="W76" i="56"/>
  <c r="W82" i="56"/>
  <c r="O88" i="56"/>
  <c r="L124" i="56"/>
  <c r="O6" i="56"/>
  <c r="W6" i="56"/>
  <c r="O18" i="56"/>
  <c r="G22" i="56"/>
  <c r="O28" i="56"/>
  <c r="G32" i="56"/>
  <c r="O46" i="56"/>
  <c r="G58" i="56"/>
  <c r="G68" i="56"/>
  <c r="O80" i="56"/>
  <c r="G84" i="56"/>
  <c r="O86" i="56"/>
  <c r="W90" i="56"/>
  <c r="W92" i="56"/>
  <c r="W94" i="56"/>
  <c r="G102" i="56"/>
  <c r="O106" i="56"/>
  <c r="W108" i="56"/>
  <c r="W110" i="56"/>
  <c r="G126" i="56"/>
  <c r="W20" i="56"/>
  <c r="O24" i="56"/>
  <c r="W28" i="56"/>
  <c r="W40" i="56"/>
  <c r="G44" i="56"/>
  <c r="G52" i="56"/>
  <c r="W74" i="56"/>
  <c r="G92" i="56"/>
  <c r="G98" i="56"/>
  <c r="G100" i="56"/>
  <c r="G112" i="56"/>
  <c r="O102" i="56"/>
  <c r="O104" i="56"/>
  <c r="G110" i="56"/>
  <c r="G96" i="56"/>
  <c r="W8" i="57"/>
  <c r="P100" i="57"/>
  <c r="Q110" i="57"/>
  <c r="Y124" i="57"/>
  <c r="I128" i="57"/>
  <c r="Y118" i="57"/>
  <c r="Y128" i="57"/>
  <c r="Y122" i="57"/>
  <c r="I126" i="57"/>
  <c r="F8" i="59"/>
  <c r="Y90" i="59"/>
  <c r="Y94" i="59"/>
  <c r="M30" i="59"/>
  <c r="M50" i="59"/>
  <c r="Y88" i="59"/>
  <c r="Q118" i="59"/>
  <c r="Q122" i="59"/>
  <c r="Q84" i="59"/>
  <c r="Q82" i="59"/>
  <c r="Q66" i="59"/>
  <c r="Q62" i="59"/>
  <c r="Q42" i="59"/>
  <c r="Q12" i="59"/>
  <c r="Q114" i="59"/>
  <c r="Q108" i="59"/>
  <c r="Q90" i="59"/>
  <c r="Q88" i="59"/>
  <c r="Q76" i="59"/>
  <c r="Q60" i="59"/>
  <c r="Q54" i="59"/>
  <c r="Q38" i="59"/>
  <c r="I118" i="59"/>
  <c r="I40" i="59"/>
  <c r="I34" i="59"/>
  <c r="I30" i="59"/>
  <c r="I28" i="59"/>
  <c r="I14" i="59"/>
  <c r="I122" i="59"/>
  <c r="I94" i="59"/>
  <c r="I64" i="59"/>
  <c r="I44" i="59"/>
  <c r="Y118" i="59"/>
  <c r="Y98" i="59"/>
  <c r="Y58" i="59"/>
  <c r="Y52" i="59"/>
  <c r="Y40" i="59"/>
  <c r="Y20" i="59"/>
  <c r="Y10" i="59"/>
  <c r="Y100" i="59"/>
  <c r="Y74" i="59"/>
  <c r="Y64" i="59"/>
  <c r="Y36" i="59"/>
  <c r="R18" i="59"/>
  <c r="R34" i="59"/>
  <c r="Z6" i="59"/>
  <c r="Z22" i="59"/>
  <c r="J16" i="59"/>
  <c r="J22" i="59"/>
  <c r="J34" i="59"/>
  <c r="Y50" i="59"/>
  <c r="J60" i="59"/>
  <c r="Y68" i="59"/>
  <c r="Y122" i="59"/>
  <c r="K126" i="59"/>
  <c r="K64" i="59"/>
  <c r="K32" i="59"/>
  <c r="K16" i="59"/>
  <c r="K8" i="59"/>
  <c r="K6" i="59"/>
  <c r="S90" i="59"/>
  <c r="S76" i="59"/>
  <c r="S54" i="59"/>
  <c r="S38" i="59"/>
  <c r="S34" i="59"/>
  <c r="S30" i="59"/>
  <c r="S28" i="59"/>
  <c r="S26" i="59"/>
  <c r="S14" i="59"/>
  <c r="S98" i="59"/>
  <c r="AA64" i="59"/>
  <c r="AA24" i="59"/>
  <c r="AA50" i="59"/>
  <c r="Y16" i="59"/>
  <c r="Y24" i="59"/>
  <c r="Y28" i="59"/>
  <c r="Y34" i="59"/>
  <c r="Y54" i="59"/>
  <c r="Q58" i="59"/>
  <c r="Q78" i="59"/>
  <c r="Q80" i="59"/>
  <c r="Y102" i="59"/>
  <c r="D24" i="59"/>
  <c r="D22" i="59"/>
  <c r="D12" i="59"/>
  <c r="L42" i="59"/>
  <c r="L10" i="59"/>
  <c r="AB32" i="59"/>
  <c r="AB12" i="59"/>
  <c r="Y84" i="59"/>
  <c r="Y18" i="59"/>
  <c r="R24" i="59"/>
  <c r="Y60" i="59"/>
  <c r="Y62" i="59"/>
  <c r="Y78" i="59"/>
  <c r="Q100" i="59"/>
  <c r="Q124" i="59"/>
  <c r="W10" i="59"/>
  <c r="W8" i="59"/>
  <c r="G26" i="59"/>
  <c r="W32" i="59"/>
  <c r="O44" i="59"/>
  <c r="G48" i="59"/>
  <c r="O50" i="59"/>
  <c r="O56" i="59"/>
  <c r="W60" i="59"/>
  <c r="G74" i="59"/>
  <c r="W88" i="59"/>
  <c r="O94" i="59"/>
  <c r="O106" i="59"/>
  <c r="W108" i="59"/>
  <c r="H10" i="59"/>
  <c r="X80" i="59"/>
  <c r="X6" i="57"/>
  <c r="R6" i="57"/>
  <c r="R14" i="57"/>
  <c r="R10" i="57"/>
  <c r="Q26" i="57"/>
  <c r="Q76" i="57"/>
  <c r="Q80" i="57"/>
  <c r="Q14" i="57"/>
  <c r="P26" i="57"/>
  <c r="P110" i="57"/>
  <c r="P28" i="57"/>
  <c r="P10" i="57"/>
  <c r="M78" i="57"/>
  <c r="L12" i="57"/>
  <c r="J6" i="57"/>
  <c r="J20" i="57"/>
  <c r="J22" i="57"/>
  <c r="I14" i="57"/>
  <c r="I80" i="57"/>
  <c r="I8" i="57"/>
  <c r="I16" i="57"/>
  <c r="I96" i="57"/>
  <c r="I76" i="57"/>
  <c r="I106" i="57"/>
  <c r="I20" i="57"/>
  <c r="H22" i="57"/>
  <c r="H20" i="57"/>
  <c r="H12" i="57"/>
  <c r="K20" i="56"/>
  <c r="J86" i="56"/>
  <c r="AI4" i="57"/>
  <c r="AJ4" i="57" s="1"/>
  <c r="AI4" i="58"/>
  <c r="AJ4" i="58" s="1"/>
  <c r="N118" i="58"/>
  <c r="N128" i="58"/>
  <c r="N112" i="58"/>
  <c r="N98" i="58"/>
  <c r="N64" i="58"/>
  <c r="N62" i="58"/>
  <c r="N20" i="58"/>
  <c r="N30" i="58"/>
  <c r="N24" i="58"/>
  <c r="N28" i="58"/>
  <c r="N22" i="58"/>
  <c r="N14" i="58"/>
  <c r="N86" i="58"/>
  <c r="N32" i="58"/>
  <c r="N26" i="58"/>
  <c r="N16" i="58"/>
  <c r="N8" i="58"/>
  <c r="N88" i="58"/>
  <c r="N82" i="58"/>
  <c r="N12" i="58"/>
  <c r="N10" i="58"/>
  <c r="N104" i="58"/>
  <c r="N96" i="58"/>
  <c r="N6" i="58"/>
  <c r="N56" i="58"/>
  <c r="N54" i="58"/>
  <c r="N34" i="58"/>
  <c r="N18" i="58"/>
  <c r="I96" i="58"/>
  <c r="P108" i="58"/>
  <c r="K114" i="58"/>
  <c r="Q122" i="58"/>
  <c r="V12" i="58"/>
  <c r="I30" i="58"/>
  <c r="F34" i="58"/>
  <c r="I88" i="58"/>
  <c r="Q108" i="58"/>
  <c r="Q114" i="58"/>
  <c r="Y122" i="58"/>
  <c r="F20" i="58"/>
  <c r="F62" i="58"/>
  <c r="I64" i="58"/>
  <c r="Q96" i="58"/>
  <c r="Y108" i="58"/>
  <c r="J124" i="58"/>
  <c r="S8" i="58"/>
  <c r="F6" i="58"/>
  <c r="F8" i="58"/>
  <c r="F10" i="58"/>
  <c r="F12" i="58"/>
  <c r="F18" i="58"/>
  <c r="V22" i="58"/>
  <c r="V62" i="58"/>
  <c r="I6" i="58"/>
  <c r="F14" i="58"/>
  <c r="F16" i="58"/>
  <c r="F26" i="58"/>
  <c r="F28" i="58"/>
  <c r="F32" i="58"/>
  <c r="F54" i="58"/>
  <c r="Q116" i="58"/>
  <c r="V6" i="58"/>
  <c r="I8" i="58"/>
  <c r="I10" i="58"/>
  <c r="F30" i="58"/>
  <c r="V54" i="58"/>
  <c r="Y106" i="58"/>
  <c r="T126" i="57"/>
  <c r="T30" i="57"/>
  <c r="T10" i="57"/>
  <c r="T88" i="57"/>
  <c r="T34" i="57"/>
  <c r="T24" i="57"/>
  <c r="T32" i="57"/>
  <c r="T14" i="57"/>
  <c r="T12" i="57"/>
  <c r="T82" i="57"/>
  <c r="T20" i="57"/>
  <c r="T8" i="57"/>
  <c r="T6" i="57"/>
  <c r="T114" i="57"/>
  <c r="T28" i="57"/>
  <c r="T16" i="57"/>
  <c r="G86" i="57"/>
  <c r="G112" i="57"/>
  <c r="G110" i="57"/>
  <c r="G100" i="57"/>
  <c r="G84" i="57"/>
  <c r="G76" i="57"/>
  <c r="G38" i="57"/>
  <c r="G34" i="57"/>
  <c r="G18" i="57"/>
  <c r="G78" i="57"/>
  <c r="G50" i="57"/>
  <c r="G30" i="57"/>
  <c r="G24" i="57"/>
  <c r="G10" i="57"/>
  <c r="G108" i="57"/>
  <c r="G116" i="57"/>
  <c r="G114" i="57"/>
  <c r="G88" i="57"/>
  <c r="G28" i="57"/>
  <c r="G118" i="57"/>
  <c r="G90" i="57"/>
  <c r="G80" i="57"/>
  <c r="G66" i="57"/>
  <c r="G64" i="57"/>
  <c r="G54" i="57"/>
  <c r="G52" i="57"/>
  <c r="G48" i="57"/>
  <c r="G42" i="57"/>
  <c r="G32" i="57"/>
  <c r="G12" i="57"/>
  <c r="G120" i="57"/>
  <c r="G46" i="57"/>
  <c r="G26" i="57"/>
  <c r="G124" i="57"/>
  <c r="G106" i="57"/>
  <c r="G102" i="57"/>
  <c r="G92" i="57"/>
  <c r="G68" i="57"/>
  <c r="G62" i="57"/>
  <c r="G60" i="57"/>
  <c r="G58" i="57"/>
  <c r="G56" i="57"/>
  <c r="G20" i="57"/>
  <c r="G14" i="57"/>
  <c r="G98" i="57"/>
  <c r="G128" i="57"/>
  <c r="G126" i="57"/>
  <c r="G122" i="57"/>
  <c r="G104" i="57"/>
  <c r="G94" i="57"/>
  <c r="G74" i="57"/>
  <c r="G40" i="57"/>
  <c r="G36" i="57"/>
  <c r="G16" i="57"/>
  <c r="G8" i="57"/>
  <c r="G6" i="57"/>
  <c r="G96" i="57"/>
  <c r="G82" i="57"/>
  <c r="G44" i="57"/>
  <c r="G22" i="57"/>
  <c r="N12" i="57"/>
  <c r="F14" i="57"/>
  <c r="F20" i="57"/>
  <c r="N32" i="57"/>
  <c r="F58" i="57"/>
  <c r="N86" i="57"/>
  <c r="F102" i="57"/>
  <c r="L112" i="57"/>
  <c r="J18" i="57"/>
  <c r="R18" i="57"/>
  <c r="N24" i="57"/>
  <c r="F26" i="57"/>
  <c r="L30" i="57"/>
  <c r="N108" i="57"/>
  <c r="F120" i="57"/>
  <c r="L16" i="57"/>
  <c r="T26" i="57"/>
  <c r="L18" i="57"/>
  <c r="N10" i="57"/>
  <c r="F12" i="57"/>
  <c r="N18" i="57"/>
  <c r="N30" i="57"/>
  <c r="F32" i="57"/>
  <c r="L34" i="57"/>
  <c r="N44" i="57"/>
  <c r="L104" i="57"/>
  <c r="M122" i="57"/>
  <c r="L28" i="57"/>
  <c r="N34" i="57"/>
  <c r="N36" i="57"/>
  <c r="N124" i="57"/>
  <c r="F10" i="57"/>
  <c r="N98" i="57"/>
  <c r="L6" i="57"/>
  <c r="L8" i="57"/>
  <c r="N16" i="57"/>
  <c r="N22" i="57"/>
  <c r="F24" i="57"/>
  <c r="N28" i="57"/>
  <c r="F30" i="57"/>
  <c r="N6" i="57"/>
  <c r="N8" i="57"/>
  <c r="L14" i="57"/>
  <c r="F18" i="57"/>
  <c r="N20" i="57"/>
  <c r="F34" i="57"/>
  <c r="L54" i="57"/>
  <c r="N64" i="57"/>
  <c r="F110" i="57"/>
  <c r="F22" i="57"/>
  <c r="L26" i="57"/>
  <c r="F28" i="57"/>
  <c r="N42" i="57"/>
  <c r="L116" i="57"/>
  <c r="AB120" i="57"/>
  <c r="X66" i="56"/>
  <c r="X104" i="56"/>
  <c r="X14" i="56"/>
  <c r="X112" i="56"/>
  <c r="X24" i="56"/>
  <c r="X102" i="56"/>
  <c r="X96" i="56"/>
  <c r="X90" i="56"/>
  <c r="X88" i="56"/>
  <c r="X84" i="56"/>
  <c r="X80" i="56"/>
  <c r="X98" i="56"/>
  <c r="X92" i="56"/>
  <c r="X110" i="56"/>
  <c r="X86" i="56"/>
  <c r="X60" i="56"/>
  <c r="X94" i="56"/>
  <c r="X82" i="56"/>
  <c r="X78" i="56"/>
  <c r="X76" i="56"/>
  <c r="X108" i="56"/>
  <c r="X106" i="56"/>
  <c r="X100" i="56"/>
  <c r="X74" i="56"/>
  <c r="I42" i="56"/>
  <c r="I20" i="56"/>
  <c r="I30" i="56"/>
  <c r="I34" i="56"/>
  <c r="I18" i="56"/>
  <c r="I10" i="56"/>
  <c r="I6" i="56"/>
  <c r="I12" i="56"/>
  <c r="I16" i="56"/>
  <c r="I106" i="56"/>
  <c r="I26" i="56"/>
  <c r="P126" i="56"/>
  <c r="P108" i="56"/>
  <c r="P40" i="56"/>
  <c r="P106" i="56"/>
  <c r="P16" i="56"/>
  <c r="P8" i="56"/>
  <c r="P46" i="56"/>
  <c r="P74" i="56"/>
  <c r="P58" i="56"/>
  <c r="P68" i="56"/>
  <c r="P32" i="56"/>
  <c r="P26" i="56"/>
  <c r="P34" i="56"/>
  <c r="P12" i="56"/>
  <c r="P60" i="56"/>
  <c r="P28" i="56"/>
  <c r="P22" i="56"/>
  <c r="P10" i="56"/>
  <c r="P112" i="56"/>
  <c r="P96" i="56"/>
  <c r="P84" i="56"/>
  <c r="P80" i="56"/>
  <c r="P14" i="56"/>
  <c r="P6" i="56"/>
  <c r="U76" i="56"/>
  <c r="H122" i="56"/>
  <c r="Q96" i="56"/>
  <c r="H98" i="56"/>
  <c r="Q102" i="56"/>
  <c r="H106" i="56"/>
  <c r="G116" i="56"/>
  <c r="L122" i="56"/>
  <c r="T128" i="56"/>
  <c r="H8" i="56"/>
  <c r="H12" i="56"/>
  <c r="Q18" i="56"/>
  <c r="Q34" i="56"/>
  <c r="Y36" i="56"/>
  <c r="Y40" i="56"/>
  <c r="U42" i="56"/>
  <c r="Y44" i="56"/>
  <c r="Y48" i="56"/>
  <c r="H58" i="56"/>
  <c r="H68" i="56"/>
  <c r="H94" i="56"/>
  <c r="Y100" i="56"/>
  <c r="R112" i="56"/>
  <c r="Y122" i="56"/>
  <c r="Y128" i="56"/>
  <c r="H14" i="56"/>
  <c r="U28" i="56"/>
  <c r="Y46" i="56"/>
  <c r="H56" i="56"/>
  <c r="H66" i="56"/>
  <c r="Y78" i="56"/>
  <c r="Y82" i="56"/>
  <c r="Y94" i="56"/>
  <c r="Q104" i="56"/>
  <c r="Y116" i="56"/>
  <c r="H16" i="56"/>
  <c r="H74" i="56"/>
  <c r="U6" i="56"/>
  <c r="H10" i="56"/>
  <c r="U14" i="56"/>
  <c r="H18" i="56"/>
  <c r="U18" i="56"/>
  <c r="Q20" i="56"/>
  <c r="U22" i="56"/>
  <c r="U24" i="56"/>
  <c r="Q26" i="56"/>
  <c r="Q30" i="56"/>
  <c r="H34" i="56"/>
  <c r="H40" i="56"/>
  <c r="H54" i="56"/>
  <c r="H76" i="56"/>
  <c r="U92" i="56"/>
  <c r="Q98" i="56"/>
  <c r="H100" i="56"/>
  <c r="H108" i="56"/>
  <c r="H110" i="56"/>
  <c r="Y110" i="56"/>
  <c r="U8" i="56"/>
  <c r="U12" i="56"/>
  <c r="Y26" i="56"/>
  <c r="U32" i="56"/>
  <c r="H38" i="56"/>
  <c r="H42" i="56"/>
  <c r="Q58" i="56"/>
  <c r="Y68" i="56"/>
  <c r="H78" i="56"/>
  <c r="H80" i="56"/>
  <c r="H84" i="56"/>
  <c r="H88" i="56"/>
  <c r="Y88" i="56"/>
  <c r="Y90" i="56"/>
  <c r="D6" i="56"/>
  <c r="G16" i="56"/>
  <c r="H60" i="56"/>
  <c r="H22" i="56"/>
  <c r="Y24" i="56"/>
  <c r="H28" i="56"/>
  <c r="H30" i="56"/>
  <c r="H44" i="56"/>
  <c r="H46" i="56"/>
  <c r="H48" i="56"/>
  <c r="H50" i="56"/>
  <c r="H52" i="56"/>
  <c r="Q54" i="56"/>
  <c r="Y56" i="56"/>
  <c r="Q76" i="56"/>
  <c r="H82" i="56"/>
  <c r="H96" i="56"/>
  <c r="H102" i="56"/>
  <c r="I14" i="56"/>
  <c r="W100" i="59"/>
  <c r="T16" i="59"/>
  <c r="T20" i="59"/>
  <c r="Q6" i="59"/>
  <c r="Q96" i="59"/>
  <c r="Q104" i="59"/>
  <c r="Q86" i="59"/>
  <c r="K90" i="59"/>
  <c r="I20" i="59"/>
  <c r="G18" i="59"/>
  <c r="S6" i="58"/>
  <c r="S16" i="58"/>
  <c r="S10" i="58"/>
  <c r="S90" i="58"/>
  <c r="R14" i="58"/>
  <c r="R8" i="58"/>
  <c r="R98" i="58"/>
  <c r="R78" i="58"/>
  <c r="R76" i="58"/>
  <c r="R94" i="58"/>
  <c r="Q24" i="58"/>
  <c r="Q102" i="58"/>
  <c r="Q16" i="58"/>
  <c r="K22" i="58"/>
  <c r="J88" i="58"/>
  <c r="J18" i="58"/>
  <c r="J20" i="58"/>
  <c r="H18" i="58"/>
  <c r="H24" i="58"/>
  <c r="G20" i="58"/>
  <c r="D24" i="58"/>
  <c r="AM83" i="58"/>
  <c r="AN83" i="58" s="1"/>
  <c r="T18" i="57"/>
  <c r="T22" i="57"/>
  <c r="S8" i="57"/>
  <c r="L22" i="57"/>
  <c r="L20" i="57"/>
  <c r="L76" i="57"/>
  <c r="L24" i="57"/>
  <c r="D128" i="57"/>
  <c r="D10" i="57"/>
  <c r="N96" i="56"/>
  <c r="N16" i="56"/>
  <c r="M16" i="56"/>
  <c r="M24" i="56"/>
  <c r="M10" i="56"/>
  <c r="I8" i="56"/>
  <c r="H126" i="56"/>
  <c r="H86" i="56"/>
  <c r="H26" i="56"/>
  <c r="H6" i="56"/>
  <c r="H20" i="56"/>
  <c r="G12" i="56"/>
  <c r="G86" i="56"/>
  <c r="G14" i="56"/>
  <c r="AI76" i="56"/>
  <c r="AJ76" i="56" s="1"/>
  <c r="F12" i="56"/>
  <c r="F14" i="56"/>
  <c r="F6" i="56"/>
  <c r="F8" i="56"/>
  <c r="F16" i="56"/>
  <c r="E16" i="56"/>
  <c r="E10" i="56"/>
  <c r="E6" i="56"/>
  <c r="AI82" i="56"/>
  <c r="AJ82" i="56" s="1"/>
  <c r="AM96" i="56"/>
  <c r="AN96" i="56" s="1"/>
  <c r="AI90" i="56"/>
  <c r="AJ90" i="56" s="1"/>
  <c r="AI84" i="56"/>
  <c r="AJ84" i="56" s="1"/>
  <c r="AM98" i="56"/>
  <c r="AN98" i="56" s="1"/>
  <c r="AK77" i="56"/>
  <c r="AL77" i="56" s="1"/>
  <c r="AK85" i="56"/>
  <c r="AL85" i="56" s="1"/>
  <c r="AK95" i="56"/>
  <c r="AL95" i="56" s="1"/>
  <c r="AI100" i="56"/>
  <c r="AJ100" i="56" s="1"/>
  <c r="AK79" i="56"/>
  <c r="AL79" i="56" s="1"/>
  <c r="AK101" i="56"/>
  <c r="AL101" i="56" s="1"/>
  <c r="AM80" i="56"/>
  <c r="AN80" i="56" s="1"/>
  <c r="AI92" i="56"/>
  <c r="AJ92" i="56" s="1"/>
  <c r="AK93" i="56"/>
  <c r="AL93" i="56" s="1"/>
  <c r="AK87" i="56"/>
  <c r="AL87" i="56" s="1"/>
  <c r="AM88" i="56"/>
  <c r="AN88" i="56" s="1"/>
  <c r="AI90" i="57"/>
  <c r="AJ90" i="57" s="1"/>
  <c r="AM8" i="57"/>
  <c r="AN8" i="57" s="1"/>
  <c r="AM75" i="56"/>
  <c r="AN75" i="56" s="1"/>
  <c r="AM90" i="56"/>
  <c r="AN90" i="56" s="1"/>
  <c r="AM82" i="56"/>
  <c r="AN82" i="56" s="1"/>
  <c r="AI9" i="57"/>
  <c r="AJ9" i="57" s="1"/>
  <c r="AK19" i="56"/>
  <c r="AL19" i="56" s="1"/>
  <c r="AM5" i="56"/>
  <c r="AN5" i="56" s="1"/>
  <c r="AK24" i="56"/>
  <c r="AL24" i="56" s="1"/>
  <c r="AM24" i="57"/>
  <c r="AN24" i="57" s="1"/>
  <c r="AI6" i="59"/>
  <c r="AJ6" i="59" s="1"/>
  <c r="AI27" i="56"/>
  <c r="AJ27" i="56" s="1"/>
  <c r="AI14" i="56"/>
  <c r="AJ14" i="56" s="1"/>
  <c r="AM23" i="56"/>
  <c r="AN23" i="56" s="1"/>
  <c r="AI15" i="56"/>
  <c r="AJ15" i="56" s="1"/>
  <c r="AM18" i="56"/>
  <c r="AN18" i="56" s="1"/>
  <c r="AM7" i="57"/>
  <c r="AN7" i="57" s="1"/>
  <c r="AK11" i="58"/>
  <c r="AL11" i="58" s="1"/>
  <c r="AI9" i="56"/>
  <c r="AJ9" i="56" s="1"/>
  <c r="AV25" i="58"/>
  <c r="E112" i="59"/>
  <c r="E122" i="59"/>
  <c r="E90" i="59"/>
  <c r="E36" i="59"/>
  <c r="E30" i="59"/>
  <c r="E8" i="59"/>
  <c r="E84" i="59"/>
  <c r="E80" i="59"/>
  <c r="E46" i="59"/>
  <c r="E26" i="59"/>
  <c r="E62" i="59"/>
  <c r="E64" i="59"/>
  <c r="E22" i="59"/>
  <c r="E18" i="59"/>
  <c r="E14" i="59"/>
  <c r="E10" i="59"/>
  <c r="E106" i="59"/>
  <c r="E88" i="59"/>
  <c r="E76" i="59"/>
  <c r="E66" i="59"/>
  <c r="E58" i="59"/>
  <c r="E42" i="59"/>
  <c r="E40" i="59"/>
  <c r="E38" i="59"/>
  <c r="E74" i="59"/>
  <c r="E104" i="59"/>
  <c r="E52" i="59"/>
  <c r="E50" i="59"/>
  <c r="E48" i="59"/>
  <c r="E28" i="59"/>
  <c r="E54" i="59"/>
  <c r="E102" i="59"/>
  <c r="E82" i="59"/>
  <c r="E78" i="59"/>
  <c r="E68" i="59"/>
  <c r="E32" i="59"/>
  <c r="E24" i="59"/>
  <c r="E56" i="59"/>
  <c r="E96" i="59"/>
  <c r="E86" i="59"/>
  <c r="E60" i="59"/>
  <c r="E44" i="59"/>
  <c r="E34" i="59"/>
  <c r="E20" i="59"/>
  <c r="E16" i="59"/>
  <c r="E12" i="59"/>
  <c r="E6" i="59"/>
  <c r="U128" i="59"/>
  <c r="U102" i="59"/>
  <c r="U74" i="59"/>
  <c r="U56" i="59"/>
  <c r="U36" i="59"/>
  <c r="U30" i="59"/>
  <c r="U8" i="59"/>
  <c r="U104" i="59"/>
  <c r="U96" i="59"/>
  <c r="U80" i="59"/>
  <c r="U64" i="59"/>
  <c r="U46" i="59"/>
  <c r="U40" i="59"/>
  <c r="U38" i="59"/>
  <c r="U26" i="59"/>
  <c r="U106" i="59"/>
  <c r="U84" i="59"/>
  <c r="U76" i="59"/>
  <c r="U66" i="59"/>
  <c r="U50" i="59"/>
  <c r="U48" i="59"/>
  <c r="U22" i="59"/>
  <c r="U18" i="59"/>
  <c r="U14" i="59"/>
  <c r="U10" i="59"/>
  <c r="U58" i="59"/>
  <c r="U42" i="59"/>
  <c r="U122" i="59"/>
  <c r="U88" i="59"/>
  <c r="U60" i="59"/>
  <c r="U52" i="59"/>
  <c r="U28" i="59"/>
  <c r="U90" i="59"/>
  <c r="U62" i="59"/>
  <c r="U112" i="59"/>
  <c r="U82" i="59"/>
  <c r="U78" i="59"/>
  <c r="U54" i="59"/>
  <c r="U32" i="59"/>
  <c r="U24" i="59"/>
  <c r="U86" i="59"/>
  <c r="U68" i="59"/>
  <c r="U44" i="59"/>
  <c r="U34" i="59"/>
  <c r="U20" i="59"/>
  <c r="U16" i="59"/>
  <c r="U12" i="59"/>
  <c r="U6" i="59"/>
  <c r="N116" i="59"/>
  <c r="N60" i="59"/>
  <c r="N52" i="59"/>
  <c r="N26" i="59"/>
  <c r="N82" i="59"/>
  <c r="N22" i="59"/>
  <c r="N18" i="59"/>
  <c r="N14" i="59"/>
  <c r="N10" i="59"/>
  <c r="N42" i="59"/>
  <c r="N30" i="59"/>
  <c r="N128" i="59"/>
  <c r="N54" i="59"/>
  <c r="N28" i="59"/>
  <c r="N8" i="59"/>
  <c r="N36" i="59"/>
  <c r="N32" i="59"/>
  <c r="N24" i="59"/>
  <c r="N34" i="59"/>
  <c r="N20" i="59"/>
  <c r="N16" i="59"/>
  <c r="N12" i="59"/>
  <c r="N6" i="59"/>
  <c r="N66" i="59"/>
  <c r="N38" i="59"/>
  <c r="N48" i="59"/>
  <c r="M6" i="59"/>
  <c r="M12" i="59"/>
  <c r="M16" i="59"/>
  <c r="M20" i="59"/>
  <c r="M34" i="59"/>
  <c r="M40" i="59"/>
  <c r="I46" i="59"/>
  <c r="I80" i="59"/>
  <c r="I84" i="59"/>
  <c r="I108" i="59"/>
  <c r="M122" i="59"/>
  <c r="F6" i="59"/>
  <c r="F12" i="59"/>
  <c r="F16" i="59"/>
  <c r="F20" i="59"/>
  <c r="M24" i="59"/>
  <c r="M32" i="59"/>
  <c r="F34" i="59"/>
  <c r="M46" i="59"/>
  <c r="M80" i="59"/>
  <c r="I90" i="59"/>
  <c r="I100" i="59"/>
  <c r="I106" i="59"/>
  <c r="F24" i="59"/>
  <c r="M28" i="59"/>
  <c r="F32" i="59"/>
  <c r="I54" i="59"/>
  <c r="I56" i="59"/>
  <c r="I62" i="59"/>
  <c r="I74" i="59"/>
  <c r="I96" i="59"/>
  <c r="I98" i="59"/>
  <c r="I102" i="59"/>
  <c r="Y124" i="59"/>
  <c r="F28" i="59"/>
  <c r="I60" i="59"/>
  <c r="M62" i="59"/>
  <c r="I86" i="59"/>
  <c r="M102" i="59"/>
  <c r="I104" i="59"/>
  <c r="I114" i="59"/>
  <c r="I120" i="59"/>
  <c r="M128" i="59"/>
  <c r="M10" i="59"/>
  <c r="M14" i="59"/>
  <c r="M18" i="59"/>
  <c r="M22" i="59"/>
  <c r="M44" i="59"/>
  <c r="I68" i="59"/>
  <c r="I78" i="59"/>
  <c r="I82" i="59"/>
  <c r="F10" i="59"/>
  <c r="F14" i="59"/>
  <c r="F18" i="59"/>
  <c r="F22" i="59"/>
  <c r="M26" i="59"/>
  <c r="I48" i="59"/>
  <c r="I50" i="59"/>
  <c r="I52" i="59"/>
  <c r="M60" i="59"/>
  <c r="M78" i="59"/>
  <c r="I92" i="59"/>
  <c r="I124" i="59"/>
  <c r="M8" i="59"/>
  <c r="W66" i="58"/>
  <c r="W54" i="58"/>
  <c r="W42" i="58"/>
  <c r="W20" i="58"/>
  <c r="W16" i="58"/>
  <c r="W12" i="58"/>
  <c r="W60" i="58"/>
  <c r="W46" i="58"/>
  <c r="W44" i="58"/>
  <c r="W8" i="58"/>
  <c r="W122" i="58"/>
  <c r="W58" i="58"/>
  <c r="W48" i="58"/>
  <c r="W30" i="58"/>
  <c r="W26" i="58"/>
  <c r="W36" i="58"/>
  <c r="W82" i="58"/>
  <c r="W78" i="58"/>
  <c r="W76" i="58"/>
  <c r="W74" i="58"/>
  <c r="W64" i="58"/>
  <c r="W52" i="58"/>
  <c r="W50" i="58"/>
  <c r="W22" i="58"/>
  <c r="W84" i="58"/>
  <c r="W18" i="58"/>
  <c r="W14" i="58"/>
  <c r="W104" i="58"/>
  <c r="W92" i="58"/>
  <c r="W80" i="58"/>
  <c r="W56" i="58"/>
  <c r="W10" i="58"/>
  <c r="W38" i="58"/>
  <c r="W90" i="58"/>
  <c r="W62" i="58"/>
  <c r="W34" i="58"/>
  <c r="W28" i="58"/>
  <c r="W24" i="58"/>
  <c r="W6" i="58"/>
  <c r="W88" i="58"/>
  <c r="W68" i="58"/>
  <c r="W40" i="58"/>
  <c r="W32" i="58"/>
  <c r="E10" i="58"/>
  <c r="M10" i="58"/>
  <c r="U10" i="58"/>
  <c r="I12" i="58"/>
  <c r="M42" i="58"/>
  <c r="E52" i="58"/>
  <c r="E54" i="58"/>
  <c r="U56" i="58"/>
  <c r="E58" i="58"/>
  <c r="O66" i="58"/>
  <c r="I74" i="58"/>
  <c r="E78" i="58"/>
  <c r="I80" i="58"/>
  <c r="U80" i="58"/>
  <c r="S82" i="58"/>
  <c r="I84" i="58"/>
  <c r="S84" i="58"/>
  <c r="E86" i="58"/>
  <c r="Y88" i="58"/>
  <c r="S92" i="58"/>
  <c r="K96" i="58"/>
  <c r="I98" i="58"/>
  <c r="I100" i="58"/>
  <c r="Y110" i="58"/>
  <c r="Y114" i="58"/>
  <c r="I120" i="58"/>
  <c r="Q124" i="58"/>
  <c r="E22" i="58"/>
  <c r="M22" i="58"/>
  <c r="U22" i="58"/>
  <c r="M36" i="58"/>
  <c r="M38" i="58"/>
  <c r="M40" i="58"/>
  <c r="E50" i="58"/>
  <c r="I52" i="58"/>
  <c r="M56" i="58"/>
  <c r="I58" i="58"/>
  <c r="M68" i="58"/>
  <c r="E76" i="58"/>
  <c r="U82" i="58"/>
  <c r="U84" i="58"/>
  <c r="I86" i="58"/>
  <c r="I90" i="58"/>
  <c r="I102" i="58"/>
  <c r="I112" i="58"/>
  <c r="I122" i="58"/>
  <c r="I32" i="58"/>
  <c r="E46" i="58"/>
  <c r="E48" i="58"/>
  <c r="I50" i="58"/>
  <c r="U50" i="58"/>
  <c r="U52" i="58"/>
  <c r="I54" i="58"/>
  <c r="E60" i="58"/>
  <c r="E62" i="58"/>
  <c r="U64" i="58"/>
  <c r="E66" i="58"/>
  <c r="U74" i="58"/>
  <c r="I76" i="58"/>
  <c r="U76" i="58"/>
  <c r="I78" i="58"/>
  <c r="U78" i="58"/>
  <c r="M82" i="58"/>
  <c r="U86" i="58"/>
  <c r="O122" i="58"/>
  <c r="I24" i="58"/>
  <c r="E26" i="58"/>
  <c r="M26" i="58"/>
  <c r="U26" i="58"/>
  <c r="I28" i="58"/>
  <c r="E30" i="58"/>
  <c r="M30" i="58"/>
  <c r="U30" i="58"/>
  <c r="I34" i="58"/>
  <c r="E44" i="58"/>
  <c r="I48" i="58"/>
  <c r="U48" i="58"/>
  <c r="U58" i="58"/>
  <c r="I60" i="58"/>
  <c r="M64" i="58"/>
  <c r="I66" i="58"/>
  <c r="M80" i="58"/>
  <c r="M84" i="58"/>
  <c r="K86" i="58"/>
  <c r="Y86" i="58"/>
  <c r="K90" i="58"/>
  <c r="I92" i="58"/>
  <c r="AA92" i="58"/>
  <c r="S96" i="58"/>
  <c r="Y102" i="58"/>
  <c r="I106" i="58"/>
  <c r="E126" i="58"/>
  <c r="E40" i="58"/>
  <c r="E42" i="58"/>
  <c r="I44" i="58"/>
  <c r="U44" i="58"/>
  <c r="I46" i="58"/>
  <c r="U46" i="58"/>
  <c r="M52" i="58"/>
  <c r="U54" i="58"/>
  <c r="E56" i="58"/>
  <c r="U60" i="58"/>
  <c r="I62" i="58"/>
  <c r="E68" i="58"/>
  <c r="M74" i="58"/>
  <c r="Y76" i="58"/>
  <c r="K78" i="58"/>
  <c r="Y78" i="58"/>
  <c r="O80" i="58"/>
  <c r="AA80" i="58"/>
  <c r="O82" i="58"/>
  <c r="Y82" i="58"/>
  <c r="O84" i="58"/>
  <c r="Y84" i="58"/>
  <c r="O90" i="58"/>
  <c r="I94" i="58"/>
  <c r="Y96" i="58"/>
  <c r="Y98" i="58"/>
  <c r="U100" i="58"/>
  <c r="E110" i="58"/>
  <c r="Y112" i="58"/>
  <c r="Y116" i="58"/>
  <c r="I14" i="58"/>
  <c r="E16" i="58"/>
  <c r="M16" i="58"/>
  <c r="U16" i="58"/>
  <c r="I18" i="58"/>
  <c r="E20" i="58"/>
  <c r="M20" i="58"/>
  <c r="U20" i="58"/>
  <c r="I22" i="58"/>
  <c r="E36" i="58"/>
  <c r="I42" i="58"/>
  <c r="U42" i="58"/>
  <c r="M50" i="58"/>
  <c r="M54" i="58"/>
  <c r="I56" i="58"/>
  <c r="M58" i="58"/>
  <c r="U66" i="58"/>
  <c r="M76" i="58"/>
  <c r="M78" i="58"/>
  <c r="E82" i="58"/>
  <c r="M86" i="58"/>
  <c r="O92" i="58"/>
  <c r="I104" i="58"/>
  <c r="I110" i="58"/>
  <c r="I118" i="58"/>
  <c r="U126" i="58"/>
  <c r="M6" i="58"/>
  <c r="U6" i="58"/>
  <c r="E32" i="58"/>
  <c r="M32" i="58"/>
  <c r="U32" i="58"/>
  <c r="I36" i="58"/>
  <c r="U36" i="58"/>
  <c r="I38" i="58"/>
  <c r="U38" i="58"/>
  <c r="I40" i="58"/>
  <c r="U40" i="58"/>
  <c r="M48" i="58"/>
  <c r="O58" i="58"/>
  <c r="M60" i="58"/>
  <c r="U62" i="58"/>
  <c r="E64" i="58"/>
  <c r="I68" i="58"/>
  <c r="U68" i="58"/>
  <c r="O76" i="58"/>
  <c r="AA78" i="58"/>
  <c r="AA82" i="58"/>
  <c r="AA84" i="58"/>
  <c r="E88" i="58"/>
  <c r="I108" i="58"/>
  <c r="I124" i="58"/>
  <c r="K102" i="57"/>
  <c r="K34" i="57"/>
  <c r="K68" i="57"/>
  <c r="K32" i="57"/>
  <c r="K28" i="57"/>
  <c r="K24" i="57"/>
  <c r="K20" i="57"/>
  <c r="K16" i="57"/>
  <c r="K12" i="57"/>
  <c r="K6" i="57"/>
  <c r="K40" i="57"/>
  <c r="K8" i="57"/>
  <c r="K104" i="57"/>
  <c r="K54" i="57"/>
  <c r="K30" i="57"/>
  <c r="K26" i="57"/>
  <c r="K76" i="57"/>
  <c r="K22" i="57"/>
  <c r="K18" i="57"/>
  <c r="K14" i="57"/>
  <c r="K10" i="57"/>
  <c r="O128" i="57"/>
  <c r="O110" i="57"/>
  <c r="O108" i="57"/>
  <c r="O94" i="57"/>
  <c r="O82" i="57"/>
  <c r="O68" i="57"/>
  <c r="O60" i="57"/>
  <c r="O52" i="57"/>
  <c r="O44" i="57"/>
  <c r="O38" i="57"/>
  <c r="O120" i="57"/>
  <c r="O126" i="57"/>
  <c r="O106" i="57"/>
  <c r="O92" i="57"/>
  <c r="O66" i="57"/>
  <c r="O8" i="57"/>
  <c r="O42" i="57"/>
  <c r="O124" i="57"/>
  <c r="O64" i="57"/>
  <c r="O58" i="57"/>
  <c r="O48" i="57"/>
  <c r="O30" i="57"/>
  <c r="O26" i="57"/>
  <c r="O104" i="57"/>
  <c r="O100" i="57"/>
  <c r="O90" i="57"/>
  <c r="O54" i="57"/>
  <c r="O40" i="57"/>
  <c r="O22" i="57"/>
  <c r="O18" i="57"/>
  <c r="O14" i="57"/>
  <c r="O10" i="57"/>
  <c r="O112" i="57"/>
  <c r="O62" i="57"/>
  <c r="O46" i="57"/>
  <c r="O122" i="57"/>
  <c r="O116" i="57"/>
  <c r="O86" i="57"/>
  <c r="O78" i="57"/>
  <c r="O76" i="57"/>
  <c r="O56" i="57"/>
  <c r="O34" i="57"/>
  <c r="O84" i="57"/>
  <c r="O32" i="57"/>
  <c r="O28" i="57"/>
  <c r="O24" i="57"/>
  <c r="O118" i="57"/>
  <c r="O88" i="57"/>
  <c r="O114" i="57"/>
  <c r="O102" i="57"/>
  <c r="O96" i="57"/>
  <c r="O74" i="57"/>
  <c r="O50" i="57"/>
  <c r="O36" i="57"/>
  <c r="O20" i="57"/>
  <c r="O16" i="57"/>
  <c r="O12" i="57"/>
  <c r="O6" i="57"/>
  <c r="O98" i="57"/>
  <c r="O80" i="57"/>
  <c r="U112" i="57"/>
  <c r="U104" i="57"/>
  <c r="U32" i="57"/>
  <c r="U28" i="57"/>
  <c r="U24" i="57"/>
  <c r="U102" i="57"/>
  <c r="U18" i="57"/>
  <c r="U90" i="57"/>
  <c r="U20" i="57"/>
  <c r="U16" i="57"/>
  <c r="U12" i="57"/>
  <c r="U6" i="57"/>
  <c r="U22" i="57"/>
  <c r="U14" i="57"/>
  <c r="U88" i="57"/>
  <c r="U8" i="57"/>
  <c r="U30" i="57"/>
  <c r="U26" i="57"/>
  <c r="U82" i="57"/>
  <c r="U34" i="57"/>
  <c r="U66" i="57"/>
  <c r="U58" i="57"/>
  <c r="U10" i="57"/>
  <c r="S10" i="57"/>
  <c r="S14" i="57"/>
  <c r="S18" i="57"/>
  <c r="S22" i="57"/>
  <c r="AA64" i="57"/>
  <c r="AA124" i="57"/>
  <c r="AA8" i="57"/>
  <c r="S26" i="57"/>
  <c r="S30" i="57"/>
  <c r="M34" i="57"/>
  <c r="M62" i="57"/>
  <c r="AA92" i="57"/>
  <c r="AA100" i="57"/>
  <c r="AA106" i="57"/>
  <c r="M112" i="57"/>
  <c r="AA6" i="57"/>
  <c r="AA24" i="57"/>
  <c r="M26" i="57"/>
  <c r="AA28" i="57"/>
  <c r="M30" i="57"/>
  <c r="AA32" i="57"/>
  <c r="AA52" i="57"/>
  <c r="M54" i="57"/>
  <c r="M90" i="57"/>
  <c r="M104" i="57"/>
  <c r="S6" i="57"/>
  <c r="M8" i="57"/>
  <c r="S12" i="57"/>
  <c r="S16" i="57"/>
  <c r="S20" i="57"/>
  <c r="AA40" i="57"/>
  <c r="M58" i="57"/>
  <c r="AA110" i="57"/>
  <c r="S24" i="57"/>
  <c r="S28" i="57"/>
  <c r="S32" i="57"/>
  <c r="AA34" i="57"/>
  <c r="AA38" i="57"/>
  <c r="M92" i="57"/>
  <c r="AA98" i="57"/>
  <c r="AA120" i="57"/>
  <c r="M6" i="57"/>
  <c r="AA10" i="57"/>
  <c r="M12" i="57"/>
  <c r="AA14" i="57"/>
  <c r="M16" i="57"/>
  <c r="AA18" i="57"/>
  <c r="M20" i="57"/>
  <c r="M36" i="57"/>
  <c r="AA78" i="57"/>
  <c r="AA86" i="57"/>
  <c r="AA116" i="57"/>
  <c r="AA22" i="57"/>
  <c r="M24" i="57"/>
  <c r="AA26" i="57"/>
  <c r="M28" i="57"/>
  <c r="AA30" i="57"/>
  <c r="M32" i="57"/>
  <c r="AA36" i="57"/>
  <c r="AA46" i="57"/>
  <c r="M50" i="57"/>
  <c r="M74" i="57"/>
  <c r="E10" i="60"/>
  <c r="M10" i="60"/>
  <c r="U10" i="60"/>
  <c r="F76" i="60"/>
  <c r="F112" i="60"/>
  <c r="E16" i="60"/>
  <c r="M16" i="60"/>
  <c r="U16" i="60"/>
  <c r="E22" i="60"/>
  <c r="M22" i="60"/>
  <c r="U22" i="60"/>
  <c r="E30" i="60"/>
  <c r="M30" i="60"/>
  <c r="U30" i="60"/>
  <c r="F98" i="60"/>
  <c r="F102" i="60"/>
  <c r="F126" i="60"/>
  <c r="E24" i="60"/>
  <c r="M24" i="60"/>
  <c r="U24" i="60"/>
  <c r="E32" i="60"/>
  <c r="M32" i="60"/>
  <c r="U32" i="60"/>
  <c r="E34" i="60"/>
  <c r="M34" i="60"/>
  <c r="U34" i="60"/>
  <c r="O76" i="60"/>
  <c r="G80" i="60"/>
  <c r="G118" i="60"/>
  <c r="T126" i="60"/>
  <c r="E26" i="60"/>
  <c r="M26" i="60"/>
  <c r="U26" i="60"/>
  <c r="F74" i="60"/>
  <c r="F92" i="60"/>
  <c r="K110" i="60"/>
  <c r="W118" i="60"/>
  <c r="E8" i="60"/>
  <c r="M8" i="60"/>
  <c r="U8" i="60"/>
  <c r="E6" i="60"/>
  <c r="M6" i="60"/>
  <c r="U6" i="60"/>
  <c r="E14" i="60"/>
  <c r="M14" i="60"/>
  <c r="U14" i="60"/>
  <c r="E20" i="60"/>
  <c r="AC19" i="60" s="1"/>
  <c r="M20" i="60"/>
  <c r="U20" i="60"/>
  <c r="E28" i="60"/>
  <c r="S120" i="56"/>
  <c r="S78" i="56"/>
  <c r="S30" i="56"/>
  <c r="S16" i="56"/>
  <c r="S42" i="56"/>
  <c r="S24" i="56"/>
  <c r="S128" i="56"/>
  <c r="S48" i="56"/>
  <c r="S18" i="56"/>
  <c r="S32" i="56"/>
  <c r="S22" i="56"/>
  <c r="S20" i="56"/>
  <c r="S94" i="56"/>
  <c r="S34" i="56"/>
  <c r="S110" i="56"/>
  <c r="S12" i="56"/>
  <c r="S8" i="56"/>
  <c r="S28" i="56"/>
  <c r="S14" i="56"/>
  <c r="S10" i="56"/>
  <c r="S26" i="56"/>
  <c r="S6" i="56"/>
  <c r="AA16" i="56"/>
  <c r="K10" i="56"/>
  <c r="K14" i="56"/>
  <c r="F18" i="56"/>
  <c r="R24" i="56"/>
  <c r="K26" i="56"/>
  <c r="F28" i="56"/>
  <c r="T62" i="56"/>
  <c r="J78" i="56"/>
  <c r="V82" i="56"/>
  <c r="V90" i="56"/>
  <c r="L100" i="56"/>
  <c r="V102" i="56"/>
  <c r="Q118" i="56"/>
  <c r="Q32" i="56"/>
  <c r="Q22" i="56"/>
  <c r="Q112" i="56"/>
  <c r="Q108" i="56"/>
  <c r="Q106" i="56"/>
  <c r="Q84" i="56"/>
  <c r="Q74" i="56"/>
  <c r="Q68" i="56"/>
  <c r="Q64" i="56"/>
  <c r="Q46" i="56"/>
  <c r="Q40" i="56"/>
  <c r="Q122" i="56"/>
  <c r="Q100" i="56"/>
  <c r="Q92" i="56"/>
  <c r="Q90" i="56"/>
  <c r="Q88" i="56"/>
  <c r="Q66" i="56"/>
  <c r="Q56" i="56"/>
  <c r="Q52" i="56"/>
  <c r="Q42" i="56"/>
  <c r="Q24" i="56"/>
  <c r="Q128" i="56"/>
  <c r="Q116" i="56"/>
  <c r="Q60" i="56"/>
  <c r="Q28" i="56"/>
  <c r="Y118" i="56"/>
  <c r="Y42" i="56"/>
  <c r="Y28" i="56"/>
  <c r="Y96" i="56"/>
  <c r="Y80" i="56"/>
  <c r="Y76" i="56"/>
  <c r="Y60" i="56"/>
  <c r="Y34" i="56"/>
  <c r="Y32" i="56"/>
  <c r="Y22" i="56"/>
  <c r="Y112" i="56"/>
  <c r="Y108" i="56"/>
  <c r="Y106" i="56"/>
  <c r="Y84" i="56"/>
  <c r="Y74" i="56"/>
  <c r="Y30" i="56"/>
  <c r="Y104" i="56"/>
  <c r="Y102" i="56"/>
  <c r="Y92" i="56"/>
  <c r="Y86" i="56"/>
  <c r="Y58" i="56"/>
  <c r="Y54" i="56"/>
  <c r="Y50" i="56"/>
  <c r="Y20" i="56"/>
  <c r="Z62" i="56"/>
  <c r="Z44" i="56"/>
  <c r="Z38" i="56"/>
  <c r="Z26" i="56"/>
  <c r="Z104" i="56"/>
  <c r="Z92" i="56"/>
  <c r="Z58" i="56"/>
  <c r="Z54" i="56"/>
  <c r="Z50" i="56"/>
  <c r="Z20" i="56"/>
  <c r="Z118" i="56"/>
  <c r="Z90" i="56"/>
  <c r="Z88" i="56"/>
  <c r="Z68" i="56"/>
  <c r="Z64" i="56"/>
  <c r="Z46" i="56"/>
  <c r="Z40" i="56"/>
  <c r="Z36" i="56"/>
  <c r="Z24" i="56"/>
  <c r="J112" i="56"/>
  <c r="J108" i="56"/>
  <c r="J106" i="56"/>
  <c r="J84" i="56"/>
  <c r="J74" i="56"/>
  <c r="J34" i="56"/>
  <c r="J26" i="56"/>
  <c r="J20" i="56"/>
  <c r="J28" i="56"/>
  <c r="J96" i="56"/>
  <c r="J80" i="56"/>
  <c r="J18" i="56"/>
  <c r="K30" i="56"/>
  <c r="K24" i="56"/>
  <c r="K18" i="56"/>
  <c r="K32" i="56"/>
  <c r="K22" i="56"/>
  <c r="AA18" i="56"/>
  <c r="AA24" i="56"/>
  <c r="AA28" i="56"/>
  <c r="AA14" i="56"/>
  <c r="K12" i="56"/>
  <c r="K28" i="56"/>
  <c r="V100" i="56"/>
  <c r="V104" i="56"/>
  <c r="I118" i="56"/>
  <c r="I82" i="56"/>
  <c r="I56" i="56"/>
  <c r="I32" i="56"/>
  <c r="I22" i="56"/>
  <c r="I100" i="56"/>
  <c r="I98" i="56"/>
  <c r="I36" i="56"/>
  <c r="I24" i="56"/>
  <c r="I28" i="56"/>
  <c r="D28" i="56"/>
  <c r="D32" i="56"/>
  <c r="D22" i="56"/>
  <c r="D34" i="56"/>
  <c r="D26" i="56"/>
  <c r="L128" i="56"/>
  <c r="L110" i="56"/>
  <c r="L104" i="56"/>
  <c r="L102" i="56"/>
  <c r="L94" i="56"/>
  <c r="L86" i="56"/>
  <c r="L66" i="56"/>
  <c r="L60" i="56"/>
  <c r="L52" i="56"/>
  <c r="L42" i="56"/>
  <c r="L126" i="56"/>
  <c r="L120" i="56"/>
  <c r="L114" i="56"/>
  <c r="L98" i="56"/>
  <c r="L58" i="56"/>
  <c r="L28" i="56"/>
  <c r="L96" i="56"/>
  <c r="L80" i="56"/>
  <c r="L68" i="56"/>
  <c r="L32" i="56"/>
  <c r="L22" i="56"/>
  <c r="L82" i="56"/>
  <c r="L78" i="56"/>
  <c r="L76" i="56"/>
  <c r="L62" i="56"/>
  <c r="L46" i="56"/>
  <c r="L40" i="56"/>
  <c r="L34" i="56"/>
  <c r="L26" i="56"/>
  <c r="T82" i="56"/>
  <c r="T76" i="56"/>
  <c r="T54" i="56"/>
  <c r="T50" i="56"/>
  <c r="T36" i="56"/>
  <c r="T122" i="56"/>
  <c r="T100" i="56"/>
  <c r="T92" i="56"/>
  <c r="T90" i="56"/>
  <c r="T88" i="56"/>
  <c r="T56" i="56"/>
  <c r="T52" i="56"/>
  <c r="T28" i="56"/>
  <c r="T116" i="56"/>
  <c r="T98" i="56"/>
  <c r="T60" i="56"/>
  <c r="T44" i="56"/>
  <c r="T38" i="56"/>
  <c r="T32" i="56"/>
  <c r="T22" i="56"/>
  <c r="T124" i="56"/>
  <c r="T34" i="56"/>
  <c r="T26" i="56"/>
  <c r="AB122" i="56"/>
  <c r="AB98" i="56"/>
  <c r="AB56" i="56"/>
  <c r="AB52" i="56"/>
  <c r="AB48" i="56"/>
  <c r="AB22" i="56"/>
  <c r="AB116" i="56"/>
  <c r="AB110" i="56"/>
  <c r="AB106" i="56"/>
  <c r="AB94" i="56"/>
  <c r="AB82" i="56"/>
  <c r="AB74" i="56"/>
  <c r="AB30" i="56"/>
  <c r="AB20" i="56"/>
  <c r="AB124" i="56"/>
  <c r="AB118" i="56"/>
  <c r="AB102" i="56"/>
  <c r="AB90" i="56"/>
  <c r="AB88" i="56"/>
  <c r="AB86" i="56"/>
  <c r="AB68" i="56"/>
  <c r="AB64" i="56"/>
  <c r="AB46" i="56"/>
  <c r="AB40" i="56"/>
  <c r="AB36" i="56"/>
  <c r="AB28" i="56"/>
  <c r="AB100" i="56"/>
  <c r="AB42" i="56"/>
  <c r="AA6" i="56"/>
  <c r="K16" i="56"/>
  <c r="N20" i="56"/>
  <c r="Z32" i="56"/>
  <c r="V34" i="56"/>
  <c r="R36" i="56"/>
  <c r="R46" i="56"/>
  <c r="R52" i="56"/>
  <c r="R54" i="56"/>
  <c r="T58" i="56"/>
  <c r="T78" i="56"/>
  <c r="J82" i="56"/>
  <c r="T86" i="56"/>
  <c r="J90" i="56"/>
  <c r="N98" i="56"/>
  <c r="L108" i="56"/>
  <c r="AB120" i="56"/>
  <c r="P98" i="56"/>
  <c r="P48" i="56"/>
  <c r="P44" i="56"/>
  <c r="P38" i="56"/>
  <c r="P18" i="56"/>
  <c r="P82" i="56"/>
  <c r="P78" i="56"/>
  <c r="P76" i="56"/>
  <c r="P54" i="56"/>
  <c r="P50" i="56"/>
  <c r="P36" i="56"/>
  <c r="P30" i="56"/>
  <c r="P110" i="56"/>
  <c r="P104" i="56"/>
  <c r="P102" i="56"/>
  <c r="P94" i="56"/>
  <c r="P86" i="56"/>
  <c r="P62" i="56"/>
  <c r="P20" i="56"/>
  <c r="P122" i="56"/>
  <c r="P100" i="56"/>
  <c r="P92" i="56"/>
  <c r="P90" i="56"/>
  <c r="P88" i="56"/>
  <c r="P66" i="56"/>
  <c r="P56" i="56"/>
  <c r="P52" i="56"/>
  <c r="P42" i="56"/>
  <c r="P24" i="56"/>
  <c r="K34" i="56"/>
  <c r="R118" i="56"/>
  <c r="R96" i="56"/>
  <c r="R80" i="56"/>
  <c r="R58" i="56"/>
  <c r="R34" i="56"/>
  <c r="R26" i="56"/>
  <c r="R110" i="56"/>
  <c r="R104" i="56"/>
  <c r="R102" i="56"/>
  <c r="R94" i="56"/>
  <c r="R86" i="56"/>
  <c r="R62" i="56"/>
  <c r="R20" i="56"/>
  <c r="R28" i="56"/>
  <c r="R98" i="56"/>
  <c r="R48" i="56"/>
  <c r="R44" i="56"/>
  <c r="R38" i="56"/>
  <c r="R18" i="56"/>
  <c r="F82" i="56"/>
  <c r="F24" i="56"/>
  <c r="F66" i="56"/>
  <c r="F32" i="56"/>
  <c r="F22" i="56"/>
  <c r="F30" i="56"/>
  <c r="N50" i="56"/>
  <c r="N100" i="56"/>
  <c r="N92" i="56"/>
  <c r="N90" i="56"/>
  <c r="N88" i="56"/>
  <c r="N24" i="56"/>
  <c r="N32" i="56"/>
  <c r="N22" i="56"/>
  <c r="N82" i="56"/>
  <c r="N78" i="56"/>
  <c r="N76" i="56"/>
  <c r="N30" i="56"/>
  <c r="N112" i="56"/>
  <c r="N108" i="56"/>
  <c r="N106" i="56"/>
  <c r="N84" i="56"/>
  <c r="N74" i="56"/>
  <c r="V10" i="56"/>
  <c r="V112" i="56"/>
  <c r="V108" i="56"/>
  <c r="V106" i="56"/>
  <c r="V84" i="56"/>
  <c r="V74" i="56"/>
  <c r="V64" i="56"/>
  <c r="V78" i="56"/>
  <c r="V96" i="56"/>
  <c r="V80" i="56"/>
  <c r="V76" i="56"/>
  <c r="R122" i="56"/>
  <c r="U124" i="56"/>
  <c r="U126" i="56"/>
  <c r="U110" i="56"/>
  <c r="U94" i="56"/>
  <c r="U68" i="56"/>
  <c r="U20" i="56"/>
  <c r="U128" i="56"/>
  <c r="U66" i="56"/>
  <c r="U48" i="56"/>
  <c r="U34" i="56"/>
  <c r="U26" i="56"/>
  <c r="U78" i="56"/>
  <c r="U30" i="56"/>
  <c r="U16" i="56"/>
  <c r="M84" i="60"/>
  <c r="M48" i="60"/>
  <c r="M64" i="60"/>
  <c r="M62" i="60"/>
  <c r="U122" i="60"/>
  <c r="U80" i="60"/>
  <c r="U66" i="60"/>
  <c r="U64" i="60"/>
  <c r="U56" i="60"/>
  <c r="U68" i="60"/>
  <c r="U62" i="60"/>
  <c r="U60" i="60"/>
  <c r="U58" i="60"/>
  <c r="U78" i="60"/>
  <c r="U40" i="60"/>
  <c r="U36" i="60"/>
  <c r="U42" i="60"/>
  <c r="U38" i="60"/>
  <c r="U84" i="60"/>
  <c r="U54" i="60"/>
  <c r="U44" i="60"/>
  <c r="U76" i="60"/>
  <c r="U52" i="60"/>
  <c r="U50" i="60"/>
  <c r="U48" i="60"/>
  <c r="U46" i="60"/>
  <c r="U74" i="60"/>
  <c r="N118" i="60"/>
  <c r="N110" i="60"/>
  <c r="N108" i="60"/>
  <c r="N104" i="60"/>
  <c r="N88" i="60"/>
  <c r="N84" i="60"/>
  <c r="N44" i="60"/>
  <c r="N50" i="60"/>
  <c r="N48" i="60"/>
  <c r="N46" i="60"/>
  <c r="N116" i="60"/>
  <c r="N100" i="60"/>
  <c r="N122" i="60"/>
  <c r="N120" i="60"/>
  <c r="N90" i="60"/>
  <c r="N82" i="60"/>
  <c r="N54" i="60"/>
  <c r="N52" i="60"/>
  <c r="N124" i="60"/>
  <c r="N112" i="60"/>
  <c r="N80" i="60"/>
  <c r="N76" i="60"/>
  <c r="N74" i="60"/>
  <c r="N38" i="60"/>
  <c r="N114" i="60"/>
  <c r="N66" i="60"/>
  <c r="N64" i="60"/>
  <c r="N96" i="60"/>
  <c r="N94" i="60"/>
  <c r="N78" i="60"/>
  <c r="N68" i="60"/>
  <c r="N62" i="60"/>
  <c r="N60" i="60"/>
  <c r="N58" i="60"/>
  <c r="N56" i="60"/>
  <c r="N128" i="60"/>
  <c r="N42" i="60"/>
  <c r="N126" i="60"/>
  <c r="N102" i="60"/>
  <c r="N98" i="60"/>
  <c r="N92" i="60"/>
  <c r="N86" i="60"/>
  <c r="N40" i="60"/>
  <c r="N36" i="60"/>
  <c r="N106" i="60"/>
  <c r="V124" i="60"/>
  <c r="V122" i="60"/>
  <c r="V82" i="60"/>
  <c r="V68" i="60"/>
  <c r="V62" i="60"/>
  <c r="V60" i="60"/>
  <c r="V58" i="60"/>
  <c r="V24" i="60"/>
  <c r="V112" i="60"/>
  <c r="V78" i="60"/>
  <c r="V40" i="60"/>
  <c r="V36" i="60"/>
  <c r="V34" i="60"/>
  <c r="V12" i="60"/>
  <c r="V64" i="60"/>
  <c r="V42" i="60"/>
  <c r="V38" i="60"/>
  <c r="V28" i="60"/>
  <c r="V20" i="60"/>
  <c r="V10" i="60"/>
  <c r="V96" i="60"/>
  <c r="V94" i="60"/>
  <c r="V54" i="60"/>
  <c r="V44" i="60"/>
  <c r="V32" i="60"/>
  <c r="V22" i="60"/>
  <c r="V16" i="60"/>
  <c r="V104" i="60"/>
  <c r="V98" i="60"/>
  <c r="V86" i="60"/>
  <c r="V52" i="60"/>
  <c r="V50" i="60"/>
  <c r="V48" i="60"/>
  <c r="V46" i="60"/>
  <c r="V30" i="60"/>
  <c r="V26" i="60"/>
  <c r="V14" i="60"/>
  <c r="V120" i="60"/>
  <c r="V66" i="60"/>
  <c r="V128" i="60"/>
  <c r="V106" i="60"/>
  <c r="V74" i="60"/>
  <c r="V6" i="60"/>
  <c r="V118" i="60"/>
  <c r="V108" i="60"/>
  <c r="V88" i="60"/>
  <c r="V76" i="60"/>
  <c r="V18" i="60"/>
  <c r="V8" i="60"/>
  <c r="V80" i="60"/>
  <c r="V56" i="60"/>
  <c r="J120" i="60"/>
  <c r="J128" i="60"/>
  <c r="J106" i="60"/>
  <c r="J64" i="60"/>
  <c r="J62" i="60"/>
  <c r="J40" i="60"/>
  <c r="J66" i="60"/>
  <c r="J58" i="60"/>
  <c r="J118" i="60"/>
  <c r="J108" i="60"/>
  <c r="J42" i="60"/>
  <c r="J38" i="60"/>
  <c r="J36" i="60"/>
  <c r="J86" i="60"/>
  <c r="J60" i="60"/>
  <c r="J44" i="60"/>
  <c r="J110" i="60"/>
  <c r="J82" i="60"/>
  <c r="J50" i="60"/>
  <c r="J46" i="60"/>
  <c r="J80" i="60"/>
  <c r="J54" i="60"/>
  <c r="J52" i="60"/>
  <c r="J48" i="60"/>
  <c r="J124" i="60"/>
  <c r="J76" i="60"/>
  <c r="J74" i="60"/>
  <c r="J78" i="60"/>
  <c r="J68" i="60"/>
  <c r="J56" i="60"/>
  <c r="J114" i="60"/>
  <c r="Z128" i="60"/>
  <c r="Z54" i="60"/>
  <c r="Z38" i="60"/>
  <c r="Z16" i="60"/>
  <c r="Z92" i="60"/>
  <c r="Z76" i="60"/>
  <c r="Z28" i="60"/>
  <c r="Z68" i="60"/>
  <c r="Z12" i="60"/>
  <c r="AM9" i="60"/>
  <c r="AN9" i="60" s="1"/>
  <c r="AB32" i="60"/>
  <c r="AB34" i="60"/>
  <c r="AB36" i="60"/>
  <c r="AB38" i="60"/>
  <c r="AB40" i="60"/>
  <c r="T46" i="60"/>
  <c r="F48" i="60"/>
  <c r="T48" i="60"/>
  <c r="T50" i="60"/>
  <c r="F52" i="60"/>
  <c r="T52" i="60"/>
  <c r="F54" i="60"/>
  <c r="AB54" i="60"/>
  <c r="X58" i="60"/>
  <c r="L64" i="60"/>
  <c r="F80" i="60"/>
  <c r="AB80" i="60"/>
  <c r="F96" i="60"/>
  <c r="R104" i="60"/>
  <c r="T106" i="60"/>
  <c r="R116" i="60"/>
  <c r="AB120" i="60"/>
  <c r="F124" i="60"/>
  <c r="T128" i="60"/>
  <c r="BE20" i="60"/>
  <c r="T44" i="60"/>
  <c r="F46" i="60"/>
  <c r="F50" i="60"/>
  <c r="T54" i="60"/>
  <c r="AB60" i="60"/>
  <c r="AB62" i="60"/>
  <c r="L66" i="60"/>
  <c r="F82" i="60"/>
  <c r="F84" i="60"/>
  <c r="T84" i="60"/>
  <c r="T86" i="60"/>
  <c r="AB88" i="60"/>
  <c r="T98" i="60"/>
  <c r="R100" i="60"/>
  <c r="T104" i="60"/>
  <c r="AB108" i="60"/>
  <c r="AB110" i="60"/>
  <c r="L114" i="60"/>
  <c r="T116" i="60"/>
  <c r="D122" i="60"/>
  <c r="R126" i="60"/>
  <c r="AB56" i="60"/>
  <c r="AB58" i="60"/>
  <c r="AB64" i="60"/>
  <c r="AB66" i="60"/>
  <c r="AB68" i="60"/>
  <c r="AB106" i="60"/>
  <c r="AB116" i="60"/>
  <c r="AB118" i="60"/>
  <c r="L124" i="60"/>
  <c r="AB128" i="60"/>
  <c r="BE16" i="60"/>
  <c r="BE28" i="60"/>
  <c r="F36" i="60"/>
  <c r="T36" i="60"/>
  <c r="F38" i="60"/>
  <c r="F40" i="60"/>
  <c r="T40" i="60"/>
  <c r="F42" i="60"/>
  <c r="F56" i="60"/>
  <c r="T78" i="60"/>
  <c r="AB86" i="60"/>
  <c r="F90" i="60"/>
  <c r="AB98" i="60"/>
  <c r="AB100" i="60"/>
  <c r="AB102" i="60"/>
  <c r="AB104" i="60"/>
  <c r="F108" i="60"/>
  <c r="T114" i="60"/>
  <c r="F118" i="60"/>
  <c r="F120" i="60"/>
  <c r="AB126" i="60"/>
  <c r="T58" i="60"/>
  <c r="T60" i="60"/>
  <c r="F62" i="60"/>
  <c r="T62" i="60"/>
  <c r="F64" i="60"/>
  <c r="T68" i="60"/>
  <c r="AB74" i="60"/>
  <c r="AB76" i="60"/>
  <c r="L84" i="60"/>
  <c r="AB94" i="60"/>
  <c r="AB96" i="60"/>
  <c r="T112" i="60"/>
  <c r="AB114" i="60"/>
  <c r="T124" i="60"/>
  <c r="D128" i="60"/>
  <c r="AB30" i="60"/>
  <c r="AB46" i="60"/>
  <c r="AB48" i="60"/>
  <c r="AB50" i="60"/>
  <c r="AB52" i="60"/>
  <c r="AB84" i="60"/>
  <c r="AB92" i="60"/>
  <c r="R120" i="60"/>
  <c r="AB124" i="60"/>
  <c r="BE24" i="60"/>
  <c r="AB44" i="60"/>
  <c r="R52" i="60"/>
  <c r="T76" i="60"/>
  <c r="F78" i="60"/>
  <c r="AB78" i="60"/>
  <c r="F86" i="60"/>
  <c r="AB90" i="60"/>
  <c r="F94" i="60"/>
  <c r="F100" i="60"/>
  <c r="D126" i="60"/>
  <c r="BE17" i="60"/>
  <c r="BE21" i="60"/>
  <c r="BE25" i="60"/>
  <c r="BE29" i="60"/>
  <c r="BE14" i="60"/>
  <c r="BE18" i="60"/>
  <c r="BE22" i="60"/>
  <c r="BE26" i="60"/>
  <c r="BE30" i="60"/>
  <c r="BE15" i="60"/>
  <c r="BE19" i="60"/>
  <c r="BE23" i="60"/>
  <c r="BE27" i="60"/>
  <c r="BE31" i="60"/>
  <c r="AM89" i="60"/>
  <c r="AN89" i="60" s="1"/>
  <c r="I118" i="60"/>
  <c r="I114" i="60"/>
  <c r="I86" i="60"/>
  <c r="I76" i="60"/>
  <c r="I68" i="60"/>
  <c r="I52" i="60"/>
  <c r="I38" i="60"/>
  <c r="I66" i="60"/>
  <c r="I50" i="60"/>
  <c r="I36" i="60"/>
  <c r="I102" i="60"/>
  <c r="I92" i="60"/>
  <c r="I84" i="60"/>
  <c r="I64" i="60"/>
  <c r="I104" i="60"/>
  <c r="I100" i="60"/>
  <c r="I98" i="60"/>
  <c r="I62" i="60"/>
  <c r="I48" i="60"/>
  <c r="I96" i="60"/>
  <c r="I90" i="60"/>
  <c r="I80" i="60"/>
  <c r="I74" i="60"/>
  <c r="I60" i="60"/>
  <c r="I46" i="60"/>
  <c r="I106" i="60"/>
  <c r="I78" i="60"/>
  <c r="I58" i="60"/>
  <c r="I44" i="60"/>
  <c r="I82" i="60"/>
  <c r="L126" i="60"/>
  <c r="L120" i="60"/>
  <c r="L102" i="60"/>
  <c r="L92" i="60"/>
  <c r="L62" i="60"/>
  <c r="L48" i="60"/>
  <c r="L116" i="60"/>
  <c r="L104" i="60"/>
  <c r="L100" i="60"/>
  <c r="L98" i="60"/>
  <c r="L80" i="60"/>
  <c r="L74" i="60"/>
  <c r="L60" i="60"/>
  <c r="L46" i="60"/>
  <c r="L112" i="60"/>
  <c r="L96" i="60"/>
  <c r="L90" i="60"/>
  <c r="L78" i="60"/>
  <c r="L58" i="60"/>
  <c r="L44" i="60"/>
  <c r="L128" i="60"/>
  <c r="L106" i="60"/>
  <c r="L56" i="60"/>
  <c r="L42" i="60"/>
  <c r="L122" i="60"/>
  <c r="L94" i="60"/>
  <c r="L88" i="60"/>
  <c r="L54" i="60"/>
  <c r="L40" i="60"/>
  <c r="L118" i="60"/>
  <c r="L108" i="60"/>
  <c r="L82" i="60"/>
  <c r="L76" i="60"/>
  <c r="L68" i="60"/>
  <c r="L52" i="60"/>
  <c r="L38" i="60"/>
  <c r="Y20" i="60"/>
  <c r="X26" i="60"/>
  <c r="R38" i="60"/>
  <c r="Q42" i="60"/>
  <c r="R68" i="60"/>
  <c r="Y78" i="60"/>
  <c r="Z80" i="60"/>
  <c r="Y86" i="60"/>
  <c r="Z114" i="60"/>
  <c r="M122" i="60"/>
  <c r="M80" i="60"/>
  <c r="M60" i="60"/>
  <c r="M46" i="60"/>
  <c r="M96" i="60"/>
  <c r="M78" i="60"/>
  <c r="M58" i="60"/>
  <c r="M44" i="60"/>
  <c r="M56" i="60"/>
  <c r="M42" i="60"/>
  <c r="M88" i="60"/>
  <c r="M54" i="60"/>
  <c r="M40" i="60"/>
  <c r="M82" i="60"/>
  <c r="M76" i="60"/>
  <c r="M68" i="60"/>
  <c r="M52" i="60"/>
  <c r="M38" i="60"/>
  <c r="M66" i="60"/>
  <c r="M50" i="60"/>
  <c r="M36" i="60"/>
  <c r="X20" i="60"/>
  <c r="Y42" i="60"/>
  <c r="I88" i="60"/>
  <c r="R112" i="60"/>
  <c r="R106" i="60"/>
  <c r="R94" i="60"/>
  <c r="R88" i="60"/>
  <c r="R82" i="60"/>
  <c r="R66" i="60"/>
  <c r="R50" i="60"/>
  <c r="R36" i="60"/>
  <c r="R128" i="60"/>
  <c r="R122" i="60"/>
  <c r="R108" i="60"/>
  <c r="R84" i="60"/>
  <c r="R64" i="60"/>
  <c r="R118" i="60"/>
  <c r="R86" i="60"/>
  <c r="R62" i="60"/>
  <c r="R48" i="60"/>
  <c r="R124" i="60"/>
  <c r="R114" i="60"/>
  <c r="R60" i="60"/>
  <c r="R46" i="60"/>
  <c r="R110" i="60"/>
  <c r="R92" i="60"/>
  <c r="R74" i="60"/>
  <c r="R58" i="60"/>
  <c r="R44" i="60"/>
  <c r="R102" i="60"/>
  <c r="R80" i="60"/>
  <c r="R78" i="60"/>
  <c r="R56" i="60"/>
  <c r="R42" i="60"/>
  <c r="Y26" i="60"/>
  <c r="Y40" i="60"/>
  <c r="X44" i="60"/>
  <c r="I54" i="60"/>
  <c r="Z78" i="60"/>
  <c r="R96" i="60"/>
  <c r="Z118" i="60"/>
  <c r="Z124" i="60"/>
  <c r="Y118" i="60"/>
  <c r="Y114" i="60"/>
  <c r="Y92" i="60"/>
  <c r="Y80" i="60"/>
  <c r="Y76" i="60"/>
  <c r="Y68" i="60"/>
  <c r="Y52" i="60"/>
  <c r="Y38" i="60"/>
  <c r="Y66" i="60"/>
  <c r="Y50" i="60"/>
  <c r="Y36" i="60"/>
  <c r="Y102" i="60"/>
  <c r="Y100" i="60"/>
  <c r="Y84" i="60"/>
  <c r="Y64" i="60"/>
  <c r="Y34" i="60"/>
  <c r="Y30" i="60"/>
  <c r="Y8" i="60"/>
  <c r="Y104" i="60"/>
  <c r="Y98" i="60"/>
  <c r="Y96" i="60"/>
  <c r="Y62" i="60"/>
  <c r="Y48" i="60"/>
  <c r="Y24" i="60"/>
  <c r="Y94" i="60"/>
  <c r="Y90" i="60"/>
  <c r="Y82" i="60"/>
  <c r="Y60" i="60"/>
  <c r="Y46" i="60"/>
  <c r="Y22" i="60"/>
  <c r="Y88" i="60"/>
  <c r="Y74" i="60"/>
  <c r="Y58" i="60"/>
  <c r="Y44" i="60"/>
  <c r="Y14" i="60"/>
  <c r="Y10" i="60"/>
  <c r="H124" i="60"/>
  <c r="H108" i="60"/>
  <c r="H54" i="60"/>
  <c r="H40" i="60"/>
  <c r="H86" i="60"/>
  <c r="H76" i="60"/>
  <c r="H68" i="60"/>
  <c r="H52" i="60"/>
  <c r="H38" i="60"/>
  <c r="H66" i="60"/>
  <c r="H50" i="60"/>
  <c r="H36" i="60"/>
  <c r="H84" i="60"/>
  <c r="H64" i="60"/>
  <c r="H62" i="60"/>
  <c r="H48" i="60"/>
  <c r="H74" i="60"/>
  <c r="H60" i="60"/>
  <c r="H46" i="60"/>
  <c r="P54" i="60"/>
  <c r="P40" i="60"/>
  <c r="P76" i="60"/>
  <c r="P68" i="60"/>
  <c r="P52" i="60"/>
  <c r="P38" i="60"/>
  <c r="P94" i="60"/>
  <c r="P66" i="60"/>
  <c r="P50" i="60"/>
  <c r="P36" i="60"/>
  <c r="P108" i="60"/>
  <c r="P84" i="60"/>
  <c r="P64" i="60"/>
  <c r="P124" i="60"/>
  <c r="P86" i="60"/>
  <c r="P62" i="60"/>
  <c r="P48" i="60"/>
  <c r="P60" i="60"/>
  <c r="P46" i="60"/>
  <c r="X124" i="60"/>
  <c r="X78" i="60"/>
  <c r="X54" i="60"/>
  <c r="X40" i="60"/>
  <c r="X28" i="60"/>
  <c r="X16" i="60"/>
  <c r="X12" i="60"/>
  <c r="X76" i="60"/>
  <c r="X68" i="60"/>
  <c r="X52" i="60"/>
  <c r="X38" i="60"/>
  <c r="X66" i="60"/>
  <c r="X50" i="60"/>
  <c r="X36" i="60"/>
  <c r="X84" i="60"/>
  <c r="X64" i="60"/>
  <c r="X34" i="60"/>
  <c r="X30" i="60"/>
  <c r="X8" i="60"/>
  <c r="X62" i="60"/>
  <c r="X48" i="60"/>
  <c r="X24" i="60"/>
  <c r="X94" i="60"/>
  <c r="X60" i="60"/>
  <c r="X46" i="60"/>
  <c r="X22" i="60"/>
  <c r="Y6" i="60"/>
  <c r="X42" i="60"/>
  <c r="H44" i="60"/>
  <c r="H78" i="60"/>
  <c r="Z66" i="60"/>
  <c r="Z50" i="60"/>
  <c r="Z36" i="60"/>
  <c r="Z110" i="60"/>
  <c r="Z102" i="60"/>
  <c r="Z100" i="60"/>
  <c r="Z84" i="60"/>
  <c r="Z64" i="60"/>
  <c r="Z34" i="60"/>
  <c r="Z30" i="60"/>
  <c r="Z8" i="60"/>
  <c r="Z126" i="60"/>
  <c r="Z104" i="60"/>
  <c r="Z98" i="60"/>
  <c r="Z96" i="60"/>
  <c r="Z62" i="60"/>
  <c r="Z48" i="60"/>
  <c r="Z24" i="60"/>
  <c r="Z120" i="60"/>
  <c r="Z94" i="60"/>
  <c r="Z90" i="60"/>
  <c r="Z82" i="60"/>
  <c r="Z60" i="60"/>
  <c r="Z46" i="60"/>
  <c r="Z22" i="60"/>
  <c r="Z116" i="60"/>
  <c r="Z88" i="60"/>
  <c r="Z74" i="60"/>
  <c r="Z58" i="60"/>
  <c r="Z44" i="60"/>
  <c r="Z14" i="60"/>
  <c r="Z10" i="60"/>
  <c r="Z122" i="60"/>
  <c r="Z112" i="60"/>
  <c r="Z108" i="60"/>
  <c r="Z106" i="60"/>
  <c r="Z86" i="60"/>
  <c r="Z56" i="60"/>
  <c r="Z42" i="60"/>
  <c r="Z32" i="60"/>
  <c r="Z26" i="60"/>
  <c r="Z20" i="60"/>
  <c r="Z18" i="60"/>
  <c r="Z6" i="60"/>
  <c r="Q118" i="60"/>
  <c r="Q90" i="60"/>
  <c r="Q76" i="60"/>
  <c r="Q68" i="60"/>
  <c r="Q52" i="60"/>
  <c r="Q38" i="60"/>
  <c r="Q106" i="60"/>
  <c r="Q94" i="60"/>
  <c r="Q88" i="60"/>
  <c r="Q82" i="60"/>
  <c r="Q66" i="60"/>
  <c r="Q50" i="60"/>
  <c r="Q36" i="60"/>
  <c r="Q122" i="60"/>
  <c r="Q108" i="60"/>
  <c r="Q84" i="60"/>
  <c r="Q64" i="60"/>
  <c r="Q86" i="60"/>
  <c r="Q62" i="60"/>
  <c r="Q48" i="60"/>
  <c r="Q114" i="60"/>
  <c r="Q60" i="60"/>
  <c r="Q46" i="60"/>
  <c r="Q92" i="60"/>
  <c r="Q74" i="60"/>
  <c r="Q58" i="60"/>
  <c r="Q44" i="60"/>
  <c r="P42" i="60"/>
  <c r="P58" i="60"/>
  <c r="X86" i="60"/>
  <c r="X14" i="60"/>
  <c r="X18" i="60"/>
  <c r="Q40" i="60"/>
  <c r="Z40" i="60"/>
  <c r="I42" i="60"/>
  <c r="L50" i="60"/>
  <c r="Z52" i="60"/>
  <c r="X56" i="60"/>
  <c r="H58" i="60"/>
  <c r="X74" i="60"/>
  <c r="P78" i="60"/>
  <c r="Q98" i="60"/>
  <c r="R40" i="60"/>
  <c r="P44" i="60"/>
  <c r="P56" i="60"/>
  <c r="Y56" i="60"/>
  <c r="Q78" i="60"/>
  <c r="Q80" i="60"/>
  <c r="L86" i="60"/>
  <c r="R90" i="60"/>
  <c r="R98" i="60"/>
  <c r="AK5" i="60"/>
  <c r="AL5" i="60" s="1"/>
  <c r="AM80" i="60"/>
  <c r="AN80" i="60" s="1"/>
  <c r="W82" i="60"/>
  <c r="V84" i="60"/>
  <c r="J88" i="60"/>
  <c r="V90" i="60"/>
  <c r="D92" i="60"/>
  <c r="J94" i="60"/>
  <c r="D98" i="60"/>
  <c r="D100" i="60"/>
  <c r="S100" i="60"/>
  <c r="D104" i="60"/>
  <c r="D112" i="60"/>
  <c r="V116" i="60"/>
  <c r="J122" i="60"/>
  <c r="S126" i="60"/>
  <c r="AM7" i="60"/>
  <c r="AN7" i="60" s="1"/>
  <c r="AM86" i="60"/>
  <c r="AN86" i="60" s="1"/>
  <c r="AI78" i="60"/>
  <c r="AJ78" i="60" s="1"/>
  <c r="D86" i="60"/>
  <c r="J90" i="60"/>
  <c r="J96" i="60"/>
  <c r="V100" i="60"/>
  <c r="V102" i="60"/>
  <c r="J112" i="60"/>
  <c r="O118" i="60"/>
  <c r="D120" i="60"/>
  <c r="V126" i="60"/>
  <c r="AK77" i="60"/>
  <c r="AL77" i="60" s="1"/>
  <c r="K80" i="60"/>
  <c r="D82" i="60"/>
  <c r="V92" i="60"/>
  <c r="J98" i="60"/>
  <c r="J100" i="60"/>
  <c r="J104" i="60"/>
  <c r="D108" i="60"/>
  <c r="D110" i="60"/>
  <c r="V110" i="60"/>
  <c r="D114" i="60"/>
  <c r="J116" i="60"/>
  <c r="D124" i="60"/>
  <c r="J126" i="60"/>
  <c r="AI14" i="60"/>
  <c r="AJ14" i="60" s="1"/>
  <c r="AX18" i="60"/>
  <c r="J84" i="60"/>
  <c r="J92" i="60"/>
  <c r="D94" i="60"/>
  <c r="AG94" i="60"/>
  <c r="J102" i="60"/>
  <c r="V114" i="60"/>
  <c r="K126" i="60"/>
  <c r="AA126" i="60"/>
  <c r="AK74" i="60"/>
  <c r="AL74" i="60" s="1"/>
  <c r="AM79" i="60"/>
  <c r="AN79" i="60" s="1"/>
  <c r="AK90" i="60"/>
  <c r="AL90" i="60" s="1"/>
  <c r="AK29" i="60"/>
  <c r="AL29" i="60" s="1"/>
  <c r="AI28" i="60"/>
  <c r="AJ28" i="60" s="1"/>
  <c r="AX25" i="60"/>
  <c r="AK24" i="60"/>
  <c r="AL24" i="60" s="1"/>
  <c r="AX20" i="60"/>
  <c r="AI31" i="60"/>
  <c r="AJ31" i="60" s="1"/>
  <c r="AG30" i="60"/>
  <c r="AK27" i="60"/>
  <c r="AL27" i="60" s="1"/>
  <c r="AI26" i="60"/>
  <c r="AJ26" i="60" s="1"/>
  <c r="AM23" i="60"/>
  <c r="AN23" i="60" s="1"/>
  <c r="AI29" i="60"/>
  <c r="AJ29" i="60" s="1"/>
  <c r="AG28" i="60"/>
  <c r="AI24" i="60"/>
  <c r="AJ24" i="60" s="1"/>
  <c r="AX21" i="60"/>
  <c r="AM17" i="60"/>
  <c r="AN17" i="60" s="1"/>
  <c r="AM12" i="60"/>
  <c r="AN12" i="60" s="1"/>
  <c r="AX31" i="60"/>
  <c r="AM31" i="60"/>
  <c r="AN31" i="60" s="1"/>
  <c r="AG27" i="60"/>
  <c r="AX26" i="60"/>
  <c r="AM26" i="60"/>
  <c r="AN26" i="60" s="1"/>
  <c r="AG22" i="60"/>
  <c r="AX29" i="60"/>
  <c r="AK28" i="60"/>
  <c r="AL28" i="60" s="1"/>
  <c r="AX24" i="60"/>
  <c r="AK17" i="60"/>
  <c r="AL17" i="60" s="1"/>
  <c r="AK12" i="60"/>
  <c r="AL12" i="60" s="1"/>
  <c r="AG19" i="60"/>
  <c r="E126" i="60"/>
  <c r="E110" i="60"/>
  <c r="E100" i="60"/>
  <c r="E116" i="60"/>
  <c r="E102" i="60"/>
  <c r="E86" i="60"/>
  <c r="E128" i="60"/>
  <c r="E112" i="60"/>
  <c r="E106" i="60"/>
  <c r="E90" i="60"/>
  <c r="E118" i="60"/>
  <c r="E92" i="60"/>
  <c r="E124" i="60"/>
  <c r="E108" i="60"/>
  <c r="E94" i="60"/>
  <c r="E114" i="60"/>
  <c r="E120" i="60"/>
  <c r="E98" i="60"/>
  <c r="E122" i="60"/>
  <c r="E84" i="60"/>
  <c r="E56" i="60"/>
  <c r="E40" i="60"/>
  <c r="E62" i="60"/>
  <c r="E46" i="60"/>
  <c r="E68" i="60"/>
  <c r="E52" i="60"/>
  <c r="E74" i="60"/>
  <c r="E58" i="60"/>
  <c r="E42" i="60"/>
  <c r="E36" i="60"/>
  <c r="E80" i="60"/>
  <c r="E64" i="60"/>
  <c r="E48" i="60"/>
  <c r="E104" i="60"/>
  <c r="E88" i="60"/>
  <c r="E76" i="60"/>
  <c r="E54" i="60"/>
  <c r="E38" i="60"/>
  <c r="E96" i="60"/>
  <c r="E78" i="60"/>
  <c r="E60" i="60"/>
  <c r="E44" i="60"/>
  <c r="AM8" i="60"/>
  <c r="AN8" i="60" s="1"/>
  <c r="AK11" i="60"/>
  <c r="AL11" i="60" s="1"/>
  <c r="AG17" i="60"/>
  <c r="AI19" i="60"/>
  <c r="AJ19" i="60" s="1"/>
  <c r="AM20" i="60"/>
  <c r="AN20" i="60" s="1"/>
  <c r="AI20" i="60"/>
  <c r="AJ20" i="60" s="1"/>
  <c r="AG20" i="60"/>
  <c r="AX22" i="60"/>
  <c r="AK26" i="60"/>
  <c r="AL26" i="60" s="1"/>
  <c r="AG29" i="60"/>
  <c r="AM30" i="60"/>
  <c r="AN30" i="60" s="1"/>
  <c r="AG36" i="60"/>
  <c r="AG34" i="60" s="1"/>
  <c r="AK96" i="60"/>
  <c r="AL96" i="60" s="1"/>
  <c r="AI96" i="60"/>
  <c r="AJ96" i="60" s="1"/>
  <c r="AG96" i="60"/>
  <c r="AM96" i="60"/>
  <c r="AN96" i="60" s="1"/>
  <c r="AI4" i="60"/>
  <c r="AJ4" i="60" s="1"/>
  <c r="AI6" i="60"/>
  <c r="AJ6" i="60" s="1"/>
  <c r="AM10" i="60"/>
  <c r="AN10" i="60" s="1"/>
  <c r="AM13" i="60"/>
  <c r="AN13" i="60" s="1"/>
  <c r="AK15" i="60"/>
  <c r="AL15" i="60" s="1"/>
  <c r="AX15" i="60"/>
  <c r="AK20" i="60"/>
  <c r="AL20" i="60" s="1"/>
  <c r="AI22" i="60"/>
  <c r="AJ22" i="60" s="1"/>
  <c r="AI27" i="60"/>
  <c r="AJ27" i="60" s="1"/>
  <c r="AM28" i="60"/>
  <c r="AN28" i="60" s="1"/>
  <c r="AI30" i="60"/>
  <c r="AJ30" i="60" s="1"/>
  <c r="AK81" i="60"/>
  <c r="AL81" i="60" s="1"/>
  <c r="AM81" i="60"/>
  <c r="AN81" i="60" s="1"/>
  <c r="AI81" i="60"/>
  <c r="AJ81" i="60" s="1"/>
  <c r="AM5" i="60"/>
  <c r="AN5" i="60" s="1"/>
  <c r="AM14" i="60"/>
  <c r="AN14" i="60" s="1"/>
  <c r="AM16" i="60"/>
  <c r="AN16" i="60" s="1"/>
  <c r="AK31" i="60"/>
  <c r="AL31" i="60" s="1"/>
  <c r="AI15" i="60"/>
  <c r="AJ15" i="60" s="1"/>
  <c r="AG24" i="60"/>
  <c r="AG26" i="60"/>
  <c r="AM11" i="60"/>
  <c r="AN11" i="60" s="1"/>
  <c r="AI13" i="60"/>
  <c r="AJ13" i="60" s="1"/>
  <c r="AK14" i="60"/>
  <c r="AL14" i="60" s="1"/>
  <c r="AM15" i="60"/>
  <c r="AN15" i="60" s="1"/>
  <c r="AX16" i="60"/>
  <c r="AI17" i="60"/>
  <c r="AJ17" i="60" s="1"/>
  <c r="AK18" i="60"/>
  <c r="AL18" i="60" s="1"/>
  <c r="AI18" i="60"/>
  <c r="AJ18" i="60" s="1"/>
  <c r="AX19" i="60"/>
  <c r="AG21" i="60"/>
  <c r="AM21" i="60"/>
  <c r="AN21" i="60" s="1"/>
  <c r="AK21" i="60"/>
  <c r="AL21" i="60" s="1"/>
  <c r="AI21" i="60"/>
  <c r="AJ21" i="60" s="1"/>
  <c r="AK22" i="60"/>
  <c r="AL22" i="60" s="1"/>
  <c r="AK23" i="60"/>
  <c r="AL23" i="60" s="1"/>
  <c r="AM27" i="60"/>
  <c r="AN27" i="60" s="1"/>
  <c r="E66" i="60"/>
  <c r="AI7" i="60"/>
  <c r="AJ7" i="60" s="1"/>
  <c r="AK4" i="60"/>
  <c r="AL4" i="60" s="1"/>
  <c r="AI5" i="60"/>
  <c r="AJ5" i="60" s="1"/>
  <c r="AK16" i="60"/>
  <c r="AL16" i="60" s="1"/>
  <c r="AI16" i="60"/>
  <c r="AJ16" i="60" s="1"/>
  <c r="AG18" i="60"/>
  <c r="AM22" i="60"/>
  <c r="AN22" i="60" s="1"/>
  <c r="AG23" i="60"/>
  <c r="AM75" i="60"/>
  <c r="AN75" i="60" s="1"/>
  <c r="AK75" i="60"/>
  <c r="AL75" i="60" s="1"/>
  <c r="AI75" i="60"/>
  <c r="AJ75" i="60" s="1"/>
  <c r="E82" i="60"/>
  <c r="AG106" i="60"/>
  <c r="AG104" i="60" s="1"/>
  <c r="AK8" i="60"/>
  <c r="AL8" i="60" s="1"/>
  <c r="AK9" i="60"/>
  <c r="AL9" i="60" s="1"/>
  <c r="AK10" i="60"/>
  <c r="AL10" i="60" s="1"/>
  <c r="AG11" i="60"/>
  <c r="AM25" i="60"/>
  <c r="AN25" i="60" s="1"/>
  <c r="AK25" i="60"/>
  <c r="AL25" i="60" s="1"/>
  <c r="AI25" i="60"/>
  <c r="AJ25" i="60" s="1"/>
  <c r="AG25" i="60"/>
  <c r="AK7" i="60"/>
  <c r="AL7" i="60" s="1"/>
  <c r="AI8" i="60"/>
  <c r="AJ8" i="60" s="1"/>
  <c r="AI9" i="60"/>
  <c r="AJ9" i="60" s="1"/>
  <c r="AK13" i="60"/>
  <c r="AL13" i="60" s="1"/>
  <c r="AX14" i="60"/>
  <c r="AG16" i="60"/>
  <c r="AX17" i="60"/>
  <c r="AX23" i="60"/>
  <c r="AM101" i="60"/>
  <c r="AN101" i="60" s="1"/>
  <c r="AM6" i="60"/>
  <c r="AN6" i="60" s="1"/>
  <c r="AX27" i="60"/>
  <c r="AM4" i="60"/>
  <c r="AN4" i="60" s="1"/>
  <c r="AK6" i="60"/>
  <c r="AL6" i="60" s="1"/>
  <c r="AI10" i="60"/>
  <c r="AJ10" i="60" s="1"/>
  <c r="AI11" i="60"/>
  <c r="AJ11" i="60" s="1"/>
  <c r="AI12" i="60"/>
  <c r="AJ12" i="60" s="1"/>
  <c r="AG15" i="60"/>
  <c r="AM18" i="60"/>
  <c r="AN18" i="60" s="1"/>
  <c r="AM19" i="60"/>
  <c r="AN19" i="60" s="1"/>
  <c r="AK19" i="60"/>
  <c r="AL19" i="60" s="1"/>
  <c r="AG31" i="60"/>
  <c r="AM24" i="60"/>
  <c r="AN24" i="60" s="1"/>
  <c r="AM29" i="60"/>
  <c r="AN29" i="60" s="1"/>
  <c r="AM76" i="60"/>
  <c r="AN76" i="60" s="1"/>
  <c r="AK80" i="60"/>
  <c r="AL80" i="60" s="1"/>
  <c r="AM83" i="60"/>
  <c r="AN83" i="60" s="1"/>
  <c r="AI83" i="60"/>
  <c r="AJ83" i="60" s="1"/>
  <c r="AI84" i="60"/>
  <c r="AJ84" i="60" s="1"/>
  <c r="AK86" i="60"/>
  <c r="AL86" i="60" s="1"/>
  <c r="AM88" i="60"/>
  <c r="AN88" i="60" s="1"/>
  <c r="AK88" i="60"/>
  <c r="AL88" i="60" s="1"/>
  <c r="AI88" i="60"/>
  <c r="AJ88" i="60" s="1"/>
  <c r="S92" i="60"/>
  <c r="AG92" i="60"/>
  <c r="AI94" i="60"/>
  <c r="AJ94" i="60" s="1"/>
  <c r="K100" i="60"/>
  <c r="AG101" i="60"/>
  <c r="AI23" i="60"/>
  <c r="AJ23" i="60" s="1"/>
  <c r="AK30" i="60"/>
  <c r="AL30" i="60" s="1"/>
  <c r="AM74" i="60"/>
  <c r="AN74" i="60" s="1"/>
  <c r="AI77" i="60"/>
  <c r="AJ77" i="60" s="1"/>
  <c r="AK78" i="60"/>
  <c r="AL78" i="60" s="1"/>
  <c r="AK79" i="60"/>
  <c r="AL79" i="60" s="1"/>
  <c r="AI82" i="60"/>
  <c r="AJ82" i="60" s="1"/>
  <c r="AI86" i="60"/>
  <c r="AJ86" i="60" s="1"/>
  <c r="AM94" i="60"/>
  <c r="AN94" i="60" s="1"/>
  <c r="AG99" i="60"/>
  <c r="AM99" i="60"/>
  <c r="AN99" i="60" s="1"/>
  <c r="AK99" i="60"/>
  <c r="AL99" i="60" s="1"/>
  <c r="AI99" i="60"/>
  <c r="AJ99" i="60" s="1"/>
  <c r="U126" i="60"/>
  <c r="U110" i="60"/>
  <c r="U100" i="60"/>
  <c r="U116" i="60"/>
  <c r="U102" i="60"/>
  <c r="U86" i="60"/>
  <c r="U128" i="60"/>
  <c r="U112" i="60"/>
  <c r="U106" i="60"/>
  <c r="U90" i="60"/>
  <c r="U118" i="60"/>
  <c r="U92" i="60"/>
  <c r="U124" i="60"/>
  <c r="U108" i="60"/>
  <c r="U94" i="60"/>
  <c r="U114" i="60"/>
  <c r="U120" i="60"/>
  <c r="U98" i="60"/>
  <c r="AX28" i="60"/>
  <c r="AK91" i="60"/>
  <c r="AL91" i="60" s="1"/>
  <c r="AI91" i="60"/>
  <c r="AJ91" i="60" s="1"/>
  <c r="AG91" i="60"/>
  <c r="AM91" i="60"/>
  <c r="AN91" i="60" s="1"/>
  <c r="U96" i="60"/>
  <c r="AA100" i="60"/>
  <c r="G122" i="60"/>
  <c r="G104" i="60"/>
  <c r="G88" i="60"/>
  <c r="G128" i="60"/>
  <c r="G112" i="60"/>
  <c r="G106" i="60"/>
  <c r="G90" i="60"/>
  <c r="G124" i="60"/>
  <c r="G108" i="60"/>
  <c r="G94" i="60"/>
  <c r="G78" i="60"/>
  <c r="G114" i="60"/>
  <c r="G96" i="60"/>
  <c r="G120" i="60"/>
  <c r="G98" i="60"/>
  <c r="G126" i="60"/>
  <c r="G110" i="60"/>
  <c r="G100" i="60"/>
  <c r="G116" i="60"/>
  <c r="G102" i="60"/>
  <c r="G86" i="60"/>
  <c r="O122" i="60"/>
  <c r="O104" i="60"/>
  <c r="O88" i="60"/>
  <c r="O128" i="60"/>
  <c r="O112" i="60"/>
  <c r="O106" i="60"/>
  <c r="O90" i="60"/>
  <c r="O124" i="60"/>
  <c r="O108" i="60"/>
  <c r="O94" i="60"/>
  <c r="O78" i="60"/>
  <c r="O114" i="60"/>
  <c r="O96" i="60"/>
  <c r="O80" i="60"/>
  <c r="O120" i="60"/>
  <c r="O98" i="60"/>
  <c r="O126" i="60"/>
  <c r="O110" i="60"/>
  <c r="O100" i="60"/>
  <c r="O116" i="60"/>
  <c r="O102" i="60"/>
  <c r="O86" i="60"/>
  <c r="W122" i="60"/>
  <c r="W104" i="60"/>
  <c r="W88" i="60"/>
  <c r="W128" i="60"/>
  <c r="W112" i="60"/>
  <c r="W106" i="60"/>
  <c r="W90" i="60"/>
  <c r="W124" i="60"/>
  <c r="W108" i="60"/>
  <c r="W94" i="60"/>
  <c r="W78" i="60"/>
  <c r="W114" i="60"/>
  <c r="W96" i="60"/>
  <c r="W80" i="60"/>
  <c r="W120" i="60"/>
  <c r="W98" i="60"/>
  <c r="W126" i="60"/>
  <c r="W110" i="60"/>
  <c r="W100" i="60"/>
  <c r="W116" i="60"/>
  <c r="W102" i="60"/>
  <c r="W86" i="60"/>
  <c r="AX30" i="60"/>
  <c r="M74" i="60"/>
  <c r="AA78" i="60"/>
  <c r="AM78" i="60"/>
  <c r="AN78" i="60" s="1"/>
  <c r="U82" i="60"/>
  <c r="AK83" i="60"/>
  <c r="AL83" i="60" s="1"/>
  <c r="U88" i="60"/>
  <c r="U104" i="60"/>
  <c r="H128" i="60"/>
  <c r="H112" i="60"/>
  <c r="H106" i="60"/>
  <c r="H90" i="60"/>
  <c r="H118" i="60"/>
  <c r="H92" i="60"/>
  <c r="H114" i="60"/>
  <c r="H96" i="60"/>
  <c r="H80" i="60"/>
  <c r="H120" i="60"/>
  <c r="H98" i="60"/>
  <c r="H82" i="60"/>
  <c r="H126" i="60"/>
  <c r="H110" i="60"/>
  <c r="H100" i="60"/>
  <c r="H116" i="60"/>
  <c r="H102" i="60"/>
  <c r="H122" i="60"/>
  <c r="H104" i="60"/>
  <c r="H88" i="60"/>
  <c r="P128" i="60"/>
  <c r="P112" i="60"/>
  <c r="P106" i="60"/>
  <c r="P90" i="60"/>
  <c r="P118" i="60"/>
  <c r="P92" i="60"/>
  <c r="P114" i="60"/>
  <c r="P96" i="60"/>
  <c r="P80" i="60"/>
  <c r="P120" i="60"/>
  <c r="P98" i="60"/>
  <c r="P82" i="60"/>
  <c r="P126" i="60"/>
  <c r="P110" i="60"/>
  <c r="P100" i="60"/>
  <c r="P116" i="60"/>
  <c r="P102" i="60"/>
  <c r="P122" i="60"/>
  <c r="P104" i="60"/>
  <c r="P88" i="60"/>
  <c r="X128" i="60"/>
  <c r="X112" i="60"/>
  <c r="X106" i="60"/>
  <c r="X90" i="60"/>
  <c r="X118" i="60"/>
  <c r="X92" i="60"/>
  <c r="X114" i="60"/>
  <c r="X96" i="60"/>
  <c r="X80" i="60"/>
  <c r="X120" i="60"/>
  <c r="X98" i="60"/>
  <c r="X82" i="60"/>
  <c r="X126" i="60"/>
  <c r="X110" i="60"/>
  <c r="X100" i="60"/>
  <c r="X116" i="60"/>
  <c r="X102" i="60"/>
  <c r="X122" i="60"/>
  <c r="X104" i="60"/>
  <c r="X88" i="60"/>
  <c r="AI101" i="60"/>
  <c r="AJ101" i="60" s="1"/>
  <c r="AM98" i="60"/>
  <c r="AN98" i="60" s="1"/>
  <c r="AG97" i="60"/>
  <c r="AK94" i="60"/>
  <c r="AL94" i="60" s="1"/>
  <c r="AM93" i="60"/>
  <c r="AN93" i="60" s="1"/>
  <c r="AI90" i="60"/>
  <c r="AJ90" i="60" s="1"/>
  <c r="AI85" i="60"/>
  <c r="AJ85" i="60" s="1"/>
  <c r="AI92" i="60"/>
  <c r="AJ92" i="60" s="1"/>
  <c r="AI87" i="60"/>
  <c r="AJ87" i="60" s="1"/>
  <c r="AM90" i="60"/>
  <c r="AN90" i="60" s="1"/>
  <c r="AM85" i="60"/>
  <c r="AN85" i="60" s="1"/>
  <c r="AM92" i="60"/>
  <c r="AN92" i="60" s="1"/>
  <c r="AM87" i="60"/>
  <c r="AN87" i="60" s="1"/>
  <c r="AK101" i="60"/>
  <c r="AL101" i="60" s="1"/>
  <c r="AK92" i="60"/>
  <c r="AL92" i="60" s="1"/>
  <c r="AK87" i="60"/>
  <c r="AL87" i="60" s="1"/>
  <c r="AI76" i="60"/>
  <c r="AJ76" i="60" s="1"/>
  <c r="AI79" i="60"/>
  <c r="AJ79" i="60" s="1"/>
  <c r="AK82" i="60"/>
  <c r="AL82" i="60" s="1"/>
  <c r="AI93" i="60"/>
  <c r="AJ93" i="60" s="1"/>
  <c r="AM95" i="60"/>
  <c r="AN95" i="60" s="1"/>
  <c r="AK97" i="60"/>
  <c r="AL97" i="60" s="1"/>
  <c r="AI98" i="60"/>
  <c r="AJ98" i="60" s="1"/>
  <c r="AM100" i="60"/>
  <c r="AN100" i="60" s="1"/>
  <c r="M126" i="60"/>
  <c r="M110" i="60"/>
  <c r="M100" i="60"/>
  <c r="M116" i="60"/>
  <c r="M102" i="60"/>
  <c r="M86" i="60"/>
  <c r="M128" i="60"/>
  <c r="M112" i="60"/>
  <c r="M106" i="60"/>
  <c r="M90" i="60"/>
  <c r="M118" i="60"/>
  <c r="M92" i="60"/>
  <c r="M124" i="60"/>
  <c r="M108" i="60"/>
  <c r="M94" i="60"/>
  <c r="M114" i="60"/>
  <c r="M120" i="60"/>
  <c r="M98" i="60"/>
  <c r="AI74" i="60"/>
  <c r="AJ74" i="60" s="1"/>
  <c r="AM77" i="60"/>
  <c r="AN77" i="60" s="1"/>
  <c r="AI80" i="60"/>
  <c r="AJ80" i="60" s="1"/>
  <c r="AM82" i="60"/>
  <c r="AN82" i="60" s="1"/>
  <c r="AK89" i="60"/>
  <c r="AL89" i="60" s="1"/>
  <c r="AG93" i="60"/>
  <c r="AI97" i="60"/>
  <c r="AJ97" i="60" s="1"/>
  <c r="AG98" i="60"/>
  <c r="AK76" i="60"/>
  <c r="AL76" i="60" s="1"/>
  <c r="AM84" i="60"/>
  <c r="AN84" i="60" s="1"/>
  <c r="AK85" i="60"/>
  <c r="AL85" i="60" s="1"/>
  <c r="AI89" i="60"/>
  <c r="AJ89" i="60" s="1"/>
  <c r="AG90" i="60"/>
  <c r="AK93" i="60"/>
  <c r="AL93" i="60" s="1"/>
  <c r="AM97" i="60"/>
  <c r="AN97" i="60" s="1"/>
  <c r="AK98" i="60"/>
  <c r="AL98" i="60" s="1"/>
  <c r="M104" i="60"/>
  <c r="K114" i="60"/>
  <c r="K96" i="60"/>
  <c r="K120" i="60"/>
  <c r="K98" i="60"/>
  <c r="K82" i="60"/>
  <c r="K116" i="60"/>
  <c r="K102" i="60"/>
  <c r="K86" i="60"/>
  <c r="K122" i="60"/>
  <c r="K104" i="60"/>
  <c r="K88" i="60"/>
  <c r="K128" i="60"/>
  <c r="K112" i="60"/>
  <c r="K106" i="60"/>
  <c r="K90" i="60"/>
  <c r="K118" i="60"/>
  <c r="K124" i="60"/>
  <c r="K108" i="60"/>
  <c r="K94" i="60"/>
  <c r="S114" i="60"/>
  <c r="S96" i="60"/>
  <c r="S120" i="60"/>
  <c r="S98" i="60"/>
  <c r="S82" i="60"/>
  <c r="S116" i="60"/>
  <c r="S102" i="60"/>
  <c r="S86" i="60"/>
  <c r="S122" i="60"/>
  <c r="S104" i="60"/>
  <c r="S88" i="60"/>
  <c r="S128" i="60"/>
  <c r="S112" i="60"/>
  <c r="S106" i="60"/>
  <c r="S90" i="60"/>
  <c r="S118" i="60"/>
  <c r="S124" i="60"/>
  <c r="S108" i="60"/>
  <c r="S94" i="60"/>
  <c r="AA114" i="60"/>
  <c r="AA96" i="60"/>
  <c r="AA120" i="60"/>
  <c r="AA98" i="60"/>
  <c r="AA82" i="60"/>
  <c r="AA116" i="60"/>
  <c r="AA102" i="60"/>
  <c r="AA86" i="60"/>
  <c r="AA122" i="60"/>
  <c r="AA104" i="60"/>
  <c r="AA88" i="60"/>
  <c r="AA128" i="60"/>
  <c r="AA112" i="60"/>
  <c r="AA106" i="60"/>
  <c r="AA90" i="60"/>
  <c r="AA118" i="60"/>
  <c r="AA124" i="60"/>
  <c r="AA108" i="60"/>
  <c r="AA94" i="60"/>
  <c r="AG95" i="60"/>
  <c r="AG100" i="60"/>
  <c r="Y106" i="60"/>
  <c r="I112" i="60"/>
  <c r="Q112" i="60"/>
  <c r="Y112" i="60"/>
  <c r="I128" i="60"/>
  <c r="Q128" i="60"/>
  <c r="Y128" i="60"/>
  <c r="AI95" i="60"/>
  <c r="AJ95" i="60" s="1"/>
  <c r="AI100" i="60"/>
  <c r="AJ100" i="60" s="1"/>
  <c r="I116" i="60"/>
  <c r="Q116" i="60"/>
  <c r="Y116" i="60"/>
  <c r="I110" i="60"/>
  <c r="Q110" i="60"/>
  <c r="Y110" i="60"/>
  <c r="I126" i="60"/>
  <c r="Q126" i="60"/>
  <c r="Y126" i="60"/>
  <c r="AK84" i="60"/>
  <c r="AL84" i="60" s="1"/>
  <c r="AK95" i="60"/>
  <c r="AL95" i="60" s="1"/>
  <c r="AK100" i="60"/>
  <c r="AL100" i="60" s="1"/>
  <c r="I120" i="60"/>
  <c r="Q120" i="60"/>
  <c r="Y120" i="60"/>
  <c r="Y108" i="60"/>
  <c r="I124" i="60"/>
  <c r="Q124" i="60"/>
  <c r="Y124" i="60"/>
  <c r="AI79" i="59"/>
  <c r="AJ79" i="59" s="1"/>
  <c r="AI81" i="59"/>
  <c r="AJ81" i="59" s="1"/>
  <c r="AK74" i="59"/>
  <c r="AL74" i="59" s="1"/>
  <c r="AM99" i="59"/>
  <c r="AN99" i="59" s="1"/>
  <c r="AK100" i="59"/>
  <c r="AL100" i="59" s="1"/>
  <c r="AM97" i="59"/>
  <c r="AN97" i="59" s="1"/>
  <c r="AM76" i="59"/>
  <c r="AN76" i="59" s="1"/>
  <c r="T116" i="59"/>
  <c r="T68" i="59"/>
  <c r="T54" i="59"/>
  <c r="T38" i="59"/>
  <c r="T46" i="59"/>
  <c r="T122" i="59"/>
  <c r="T66" i="59"/>
  <c r="T60" i="59"/>
  <c r="T42" i="59"/>
  <c r="T110" i="59"/>
  <c r="T86" i="59"/>
  <c r="T48" i="59"/>
  <c r="T50" i="59"/>
  <c r="T102" i="59"/>
  <c r="T100" i="59"/>
  <c r="T82" i="59"/>
  <c r="T52" i="59"/>
  <c r="T40" i="59"/>
  <c r="T36" i="59"/>
  <c r="T78" i="59"/>
  <c r="T76" i="59"/>
  <c r="T74" i="59"/>
  <c r="T64" i="59"/>
  <c r="T58" i="59"/>
  <c r="T104" i="59"/>
  <c r="T94" i="59"/>
  <c r="T88" i="59"/>
  <c r="T84" i="59"/>
  <c r="T56" i="59"/>
  <c r="T80" i="59"/>
  <c r="T62" i="59"/>
  <c r="T44" i="59"/>
  <c r="F116" i="59"/>
  <c r="F106" i="59"/>
  <c r="F80" i="59"/>
  <c r="F68" i="59"/>
  <c r="F62" i="59"/>
  <c r="F50" i="59"/>
  <c r="F44" i="59"/>
  <c r="F78" i="59"/>
  <c r="F128" i="59"/>
  <c r="F102" i="59"/>
  <c r="F42" i="59"/>
  <c r="F104" i="59"/>
  <c r="F100" i="59"/>
  <c r="F90" i="59"/>
  <c r="F86" i="59"/>
  <c r="F66" i="59"/>
  <c r="F54" i="59"/>
  <c r="F38" i="59"/>
  <c r="F82" i="59"/>
  <c r="F60" i="59"/>
  <c r="F52" i="59"/>
  <c r="F36" i="59"/>
  <c r="F74" i="59"/>
  <c r="F48" i="59"/>
  <c r="F96" i="59"/>
  <c r="F58" i="59"/>
  <c r="F122" i="59"/>
  <c r="F118" i="59"/>
  <c r="F98" i="59"/>
  <c r="F94" i="59"/>
  <c r="F88" i="59"/>
  <c r="F84" i="59"/>
  <c r="F76" i="59"/>
  <c r="F64" i="59"/>
  <c r="F56" i="59"/>
  <c r="F46" i="59"/>
  <c r="F40" i="59"/>
  <c r="F120" i="59"/>
  <c r="F112" i="59"/>
  <c r="F92" i="59"/>
  <c r="V116" i="59"/>
  <c r="V86" i="59"/>
  <c r="V48" i="59"/>
  <c r="V28" i="59"/>
  <c r="V14" i="59"/>
  <c r="V42" i="59"/>
  <c r="V106" i="59"/>
  <c r="V102" i="59"/>
  <c r="V98" i="59"/>
  <c r="V82" i="59"/>
  <c r="V52" i="59"/>
  <c r="V40" i="59"/>
  <c r="V36" i="59"/>
  <c r="V26" i="59"/>
  <c r="V24" i="59"/>
  <c r="V44" i="59"/>
  <c r="V60" i="59"/>
  <c r="V10" i="59"/>
  <c r="V118" i="59"/>
  <c r="V112" i="59"/>
  <c r="V100" i="59"/>
  <c r="V78" i="59"/>
  <c r="V76" i="59"/>
  <c r="V74" i="59"/>
  <c r="V64" i="59"/>
  <c r="V58" i="59"/>
  <c r="V30" i="59"/>
  <c r="V8" i="59"/>
  <c r="V94" i="59"/>
  <c r="V120" i="59"/>
  <c r="V50" i="59"/>
  <c r="V46" i="59"/>
  <c r="V34" i="59"/>
  <c r="V22" i="59"/>
  <c r="V6" i="59"/>
  <c r="V80" i="59"/>
  <c r="V104" i="59"/>
  <c r="V88" i="59"/>
  <c r="V84" i="59"/>
  <c r="V56" i="59"/>
  <c r="V32" i="59"/>
  <c r="V62" i="59"/>
  <c r="V12" i="59"/>
  <c r="V128" i="59"/>
  <c r="V96" i="59"/>
  <c r="V92" i="59"/>
  <c r="V68" i="59"/>
  <c r="V54" i="59"/>
  <c r="V38" i="59"/>
  <c r="V20" i="59"/>
  <c r="V18" i="59"/>
  <c r="V16" i="59"/>
  <c r="V122" i="59"/>
  <c r="V90" i="59"/>
  <c r="V66" i="59"/>
  <c r="D122" i="59"/>
  <c r="D92" i="59"/>
  <c r="D88" i="59"/>
  <c r="D84" i="59"/>
  <c r="D76" i="59"/>
  <c r="D64" i="59"/>
  <c r="D56" i="59"/>
  <c r="D46" i="59"/>
  <c r="D40" i="59"/>
  <c r="D82" i="59"/>
  <c r="D52" i="59"/>
  <c r="D36" i="59"/>
  <c r="D116" i="59"/>
  <c r="D80" i="59"/>
  <c r="D68" i="59"/>
  <c r="D62" i="59"/>
  <c r="D50" i="59"/>
  <c r="D44" i="59"/>
  <c r="D60" i="59"/>
  <c r="D110" i="59"/>
  <c r="D102" i="59"/>
  <c r="D100" i="59"/>
  <c r="D42" i="59"/>
  <c r="D108" i="59"/>
  <c r="D104" i="59"/>
  <c r="D90" i="59"/>
  <c r="D86" i="59"/>
  <c r="D66" i="59"/>
  <c r="D54" i="59"/>
  <c r="D38" i="59"/>
  <c r="D58" i="59"/>
  <c r="D74" i="59"/>
  <c r="D48" i="59"/>
  <c r="D94" i="59"/>
  <c r="D78" i="59"/>
  <c r="AK88" i="59"/>
  <c r="AL88" i="59" s="1"/>
  <c r="AI4" i="59"/>
  <c r="AJ4" i="59" s="1"/>
  <c r="N86" i="59"/>
  <c r="N100" i="59"/>
  <c r="N102" i="59"/>
  <c r="AM82" i="59"/>
  <c r="AN82" i="59" s="1"/>
  <c r="AG18" i="59"/>
  <c r="N68" i="59"/>
  <c r="AM86" i="59"/>
  <c r="AN86" i="59" s="1"/>
  <c r="N98" i="59"/>
  <c r="N118" i="59"/>
  <c r="AM26" i="59"/>
  <c r="AN26" i="59" s="1"/>
  <c r="AM9" i="59"/>
  <c r="AN9" i="59" s="1"/>
  <c r="N44" i="59"/>
  <c r="N62" i="59"/>
  <c r="N80" i="59"/>
  <c r="AK98" i="59"/>
  <c r="AL98" i="59" s="1"/>
  <c r="N122" i="59"/>
  <c r="N90" i="59"/>
  <c r="AM8" i="59"/>
  <c r="AN8" i="59" s="1"/>
  <c r="N50" i="59"/>
  <c r="N56" i="59"/>
  <c r="AM94" i="59"/>
  <c r="AN94" i="59" s="1"/>
  <c r="N84" i="59"/>
  <c r="N88" i="59"/>
  <c r="N92" i="59"/>
  <c r="N94" i="59"/>
  <c r="N96" i="59"/>
  <c r="E128" i="59"/>
  <c r="AK85" i="59"/>
  <c r="AL85" i="59" s="1"/>
  <c r="N106" i="59"/>
  <c r="N120" i="59"/>
  <c r="N46" i="59"/>
  <c r="N58" i="59"/>
  <c r="N64" i="59"/>
  <c r="N76" i="59"/>
  <c r="AK83" i="59"/>
  <c r="AL83" i="59" s="1"/>
  <c r="AM87" i="59"/>
  <c r="AN87" i="59" s="1"/>
  <c r="AG104" i="59"/>
  <c r="N112" i="59"/>
  <c r="N40" i="59"/>
  <c r="N74" i="59"/>
  <c r="N78" i="59"/>
  <c r="N104" i="59"/>
  <c r="AK10" i="59"/>
  <c r="AL10" i="59" s="1"/>
  <c r="AK13" i="59"/>
  <c r="AL13" i="59" s="1"/>
  <c r="AM16" i="59"/>
  <c r="AN16" i="59" s="1"/>
  <c r="AK16" i="59"/>
  <c r="AL16" i="59" s="1"/>
  <c r="AI16" i="59"/>
  <c r="AJ16" i="59" s="1"/>
  <c r="AW19" i="59"/>
  <c r="AW25" i="59"/>
  <c r="AM30" i="59"/>
  <c r="AN30" i="59" s="1"/>
  <c r="AG16" i="59"/>
  <c r="AI19" i="59"/>
  <c r="AJ19" i="59" s="1"/>
  <c r="AG20" i="59"/>
  <c r="AW23" i="59"/>
  <c r="AK28" i="59"/>
  <c r="AL28" i="59" s="1"/>
  <c r="AI28" i="59"/>
  <c r="AJ28" i="59" s="1"/>
  <c r="AG28" i="59"/>
  <c r="AM28" i="59"/>
  <c r="AN28" i="59" s="1"/>
  <c r="AW30" i="59"/>
  <c r="Z110" i="59"/>
  <c r="AM10" i="59"/>
  <c r="AN10" i="59" s="1"/>
  <c r="AG29" i="59"/>
  <c r="L120" i="59"/>
  <c r="L98" i="59"/>
  <c r="L126" i="59"/>
  <c r="L128" i="59"/>
  <c r="L112" i="59"/>
  <c r="L106" i="59"/>
  <c r="L90" i="59"/>
  <c r="L118" i="59"/>
  <c r="L92" i="59"/>
  <c r="L124" i="59"/>
  <c r="L114" i="59"/>
  <c r="L96" i="59"/>
  <c r="L108" i="59"/>
  <c r="L102" i="59"/>
  <c r="L80" i="59"/>
  <c r="L66" i="59"/>
  <c r="L50" i="59"/>
  <c r="L82" i="59"/>
  <c r="L84" i="59"/>
  <c r="L62" i="59"/>
  <c r="L46" i="59"/>
  <c r="L116" i="59"/>
  <c r="L110" i="59"/>
  <c r="L104" i="59"/>
  <c r="L86" i="59"/>
  <c r="L68" i="59"/>
  <c r="L52" i="59"/>
  <c r="L88" i="59"/>
  <c r="L74" i="59"/>
  <c r="L58" i="59"/>
  <c r="L94" i="59"/>
  <c r="L64" i="59"/>
  <c r="L48" i="59"/>
  <c r="L100" i="59"/>
  <c r="L44" i="59"/>
  <c r="L40" i="59"/>
  <c r="L38" i="59"/>
  <c r="L78" i="59"/>
  <c r="L54" i="59"/>
  <c r="L36" i="59"/>
  <c r="L122" i="59"/>
  <c r="L60" i="59"/>
  <c r="L76" i="59"/>
  <c r="L56" i="59"/>
  <c r="AB120" i="59"/>
  <c r="AB98" i="59"/>
  <c r="AB126" i="59"/>
  <c r="AB128" i="59"/>
  <c r="AB112" i="59"/>
  <c r="AB106" i="59"/>
  <c r="AB90" i="59"/>
  <c r="AB118" i="59"/>
  <c r="AB92" i="59"/>
  <c r="AB124" i="59"/>
  <c r="AB108" i="59"/>
  <c r="AB114" i="59"/>
  <c r="AB96" i="59"/>
  <c r="AB80" i="59"/>
  <c r="AB66" i="59"/>
  <c r="AB50" i="59"/>
  <c r="AB94" i="59"/>
  <c r="AB82" i="59"/>
  <c r="AB100" i="59"/>
  <c r="AB84" i="59"/>
  <c r="AB62" i="59"/>
  <c r="AB46" i="59"/>
  <c r="AB104" i="59"/>
  <c r="AB86" i="59"/>
  <c r="AB68" i="59"/>
  <c r="AB52" i="59"/>
  <c r="AB34" i="59"/>
  <c r="AB102" i="59"/>
  <c r="AB88" i="59"/>
  <c r="AB74" i="59"/>
  <c r="AB58" i="59"/>
  <c r="AB42" i="59"/>
  <c r="AB110" i="59"/>
  <c r="AB64" i="59"/>
  <c r="AB48" i="59"/>
  <c r="AB116" i="59"/>
  <c r="AB76" i="59"/>
  <c r="AB44" i="59"/>
  <c r="AB40" i="59"/>
  <c r="AB38" i="59"/>
  <c r="AB56" i="59"/>
  <c r="AB122" i="59"/>
  <c r="AB78" i="59"/>
  <c r="AB60" i="59"/>
  <c r="AB54" i="59"/>
  <c r="AB36" i="59"/>
  <c r="R124" i="59"/>
  <c r="R108" i="59"/>
  <c r="R116" i="59"/>
  <c r="R102" i="59"/>
  <c r="R122" i="59"/>
  <c r="R104" i="59"/>
  <c r="R128" i="59"/>
  <c r="R112" i="59"/>
  <c r="R118" i="59"/>
  <c r="R92" i="59"/>
  <c r="R120" i="59"/>
  <c r="R96" i="59"/>
  <c r="R94" i="59"/>
  <c r="R90" i="59"/>
  <c r="R76" i="59"/>
  <c r="R54" i="59"/>
  <c r="R78" i="59"/>
  <c r="R114" i="59"/>
  <c r="R110" i="59"/>
  <c r="R100" i="59"/>
  <c r="R80" i="59"/>
  <c r="R66" i="59"/>
  <c r="R50" i="59"/>
  <c r="R82" i="59"/>
  <c r="R56" i="59"/>
  <c r="R40" i="59"/>
  <c r="R84" i="59"/>
  <c r="R62" i="59"/>
  <c r="R46" i="59"/>
  <c r="R106" i="59"/>
  <c r="R86" i="59"/>
  <c r="R68" i="59"/>
  <c r="R52" i="59"/>
  <c r="R126" i="59"/>
  <c r="R98" i="59"/>
  <c r="R88" i="59"/>
  <c r="R64" i="59"/>
  <c r="R44" i="59"/>
  <c r="R42" i="59"/>
  <c r="R38" i="59"/>
  <c r="R60" i="59"/>
  <c r="R48" i="59"/>
  <c r="R36" i="59"/>
  <c r="AM7" i="59"/>
  <c r="AN7" i="59" s="1"/>
  <c r="Z10" i="59"/>
  <c r="AM11" i="59"/>
  <c r="AN11" i="59" s="1"/>
  <c r="AK11" i="59"/>
  <c r="AL11" i="59" s="1"/>
  <c r="AI11" i="59"/>
  <c r="AJ11" i="59" s="1"/>
  <c r="AI13" i="59"/>
  <c r="AJ13" i="59" s="1"/>
  <c r="AI18" i="59"/>
  <c r="AJ18" i="59" s="1"/>
  <c r="AG21" i="59"/>
  <c r="AI24" i="59"/>
  <c r="AJ24" i="59" s="1"/>
  <c r="AG26" i="59"/>
  <c r="AM27" i="59"/>
  <c r="AN27" i="59" s="1"/>
  <c r="AK27" i="59"/>
  <c r="AL27" i="59" s="1"/>
  <c r="AI27" i="59"/>
  <c r="AJ27" i="59" s="1"/>
  <c r="AG27" i="59"/>
  <c r="AI29" i="59"/>
  <c r="AJ29" i="59" s="1"/>
  <c r="AM80" i="59"/>
  <c r="AN80" i="59" s="1"/>
  <c r="AK80" i="59"/>
  <c r="AL80" i="59" s="1"/>
  <c r="AI80" i="59"/>
  <c r="AJ80" i="59" s="1"/>
  <c r="AM90" i="59"/>
  <c r="AN90" i="59" s="1"/>
  <c r="AK90" i="59"/>
  <c r="AL90" i="59" s="1"/>
  <c r="AI90" i="59"/>
  <c r="AJ90" i="59" s="1"/>
  <c r="AI5" i="59"/>
  <c r="AJ5" i="59" s="1"/>
  <c r="AI14" i="59"/>
  <c r="AJ14" i="59" s="1"/>
  <c r="AI17" i="59"/>
  <c r="AJ17" i="59" s="1"/>
  <c r="AW24" i="59"/>
  <c r="AK5" i="59"/>
  <c r="AL5" i="59" s="1"/>
  <c r="AK6" i="59"/>
  <c r="AL6" i="59" s="1"/>
  <c r="AK12" i="59"/>
  <c r="AL12" i="59" s="1"/>
  <c r="AI12" i="59"/>
  <c r="AJ12" i="59" s="1"/>
  <c r="AM13" i="59"/>
  <c r="AN13" i="59" s="1"/>
  <c r="AK14" i="59"/>
  <c r="AL14" i="59" s="1"/>
  <c r="AW16" i="59"/>
  <c r="AK17" i="59"/>
  <c r="AL17" i="59" s="1"/>
  <c r="AW18" i="59"/>
  <c r="AK21" i="59"/>
  <c r="AL21" i="59" s="1"/>
  <c r="AI22" i="59"/>
  <c r="AJ22" i="59" s="1"/>
  <c r="AK23" i="59"/>
  <c r="AL23" i="59" s="1"/>
  <c r="AI23" i="59"/>
  <c r="AJ23" i="59" s="1"/>
  <c r="AG23" i="59"/>
  <c r="AM23" i="59"/>
  <c r="AN23" i="59" s="1"/>
  <c r="AK26" i="59"/>
  <c r="AL26" i="59" s="1"/>
  <c r="AW29" i="59"/>
  <c r="AI31" i="59"/>
  <c r="AJ31" i="59" s="1"/>
  <c r="AG36" i="59"/>
  <c r="AG35" i="59" s="1"/>
  <c r="Z60" i="59"/>
  <c r="AK9" i="59"/>
  <c r="AL9" i="59" s="1"/>
  <c r="AM14" i="59"/>
  <c r="AN14" i="59" s="1"/>
  <c r="AM15" i="59"/>
  <c r="AN15" i="59" s="1"/>
  <c r="AK15" i="59"/>
  <c r="AL15" i="59" s="1"/>
  <c r="AM21" i="59"/>
  <c r="AN21" i="59" s="1"/>
  <c r="AK22" i="59"/>
  <c r="AL22" i="59" s="1"/>
  <c r="AK25" i="59"/>
  <c r="AL25" i="59" s="1"/>
  <c r="AB30" i="59"/>
  <c r="J124" i="59"/>
  <c r="J108" i="59"/>
  <c r="J116" i="59"/>
  <c r="J102" i="59"/>
  <c r="J122" i="59"/>
  <c r="J104" i="59"/>
  <c r="J128" i="59"/>
  <c r="J112" i="59"/>
  <c r="J118" i="59"/>
  <c r="J92" i="59"/>
  <c r="J126" i="59"/>
  <c r="J100" i="59"/>
  <c r="J76" i="59"/>
  <c r="J54" i="59"/>
  <c r="J78" i="59"/>
  <c r="J106" i="59"/>
  <c r="J80" i="59"/>
  <c r="J66" i="59"/>
  <c r="J50" i="59"/>
  <c r="J120" i="59"/>
  <c r="J98" i="59"/>
  <c r="J82" i="59"/>
  <c r="J56" i="59"/>
  <c r="J40" i="59"/>
  <c r="J84" i="59"/>
  <c r="J62" i="59"/>
  <c r="J46" i="59"/>
  <c r="J114" i="59"/>
  <c r="J110" i="59"/>
  <c r="J96" i="59"/>
  <c r="J86" i="59"/>
  <c r="J68" i="59"/>
  <c r="J52" i="59"/>
  <c r="J64" i="59"/>
  <c r="J42" i="59"/>
  <c r="J44" i="59"/>
  <c r="J74" i="59"/>
  <c r="J58" i="59"/>
  <c r="J90" i="59"/>
  <c r="J38" i="59"/>
  <c r="J48" i="59"/>
  <c r="J36" i="59"/>
  <c r="J94" i="59"/>
  <c r="J88" i="59"/>
  <c r="Z124" i="59"/>
  <c r="Z108" i="59"/>
  <c r="Z114" i="59"/>
  <c r="Z116" i="59"/>
  <c r="Z102" i="59"/>
  <c r="Z122" i="59"/>
  <c r="Z104" i="59"/>
  <c r="Z128" i="59"/>
  <c r="Z112" i="59"/>
  <c r="Z118" i="59"/>
  <c r="Z92" i="59"/>
  <c r="Z106" i="59"/>
  <c r="Z76" i="59"/>
  <c r="Z54" i="59"/>
  <c r="Z90" i="59"/>
  <c r="Z78" i="59"/>
  <c r="Z94" i="59"/>
  <c r="Z80" i="59"/>
  <c r="Z66" i="59"/>
  <c r="Z50" i="59"/>
  <c r="Z98" i="59"/>
  <c r="Z96" i="59"/>
  <c r="Z82" i="59"/>
  <c r="Z56" i="59"/>
  <c r="Z40" i="59"/>
  <c r="Z126" i="59"/>
  <c r="Z100" i="59"/>
  <c r="Z84" i="59"/>
  <c r="Z62" i="59"/>
  <c r="Z46" i="59"/>
  <c r="Z120" i="59"/>
  <c r="Z86" i="59"/>
  <c r="Z68" i="59"/>
  <c r="Z52" i="59"/>
  <c r="Z34" i="59"/>
  <c r="Z28" i="59"/>
  <c r="Z12" i="59"/>
  <c r="Z30" i="59"/>
  <c r="Z88" i="59"/>
  <c r="Z64" i="59"/>
  <c r="Z16" i="59"/>
  <c r="Z44" i="59"/>
  <c r="Z42" i="59"/>
  <c r="Z18" i="59"/>
  <c r="Z38" i="59"/>
  <c r="Z20" i="59"/>
  <c r="Z74" i="59"/>
  <c r="Z58" i="59"/>
  <c r="Z48" i="59"/>
  <c r="Z32" i="59"/>
  <c r="Z24" i="59"/>
  <c r="AI8" i="59"/>
  <c r="AJ8" i="59" s="1"/>
  <c r="AM29" i="59"/>
  <c r="AN29" i="59" s="1"/>
  <c r="AI26" i="59"/>
  <c r="AJ26" i="59" s="1"/>
  <c r="AG22" i="59"/>
  <c r="AI21" i="59"/>
  <c r="AJ21" i="59" s="1"/>
  <c r="AM18" i="59"/>
  <c r="AN18" i="59" s="1"/>
  <c r="AG17" i="59"/>
  <c r="AK29" i="59"/>
  <c r="AL29" i="59" s="1"/>
  <c r="AM22" i="59"/>
  <c r="AN22" i="59" s="1"/>
  <c r="AW20" i="59"/>
  <c r="AK18" i="59"/>
  <c r="AL18" i="59" s="1"/>
  <c r="AM17" i="59"/>
  <c r="AN17" i="59" s="1"/>
  <c r="AM6" i="59"/>
  <c r="AN6" i="59" s="1"/>
  <c r="AM24" i="59"/>
  <c r="AN24" i="59" s="1"/>
  <c r="AM19" i="59"/>
  <c r="AN19" i="59" s="1"/>
  <c r="AK31" i="59"/>
  <c r="AL31" i="59" s="1"/>
  <c r="AW26" i="59"/>
  <c r="AK24" i="59"/>
  <c r="AL24" i="59" s="1"/>
  <c r="AW21" i="59"/>
  <c r="AI20" i="59"/>
  <c r="AJ20" i="59" s="1"/>
  <c r="AK19" i="59"/>
  <c r="AL19" i="59" s="1"/>
  <c r="AM5" i="59"/>
  <c r="AN5" i="59" s="1"/>
  <c r="AK8" i="59"/>
  <c r="AL8" i="59" s="1"/>
  <c r="AG25" i="59"/>
  <c r="AW27" i="59"/>
  <c r="AW28" i="59"/>
  <c r="AK30" i="59"/>
  <c r="AL30" i="59" s="1"/>
  <c r="AM31" i="59"/>
  <c r="AN31" i="59" s="1"/>
  <c r="Z36" i="59"/>
  <c r="R74" i="59"/>
  <c r="AK78" i="59"/>
  <c r="AL78" i="59" s="1"/>
  <c r="AI78" i="59"/>
  <c r="AJ78" i="59" s="1"/>
  <c r="AM78" i="59"/>
  <c r="AN78" i="59" s="1"/>
  <c r="AK4" i="59"/>
  <c r="AL4" i="59" s="1"/>
  <c r="AI9" i="59"/>
  <c r="AJ9" i="59" s="1"/>
  <c r="AM4" i="59"/>
  <c r="AN4" i="59" s="1"/>
  <c r="AK7" i="59"/>
  <c r="AL7" i="59" s="1"/>
  <c r="AI7" i="59"/>
  <c r="AJ7" i="59" s="1"/>
  <c r="AI10" i="59"/>
  <c r="AJ10" i="59" s="1"/>
  <c r="AM12" i="59"/>
  <c r="AN12" i="59" s="1"/>
  <c r="Z14" i="59"/>
  <c r="AI15" i="59"/>
  <c r="AJ15" i="59" s="1"/>
  <c r="AM25" i="59"/>
  <c r="AN25" i="59" s="1"/>
  <c r="AG30" i="59"/>
  <c r="AW17" i="59"/>
  <c r="AK20" i="59"/>
  <c r="AL20" i="59" s="1"/>
  <c r="AW22" i="59"/>
  <c r="AI86" i="59"/>
  <c r="AJ86" i="59" s="1"/>
  <c r="AK89" i="59"/>
  <c r="AL89" i="59" s="1"/>
  <c r="AI89" i="59"/>
  <c r="AJ89" i="59" s="1"/>
  <c r="AK93" i="59"/>
  <c r="AL93" i="59" s="1"/>
  <c r="M126" i="59"/>
  <c r="M110" i="59"/>
  <c r="M100" i="59"/>
  <c r="M116" i="59"/>
  <c r="M118" i="59"/>
  <c r="M92" i="59"/>
  <c r="M124" i="59"/>
  <c r="M108" i="59"/>
  <c r="M94" i="59"/>
  <c r="M114" i="59"/>
  <c r="M120" i="59"/>
  <c r="M98" i="59"/>
  <c r="M112" i="59"/>
  <c r="M82" i="59"/>
  <c r="M56" i="59"/>
  <c r="M106" i="59"/>
  <c r="M84" i="59"/>
  <c r="M104" i="59"/>
  <c r="M86" i="59"/>
  <c r="M68" i="59"/>
  <c r="M52" i="59"/>
  <c r="M88" i="59"/>
  <c r="M74" i="59"/>
  <c r="M58" i="59"/>
  <c r="M42" i="59"/>
  <c r="M36" i="59"/>
  <c r="M96" i="59"/>
  <c r="M64" i="59"/>
  <c r="M48" i="59"/>
  <c r="M90" i="59"/>
  <c r="M76" i="59"/>
  <c r="M54" i="59"/>
  <c r="M38" i="59"/>
  <c r="K114" i="59"/>
  <c r="K96" i="59"/>
  <c r="K120" i="59"/>
  <c r="K122" i="59"/>
  <c r="K104" i="59"/>
  <c r="K128" i="59"/>
  <c r="K112" i="59"/>
  <c r="K106" i="59"/>
  <c r="K118" i="59"/>
  <c r="K124" i="59"/>
  <c r="K108" i="59"/>
  <c r="K94" i="59"/>
  <c r="K78" i="59"/>
  <c r="K60" i="59"/>
  <c r="K44" i="59"/>
  <c r="K102" i="59"/>
  <c r="K80" i="59"/>
  <c r="K66" i="59"/>
  <c r="K98" i="59"/>
  <c r="K82" i="59"/>
  <c r="K56" i="59"/>
  <c r="K84" i="59"/>
  <c r="K62" i="59"/>
  <c r="K46" i="59"/>
  <c r="K116" i="59"/>
  <c r="K110" i="59"/>
  <c r="K86" i="59"/>
  <c r="K68" i="59"/>
  <c r="K52" i="59"/>
  <c r="K88" i="59"/>
  <c r="K74" i="59"/>
  <c r="K58" i="59"/>
  <c r="K42" i="59"/>
  <c r="K36" i="59"/>
  <c r="S114" i="59"/>
  <c r="S96" i="59"/>
  <c r="S120" i="59"/>
  <c r="S122" i="59"/>
  <c r="S104" i="59"/>
  <c r="S128" i="59"/>
  <c r="S112" i="59"/>
  <c r="S106" i="59"/>
  <c r="S118" i="59"/>
  <c r="S124" i="59"/>
  <c r="S108" i="59"/>
  <c r="S94" i="59"/>
  <c r="S78" i="59"/>
  <c r="S60" i="59"/>
  <c r="S44" i="59"/>
  <c r="S110" i="59"/>
  <c r="S100" i="59"/>
  <c r="S92" i="59"/>
  <c r="S80" i="59"/>
  <c r="S66" i="59"/>
  <c r="S116" i="59"/>
  <c r="S82" i="59"/>
  <c r="S56" i="59"/>
  <c r="S102" i="59"/>
  <c r="S84" i="59"/>
  <c r="S62" i="59"/>
  <c r="S46" i="59"/>
  <c r="S86" i="59"/>
  <c r="S68" i="59"/>
  <c r="S52" i="59"/>
  <c r="S126" i="59"/>
  <c r="S88" i="59"/>
  <c r="S74" i="59"/>
  <c r="S58" i="59"/>
  <c r="S42" i="59"/>
  <c r="S36" i="59"/>
  <c r="AA114" i="59"/>
  <c r="AA96" i="59"/>
  <c r="AA120" i="59"/>
  <c r="AA122" i="59"/>
  <c r="AA104" i="59"/>
  <c r="AA128" i="59"/>
  <c r="AA112" i="59"/>
  <c r="AA106" i="59"/>
  <c r="AA118" i="59"/>
  <c r="AA124" i="59"/>
  <c r="AA108" i="59"/>
  <c r="AA94" i="59"/>
  <c r="AA116" i="59"/>
  <c r="AA90" i="59"/>
  <c r="AA78" i="59"/>
  <c r="AA60" i="59"/>
  <c r="AA44" i="59"/>
  <c r="AA80" i="59"/>
  <c r="AA66" i="59"/>
  <c r="AA98" i="59"/>
  <c r="AA82" i="59"/>
  <c r="AA56" i="59"/>
  <c r="AA126" i="59"/>
  <c r="AA100" i="59"/>
  <c r="AA84" i="59"/>
  <c r="AA62" i="59"/>
  <c r="AA46" i="59"/>
  <c r="AA32" i="59"/>
  <c r="AA92" i="59"/>
  <c r="AA86" i="59"/>
  <c r="AA68" i="59"/>
  <c r="AA52" i="59"/>
  <c r="AA102" i="59"/>
  <c r="AA88" i="59"/>
  <c r="AA74" i="59"/>
  <c r="AA58" i="59"/>
  <c r="AA42" i="59"/>
  <c r="AA36" i="59"/>
  <c r="AI25" i="59"/>
  <c r="AJ25" i="59" s="1"/>
  <c r="AI30" i="59"/>
  <c r="AJ30" i="59" s="1"/>
  <c r="AW31" i="59"/>
  <c r="AK77" i="59"/>
  <c r="AL77" i="59" s="1"/>
  <c r="AI84" i="59"/>
  <c r="AJ84" i="59" s="1"/>
  <c r="AM89" i="59"/>
  <c r="AN89" i="59" s="1"/>
  <c r="AG19" i="59"/>
  <c r="AM20" i="59"/>
  <c r="AN20" i="59" s="1"/>
  <c r="AG24" i="59"/>
  <c r="AG31" i="59"/>
  <c r="AK91" i="59"/>
  <c r="AL91" i="59" s="1"/>
  <c r="AI94" i="59"/>
  <c r="AJ94" i="59" s="1"/>
  <c r="AK96" i="59"/>
  <c r="AL96" i="59" s="1"/>
  <c r="AM77" i="59"/>
  <c r="AN77" i="59" s="1"/>
  <c r="AI74" i="59"/>
  <c r="AJ74" i="59" s="1"/>
  <c r="AM75" i="59"/>
  <c r="AN75" i="59" s="1"/>
  <c r="AK75" i="59"/>
  <c r="AL75" i="59" s="1"/>
  <c r="AI75" i="59"/>
  <c r="AJ75" i="59" s="1"/>
  <c r="AM81" i="59"/>
  <c r="AN81" i="59" s="1"/>
  <c r="AI95" i="59"/>
  <c r="AJ95" i="59" s="1"/>
  <c r="AM95" i="59"/>
  <c r="AN95" i="59" s="1"/>
  <c r="AK95" i="59"/>
  <c r="AL95" i="59" s="1"/>
  <c r="AM74" i="59"/>
  <c r="AN74" i="59" s="1"/>
  <c r="AI77" i="59"/>
  <c r="AJ77" i="59" s="1"/>
  <c r="AK81" i="59"/>
  <c r="AL81" i="59" s="1"/>
  <c r="AI82" i="59"/>
  <c r="AJ82" i="59" s="1"/>
  <c r="AM85" i="59"/>
  <c r="AN85" i="59" s="1"/>
  <c r="AK86" i="59"/>
  <c r="AL86" i="59" s="1"/>
  <c r="AM91" i="59"/>
  <c r="AN91" i="59" s="1"/>
  <c r="AM100" i="59"/>
  <c r="AN100" i="59" s="1"/>
  <c r="X124" i="59"/>
  <c r="AK79" i="59"/>
  <c r="AL79" i="59" s="1"/>
  <c r="AM83" i="59"/>
  <c r="AN83" i="59" s="1"/>
  <c r="AK84" i="59"/>
  <c r="AL84" i="59" s="1"/>
  <c r="AM88" i="59"/>
  <c r="AN88" i="59" s="1"/>
  <c r="AM93" i="59"/>
  <c r="AN93" i="59" s="1"/>
  <c r="AK94" i="59"/>
  <c r="AL94" i="59" s="1"/>
  <c r="AK82" i="59"/>
  <c r="AL82" i="59" s="1"/>
  <c r="AI101" i="59"/>
  <c r="AJ101" i="59" s="1"/>
  <c r="AM101" i="59"/>
  <c r="AN101" i="59" s="1"/>
  <c r="H102" i="59"/>
  <c r="D120" i="59"/>
  <c r="D98" i="59"/>
  <c r="D126" i="59"/>
  <c r="D128" i="59"/>
  <c r="D112" i="59"/>
  <c r="D106" i="59"/>
  <c r="D118" i="59"/>
  <c r="D124" i="59"/>
  <c r="D114" i="59"/>
  <c r="D96" i="59"/>
  <c r="T120" i="59"/>
  <c r="T98" i="59"/>
  <c r="T126" i="59"/>
  <c r="T128" i="59"/>
  <c r="T112" i="59"/>
  <c r="T106" i="59"/>
  <c r="T90" i="59"/>
  <c r="T118" i="59"/>
  <c r="T92" i="59"/>
  <c r="T124" i="59"/>
  <c r="T108" i="59"/>
  <c r="T114" i="59"/>
  <c r="T96" i="59"/>
  <c r="AM98" i="59"/>
  <c r="AN98" i="59" s="1"/>
  <c r="AM92" i="59"/>
  <c r="AN92" i="59" s="1"/>
  <c r="AK92" i="59"/>
  <c r="AL92" i="59" s="1"/>
  <c r="AI76" i="59"/>
  <c r="AJ76" i="59" s="1"/>
  <c r="AM79" i="59"/>
  <c r="AN79" i="59" s="1"/>
  <c r="AM84" i="59"/>
  <c r="AN84" i="59" s="1"/>
  <c r="AI87" i="59"/>
  <c r="AJ87" i="59" s="1"/>
  <c r="AM96" i="59"/>
  <c r="AN96" i="59" s="1"/>
  <c r="AK97" i="59"/>
  <c r="AL97" i="59" s="1"/>
  <c r="AG101" i="59"/>
  <c r="E126" i="59"/>
  <c r="E110" i="59"/>
  <c r="E100" i="59"/>
  <c r="E116" i="59"/>
  <c r="E118" i="59"/>
  <c r="E92" i="59"/>
  <c r="E124" i="59"/>
  <c r="E108" i="59"/>
  <c r="E94" i="59"/>
  <c r="E114" i="59"/>
  <c r="E120" i="59"/>
  <c r="E98" i="59"/>
  <c r="U126" i="59"/>
  <c r="U110" i="59"/>
  <c r="U100" i="59"/>
  <c r="U116" i="59"/>
  <c r="U118" i="59"/>
  <c r="U92" i="59"/>
  <c r="U124" i="59"/>
  <c r="U108" i="59"/>
  <c r="U94" i="59"/>
  <c r="U114" i="59"/>
  <c r="U120" i="59"/>
  <c r="U98" i="59"/>
  <c r="G122" i="59"/>
  <c r="G104" i="59"/>
  <c r="G128" i="59"/>
  <c r="G114" i="59"/>
  <c r="G96" i="59"/>
  <c r="G120" i="59"/>
  <c r="G98" i="59"/>
  <c r="G126" i="59"/>
  <c r="G110" i="59"/>
  <c r="G116" i="59"/>
  <c r="G102" i="59"/>
  <c r="O122" i="59"/>
  <c r="O104" i="59"/>
  <c r="O128" i="59"/>
  <c r="O114" i="59"/>
  <c r="O96" i="59"/>
  <c r="O120" i="59"/>
  <c r="O98" i="59"/>
  <c r="O126" i="59"/>
  <c r="O110" i="59"/>
  <c r="O116" i="59"/>
  <c r="O102" i="59"/>
  <c r="W122" i="59"/>
  <c r="W104" i="59"/>
  <c r="W128" i="59"/>
  <c r="W114" i="59"/>
  <c r="W96" i="59"/>
  <c r="W120" i="59"/>
  <c r="W98" i="59"/>
  <c r="W126" i="59"/>
  <c r="W110" i="59"/>
  <c r="W116" i="59"/>
  <c r="W102" i="59"/>
  <c r="AI85" i="59"/>
  <c r="AJ85" i="59" s="1"/>
  <c r="AI91" i="59"/>
  <c r="AJ91" i="59" s="1"/>
  <c r="AI93" i="59"/>
  <c r="AJ93" i="59" s="1"/>
  <c r="AI96" i="59"/>
  <c r="AJ96" i="59" s="1"/>
  <c r="AI97" i="59"/>
  <c r="AJ97" i="59" s="1"/>
  <c r="AI98" i="59"/>
  <c r="AJ98" i="59" s="1"/>
  <c r="AK99" i="59"/>
  <c r="AL99" i="59" s="1"/>
  <c r="AI99" i="59"/>
  <c r="AJ99" i="59" s="1"/>
  <c r="AI100" i="59"/>
  <c r="AJ100" i="59" s="1"/>
  <c r="H128" i="59"/>
  <c r="H112" i="59"/>
  <c r="H106" i="59"/>
  <c r="H118" i="59"/>
  <c r="H120" i="59"/>
  <c r="H98" i="59"/>
  <c r="H126" i="59"/>
  <c r="H110" i="59"/>
  <c r="H100" i="59"/>
  <c r="H116" i="59"/>
  <c r="H122" i="59"/>
  <c r="H104" i="59"/>
  <c r="P128" i="59"/>
  <c r="P112" i="59"/>
  <c r="P106" i="59"/>
  <c r="P118" i="59"/>
  <c r="P120" i="59"/>
  <c r="P98" i="59"/>
  <c r="P126" i="59"/>
  <c r="P110" i="59"/>
  <c r="P100" i="59"/>
  <c r="P116" i="59"/>
  <c r="P122" i="59"/>
  <c r="P104" i="59"/>
  <c r="X128" i="59"/>
  <c r="X112" i="59"/>
  <c r="X106" i="59"/>
  <c r="X118" i="59"/>
  <c r="X120" i="59"/>
  <c r="X98" i="59"/>
  <c r="X126" i="59"/>
  <c r="X110" i="59"/>
  <c r="X100" i="59"/>
  <c r="X116" i="59"/>
  <c r="X122" i="59"/>
  <c r="X104" i="59"/>
  <c r="AK76" i="59"/>
  <c r="AL76" i="59" s="1"/>
  <c r="AI83" i="59"/>
  <c r="AJ83" i="59" s="1"/>
  <c r="AK87" i="59"/>
  <c r="AL87" i="59" s="1"/>
  <c r="AI88" i="59"/>
  <c r="AJ88" i="59" s="1"/>
  <c r="AI92" i="59"/>
  <c r="AJ92" i="59" s="1"/>
  <c r="AG98" i="59"/>
  <c r="AG99" i="59"/>
  <c r="AK101" i="59"/>
  <c r="AL101" i="59" s="1"/>
  <c r="AG105" i="59"/>
  <c r="AG100" i="59"/>
  <c r="F110" i="59"/>
  <c r="N110" i="59"/>
  <c r="V110" i="59"/>
  <c r="I112" i="59"/>
  <c r="Q112" i="59"/>
  <c r="Y112" i="59"/>
  <c r="F126" i="59"/>
  <c r="N126" i="59"/>
  <c r="V126" i="59"/>
  <c r="I128" i="59"/>
  <c r="Q128" i="59"/>
  <c r="Y128" i="59"/>
  <c r="F114" i="59"/>
  <c r="N114" i="59"/>
  <c r="V114" i="59"/>
  <c r="I116" i="59"/>
  <c r="Q116" i="59"/>
  <c r="Y116" i="59"/>
  <c r="F108" i="59"/>
  <c r="N108" i="59"/>
  <c r="V108" i="59"/>
  <c r="I110" i="59"/>
  <c r="Q110" i="59"/>
  <c r="Y110" i="59"/>
  <c r="F124" i="59"/>
  <c r="N124" i="59"/>
  <c r="V124" i="59"/>
  <c r="I126" i="59"/>
  <c r="Q126" i="59"/>
  <c r="Y126" i="59"/>
  <c r="H128" i="58"/>
  <c r="H120" i="58"/>
  <c r="H98" i="58"/>
  <c r="H96" i="58"/>
  <c r="H90" i="58"/>
  <c r="H44" i="58"/>
  <c r="H36" i="58"/>
  <c r="H54" i="58"/>
  <c r="H124" i="58"/>
  <c r="H118" i="58"/>
  <c r="H112" i="58"/>
  <c r="H108" i="58"/>
  <c r="H74" i="58"/>
  <c r="H66" i="58"/>
  <c r="H58" i="58"/>
  <c r="H116" i="58"/>
  <c r="H94" i="58"/>
  <c r="H88" i="58"/>
  <c r="H80" i="58"/>
  <c r="H50" i="58"/>
  <c r="H42" i="58"/>
  <c r="H62" i="58"/>
  <c r="H106" i="58"/>
  <c r="H86" i="58"/>
  <c r="H64" i="58"/>
  <c r="H56" i="58"/>
  <c r="H122" i="58"/>
  <c r="H110" i="58"/>
  <c r="H92" i="58"/>
  <c r="H76" i="58"/>
  <c r="H48" i="58"/>
  <c r="H40" i="58"/>
  <c r="H82" i="58"/>
  <c r="H126" i="58"/>
  <c r="H102" i="58"/>
  <c r="H78" i="58"/>
  <c r="H68" i="58"/>
  <c r="H46" i="58"/>
  <c r="H38" i="58"/>
  <c r="H114" i="58"/>
  <c r="H104" i="58"/>
  <c r="H100" i="58"/>
  <c r="X96" i="58"/>
  <c r="X94" i="58"/>
  <c r="X44" i="58"/>
  <c r="X36" i="58"/>
  <c r="X28" i="58"/>
  <c r="X20" i="58"/>
  <c r="X18" i="58"/>
  <c r="X8" i="58"/>
  <c r="X106" i="58"/>
  <c r="X62" i="58"/>
  <c r="X120" i="58"/>
  <c r="X74" i="58"/>
  <c r="X66" i="58"/>
  <c r="X58" i="58"/>
  <c r="X110" i="58"/>
  <c r="X108" i="58"/>
  <c r="X92" i="58"/>
  <c r="X80" i="58"/>
  <c r="X50" i="58"/>
  <c r="X42" i="58"/>
  <c r="X34" i="58"/>
  <c r="X26" i="58"/>
  <c r="X16" i="58"/>
  <c r="X10" i="58"/>
  <c r="X118" i="58"/>
  <c r="X82" i="58"/>
  <c r="X126" i="58"/>
  <c r="X124" i="58"/>
  <c r="X112" i="58"/>
  <c r="X64" i="58"/>
  <c r="X56" i="58"/>
  <c r="X128" i="58"/>
  <c r="X122" i="58"/>
  <c r="X116" i="58"/>
  <c r="X90" i="58"/>
  <c r="X76" i="58"/>
  <c r="X48" i="58"/>
  <c r="X40" i="58"/>
  <c r="X24" i="58"/>
  <c r="X14" i="58"/>
  <c r="X86" i="58"/>
  <c r="X54" i="58"/>
  <c r="X102" i="58"/>
  <c r="X100" i="58"/>
  <c r="X78" i="58"/>
  <c r="X68" i="58"/>
  <c r="X46" i="58"/>
  <c r="X38" i="58"/>
  <c r="X32" i="58"/>
  <c r="X114" i="58"/>
  <c r="X104" i="58"/>
  <c r="X98" i="58"/>
  <c r="AM4" i="58"/>
  <c r="AN4" i="58" s="1"/>
  <c r="H52" i="58"/>
  <c r="X60" i="58"/>
  <c r="AK21" i="58"/>
  <c r="AL21" i="58" s="1"/>
  <c r="X30" i="58"/>
  <c r="X88" i="58"/>
  <c r="AM12" i="58"/>
  <c r="AN12" i="58" s="1"/>
  <c r="X12" i="58"/>
  <c r="AK16" i="58"/>
  <c r="AL16" i="58" s="1"/>
  <c r="H84" i="58"/>
  <c r="AM19" i="58"/>
  <c r="AN19" i="58" s="1"/>
  <c r="X52" i="58"/>
  <c r="H60" i="58"/>
  <c r="X6" i="58"/>
  <c r="AM14" i="58"/>
  <c r="AN14" i="58" s="1"/>
  <c r="F118" i="58"/>
  <c r="F114" i="58"/>
  <c r="F100" i="58"/>
  <c r="F78" i="58"/>
  <c r="F68" i="58"/>
  <c r="F46" i="58"/>
  <c r="F38" i="58"/>
  <c r="F128" i="58"/>
  <c r="F120" i="58"/>
  <c r="F104" i="58"/>
  <c r="F98" i="58"/>
  <c r="F96" i="58"/>
  <c r="F84" i="58"/>
  <c r="F60" i="58"/>
  <c r="F52" i="58"/>
  <c r="F64" i="58"/>
  <c r="F112" i="58"/>
  <c r="F108" i="58"/>
  <c r="F90" i="58"/>
  <c r="F44" i="58"/>
  <c r="F36" i="58"/>
  <c r="F110" i="58"/>
  <c r="F56" i="58"/>
  <c r="F116" i="58"/>
  <c r="F94" i="58"/>
  <c r="F74" i="58"/>
  <c r="F66" i="58"/>
  <c r="F58" i="58"/>
  <c r="F86" i="58"/>
  <c r="F106" i="58"/>
  <c r="F88" i="58"/>
  <c r="F80" i="58"/>
  <c r="F50" i="58"/>
  <c r="F42" i="58"/>
  <c r="F122" i="58"/>
  <c r="F92" i="58"/>
  <c r="F76" i="58"/>
  <c r="F48" i="58"/>
  <c r="F40" i="58"/>
  <c r="F102" i="58"/>
  <c r="V118" i="58"/>
  <c r="V114" i="58"/>
  <c r="V98" i="58"/>
  <c r="V78" i="58"/>
  <c r="V68" i="58"/>
  <c r="V46" i="58"/>
  <c r="V38" i="58"/>
  <c r="V32" i="58"/>
  <c r="V128" i="58"/>
  <c r="V104" i="58"/>
  <c r="V96" i="58"/>
  <c r="V94" i="58"/>
  <c r="V88" i="58"/>
  <c r="V84" i="58"/>
  <c r="V60" i="58"/>
  <c r="V52" i="58"/>
  <c r="V30" i="58"/>
  <c r="V120" i="58"/>
  <c r="V44" i="58"/>
  <c r="V36" i="58"/>
  <c r="V28" i="58"/>
  <c r="V20" i="58"/>
  <c r="V18" i="58"/>
  <c r="V8" i="58"/>
  <c r="V108" i="58"/>
  <c r="V74" i="58"/>
  <c r="V66" i="58"/>
  <c r="V58" i="58"/>
  <c r="V116" i="58"/>
  <c r="V56" i="58"/>
  <c r="V112" i="58"/>
  <c r="V92" i="58"/>
  <c r="V80" i="58"/>
  <c r="V50" i="58"/>
  <c r="V42" i="58"/>
  <c r="V34" i="58"/>
  <c r="V26" i="58"/>
  <c r="V16" i="58"/>
  <c r="V10" i="58"/>
  <c r="V64" i="58"/>
  <c r="V122" i="58"/>
  <c r="V110" i="58"/>
  <c r="V106" i="58"/>
  <c r="V90" i="58"/>
  <c r="V86" i="58"/>
  <c r="V76" i="58"/>
  <c r="V48" i="58"/>
  <c r="V40" i="58"/>
  <c r="V24" i="58"/>
  <c r="V14" i="58"/>
  <c r="V102" i="58"/>
  <c r="V100" i="58"/>
  <c r="AK25" i="58"/>
  <c r="AL25" i="58" s="1"/>
  <c r="AM7" i="58"/>
  <c r="AN7" i="58" s="1"/>
  <c r="AI15" i="58"/>
  <c r="AJ15" i="58" s="1"/>
  <c r="AI5" i="58"/>
  <c r="AJ5" i="58" s="1"/>
  <c r="G104" i="58"/>
  <c r="G84" i="58"/>
  <c r="G60" i="58"/>
  <c r="G52" i="58"/>
  <c r="G92" i="58"/>
  <c r="G48" i="58"/>
  <c r="G90" i="58"/>
  <c r="G44" i="58"/>
  <c r="G36" i="58"/>
  <c r="G122" i="58"/>
  <c r="G74" i="58"/>
  <c r="G66" i="58"/>
  <c r="G58" i="58"/>
  <c r="G76" i="58"/>
  <c r="G88" i="58"/>
  <c r="G80" i="58"/>
  <c r="G50" i="58"/>
  <c r="G42" i="58"/>
  <c r="G86" i="58"/>
  <c r="G64" i="58"/>
  <c r="G56" i="58"/>
  <c r="G82" i="58"/>
  <c r="G62" i="58"/>
  <c r="G54" i="58"/>
  <c r="AG31" i="58"/>
  <c r="AB34" i="58"/>
  <c r="P38" i="58"/>
  <c r="N40" i="58"/>
  <c r="D42" i="58"/>
  <c r="L42" i="58"/>
  <c r="T42" i="58"/>
  <c r="AB42" i="58"/>
  <c r="P46" i="58"/>
  <c r="N48" i="58"/>
  <c r="D50" i="58"/>
  <c r="L50" i="58"/>
  <c r="T50" i="58"/>
  <c r="AB50" i="58"/>
  <c r="P68" i="58"/>
  <c r="N76" i="58"/>
  <c r="P78" i="58"/>
  <c r="D80" i="58"/>
  <c r="L80" i="58"/>
  <c r="T80" i="58"/>
  <c r="AB80" i="58"/>
  <c r="N94" i="58"/>
  <c r="L98" i="58"/>
  <c r="N108" i="58"/>
  <c r="P112" i="58"/>
  <c r="I114" i="58"/>
  <c r="L120" i="58"/>
  <c r="P124" i="58"/>
  <c r="P128" i="58"/>
  <c r="AK4" i="58"/>
  <c r="AL4" i="58" s="1"/>
  <c r="AM5" i="58"/>
  <c r="AN5" i="58" s="1"/>
  <c r="D36" i="58"/>
  <c r="L36" i="58"/>
  <c r="T36" i="58"/>
  <c r="AB36" i="58"/>
  <c r="P40" i="58"/>
  <c r="N42" i="58"/>
  <c r="D44" i="58"/>
  <c r="L44" i="58"/>
  <c r="T44" i="58"/>
  <c r="AB44" i="58"/>
  <c r="P48" i="58"/>
  <c r="N50" i="58"/>
  <c r="P76" i="58"/>
  <c r="N80" i="58"/>
  <c r="P86" i="58"/>
  <c r="N90" i="58"/>
  <c r="D94" i="58"/>
  <c r="P96" i="58"/>
  <c r="P98" i="58"/>
  <c r="AB98" i="58"/>
  <c r="N100" i="58"/>
  <c r="L102" i="58"/>
  <c r="AB102" i="58"/>
  <c r="N114" i="58"/>
  <c r="Y118" i="58"/>
  <c r="P120" i="58"/>
  <c r="AI8" i="58"/>
  <c r="AJ8" i="58" s="1"/>
  <c r="AM18" i="58"/>
  <c r="AN18" i="58" s="1"/>
  <c r="AB30" i="58"/>
  <c r="D52" i="58"/>
  <c r="L52" i="58"/>
  <c r="T52" i="58"/>
  <c r="AB52" i="58"/>
  <c r="P56" i="58"/>
  <c r="N58" i="58"/>
  <c r="D60" i="58"/>
  <c r="L60" i="58"/>
  <c r="T60" i="58"/>
  <c r="AB60" i="58"/>
  <c r="P64" i="58"/>
  <c r="N66" i="58"/>
  <c r="N74" i="58"/>
  <c r="D84" i="58"/>
  <c r="L84" i="58"/>
  <c r="T84" i="58"/>
  <c r="AB84" i="58"/>
  <c r="P100" i="58"/>
  <c r="N102" i="58"/>
  <c r="P104" i="58"/>
  <c r="P114" i="58"/>
  <c r="T120" i="58"/>
  <c r="AB32" i="58"/>
  <c r="N36" i="58"/>
  <c r="D38" i="58"/>
  <c r="L38" i="58"/>
  <c r="T38" i="58"/>
  <c r="AB38" i="58"/>
  <c r="P42" i="58"/>
  <c r="N44" i="58"/>
  <c r="D46" i="58"/>
  <c r="L46" i="58"/>
  <c r="T46" i="58"/>
  <c r="AB46" i="58"/>
  <c r="P50" i="58"/>
  <c r="D68" i="58"/>
  <c r="L68" i="58"/>
  <c r="T68" i="58"/>
  <c r="AB68" i="58"/>
  <c r="D78" i="58"/>
  <c r="L78" i="58"/>
  <c r="T78" i="58"/>
  <c r="AB78" i="58"/>
  <c r="P80" i="58"/>
  <c r="AI81" i="58"/>
  <c r="AJ81" i="58" s="1"/>
  <c r="P90" i="58"/>
  <c r="T94" i="58"/>
  <c r="D98" i="58"/>
  <c r="P102" i="58"/>
  <c r="N110" i="58"/>
  <c r="D120" i="58"/>
  <c r="N122" i="58"/>
  <c r="Y124" i="58"/>
  <c r="AI7" i="58"/>
  <c r="AJ7" i="58" s="1"/>
  <c r="N52" i="58"/>
  <c r="D54" i="58"/>
  <c r="L54" i="58"/>
  <c r="T54" i="58"/>
  <c r="AB54" i="58"/>
  <c r="P58" i="58"/>
  <c r="N60" i="58"/>
  <c r="D62" i="58"/>
  <c r="L62" i="58"/>
  <c r="T62" i="58"/>
  <c r="AB62" i="58"/>
  <c r="P66" i="58"/>
  <c r="P74" i="58"/>
  <c r="D82" i="58"/>
  <c r="L82" i="58"/>
  <c r="T82" i="58"/>
  <c r="AB82" i="58"/>
  <c r="N84" i="58"/>
  <c r="AB86" i="58"/>
  <c r="N92" i="58"/>
  <c r="T98" i="58"/>
  <c r="N106" i="58"/>
  <c r="P110" i="58"/>
  <c r="I116" i="58"/>
  <c r="N120" i="58"/>
  <c r="AM6" i="58"/>
  <c r="AN6" i="58" s="1"/>
  <c r="P36" i="58"/>
  <c r="N38" i="58"/>
  <c r="D40" i="58"/>
  <c r="L40" i="58"/>
  <c r="T40" i="58"/>
  <c r="AB40" i="58"/>
  <c r="P44" i="58"/>
  <c r="N46" i="58"/>
  <c r="D48" i="58"/>
  <c r="L48" i="58"/>
  <c r="T48" i="58"/>
  <c r="AB48" i="58"/>
  <c r="N68" i="58"/>
  <c r="D76" i="58"/>
  <c r="T76" i="58"/>
  <c r="AB76" i="58"/>
  <c r="N78" i="58"/>
  <c r="T86" i="58"/>
  <c r="P106" i="58"/>
  <c r="N116" i="58"/>
  <c r="AK9" i="58"/>
  <c r="AL9" i="58" s="1"/>
  <c r="AI11" i="58"/>
  <c r="AJ11" i="58" s="1"/>
  <c r="AK12" i="58"/>
  <c r="AL12" i="58" s="1"/>
  <c r="AI16" i="58"/>
  <c r="AJ16" i="58" s="1"/>
  <c r="AM17" i="58"/>
  <c r="AN17" i="58" s="1"/>
  <c r="AI21" i="58"/>
  <c r="AJ21" i="58" s="1"/>
  <c r="AM24" i="58"/>
  <c r="AN24" i="58" s="1"/>
  <c r="AI28" i="58"/>
  <c r="AJ28" i="58" s="1"/>
  <c r="AV29" i="58"/>
  <c r="AM86" i="58"/>
  <c r="AN86" i="58" s="1"/>
  <c r="AK86" i="58"/>
  <c r="AL86" i="58" s="1"/>
  <c r="AI86" i="58"/>
  <c r="AJ86" i="58" s="1"/>
  <c r="AM89" i="58"/>
  <c r="AN89" i="58" s="1"/>
  <c r="AG106" i="58"/>
  <c r="AG104" i="58" s="1"/>
  <c r="AM74" i="58"/>
  <c r="AN74" i="58" s="1"/>
  <c r="AM8" i="58"/>
  <c r="AN8" i="58" s="1"/>
  <c r="AM9" i="58"/>
  <c r="AN9" i="58" s="1"/>
  <c r="AM10" i="58"/>
  <c r="AN10" i="58" s="1"/>
  <c r="AK10" i="58"/>
  <c r="AL10" i="58" s="1"/>
  <c r="AM13" i="58"/>
  <c r="AN13" i="58" s="1"/>
  <c r="AM15" i="58"/>
  <c r="AN15" i="58" s="1"/>
  <c r="AV20" i="58"/>
  <c r="AG24" i="58"/>
  <c r="AM28" i="58"/>
  <c r="AN28" i="58" s="1"/>
  <c r="AM76" i="58"/>
  <c r="AN76" i="58" s="1"/>
  <c r="AI83" i="58"/>
  <c r="AJ83" i="58" s="1"/>
  <c r="AG101" i="58"/>
  <c r="AV24" i="58"/>
  <c r="AM16" i="58"/>
  <c r="AN16" i="58" s="1"/>
  <c r="AG19" i="58"/>
  <c r="AG22" i="58"/>
  <c r="AG23" i="58"/>
  <c r="AM27" i="58"/>
  <c r="AN27" i="58" s="1"/>
  <c r="AK27" i="58"/>
  <c r="AL27" i="58" s="1"/>
  <c r="AI27" i="58"/>
  <c r="AJ27" i="58" s="1"/>
  <c r="AG27" i="58"/>
  <c r="AG36" i="58"/>
  <c r="AG35" i="58" s="1"/>
  <c r="AM93" i="58"/>
  <c r="AN93" i="58" s="1"/>
  <c r="AI6" i="58"/>
  <c r="AJ6" i="58" s="1"/>
  <c r="AI10" i="58"/>
  <c r="AJ10" i="58" s="1"/>
  <c r="AM11" i="58"/>
  <c r="AN11" i="58" s="1"/>
  <c r="AI13" i="58"/>
  <c r="AJ13" i="58" s="1"/>
  <c r="AK14" i="58"/>
  <c r="AL14" i="58" s="1"/>
  <c r="AI14" i="58"/>
  <c r="AJ14" i="58" s="1"/>
  <c r="AK15" i="58"/>
  <c r="AL15" i="58" s="1"/>
  <c r="AM20" i="58"/>
  <c r="AN20" i="58" s="1"/>
  <c r="AK20" i="58"/>
  <c r="AL20" i="58" s="1"/>
  <c r="AM21" i="58"/>
  <c r="AN21" i="58" s="1"/>
  <c r="AG25" i="58"/>
  <c r="AM30" i="58"/>
  <c r="AN30" i="58" s="1"/>
  <c r="AK79" i="58"/>
  <c r="AL79" i="58" s="1"/>
  <c r="AK7" i="58"/>
  <c r="AL7" i="58" s="1"/>
  <c r="AK13" i="58"/>
  <c r="AL13" i="58" s="1"/>
  <c r="AK17" i="58"/>
  <c r="AL17" i="58" s="1"/>
  <c r="AI17" i="58"/>
  <c r="AJ17" i="58" s="1"/>
  <c r="AI19" i="58"/>
  <c r="AJ19" i="58" s="1"/>
  <c r="AG20" i="58"/>
  <c r="AV23" i="58"/>
  <c r="AI101" i="58"/>
  <c r="AJ101" i="58" s="1"/>
  <c r="AK77" i="58"/>
  <c r="AL77" i="58" s="1"/>
  <c r="AK82" i="58"/>
  <c r="AL82" i="58" s="1"/>
  <c r="AK84" i="58"/>
  <c r="AL84" i="58" s="1"/>
  <c r="AK88" i="58"/>
  <c r="AL88" i="58" s="1"/>
  <c r="AV31" i="58"/>
  <c r="AK31" i="58"/>
  <c r="AL31" i="58" s="1"/>
  <c r="AG30" i="58"/>
  <c r="AI26" i="58"/>
  <c r="AJ26" i="58" s="1"/>
  <c r="AV22" i="58"/>
  <c r="AK22" i="58"/>
  <c r="AL22" i="58" s="1"/>
  <c r="AG29" i="58"/>
  <c r="AV28" i="58"/>
  <c r="AK28" i="58"/>
  <c r="AL28" i="58" s="1"/>
  <c r="AI25" i="58"/>
  <c r="AJ25" i="58" s="1"/>
  <c r="AI31" i="58"/>
  <c r="AJ31" i="58" s="1"/>
  <c r="AV27" i="58"/>
  <c r="AG26" i="58"/>
  <c r="AI22" i="58"/>
  <c r="AJ22" i="58" s="1"/>
  <c r="AI12" i="58"/>
  <c r="AJ12" i="58" s="1"/>
  <c r="AM26" i="58"/>
  <c r="AN26" i="58" s="1"/>
  <c r="AG28" i="58"/>
  <c r="AM25" i="58"/>
  <c r="AN25" i="58" s="1"/>
  <c r="AG21" i="58"/>
  <c r="AK26" i="58"/>
  <c r="AL26" i="58" s="1"/>
  <c r="AK5" i="58"/>
  <c r="AL5" i="58" s="1"/>
  <c r="AK6" i="58"/>
  <c r="AL6" i="58" s="1"/>
  <c r="AI9" i="58"/>
  <c r="AJ9" i="58" s="1"/>
  <c r="AI18" i="58"/>
  <c r="AJ18" i="58" s="1"/>
  <c r="AV26" i="58"/>
  <c r="AM29" i="58"/>
  <c r="AN29" i="58" s="1"/>
  <c r="AV30" i="58"/>
  <c r="AM75" i="58"/>
  <c r="AN75" i="58" s="1"/>
  <c r="AM80" i="58"/>
  <c r="AN80" i="58" s="1"/>
  <c r="AK91" i="58"/>
  <c r="AL91" i="58" s="1"/>
  <c r="AK8" i="58"/>
  <c r="AL8" i="58" s="1"/>
  <c r="AK18" i="58"/>
  <c r="AL18" i="58" s="1"/>
  <c r="AV19" i="58"/>
  <c r="AI20" i="58"/>
  <c r="AJ20" i="58" s="1"/>
  <c r="AV21" i="58"/>
  <c r="AI29" i="58"/>
  <c r="AJ29" i="58" s="1"/>
  <c r="AI75" i="58"/>
  <c r="AJ75" i="58" s="1"/>
  <c r="AI80" i="58"/>
  <c r="AJ80" i="58" s="1"/>
  <c r="AM85" i="58"/>
  <c r="AN85" i="58" s="1"/>
  <c r="AK85" i="58"/>
  <c r="AL85" i="58" s="1"/>
  <c r="AI85" i="58"/>
  <c r="AJ85" i="58" s="1"/>
  <c r="AK19" i="58"/>
  <c r="AL19" i="58" s="1"/>
  <c r="AM22" i="58"/>
  <c r="AN22" i="58" s="1"/>
  <c r="AI23" i="58"/>
  <c r="AJ23" i="58" s="1"/>
  <c r="AI30" i="58"/>
  <c r="AJ30" i="58" s="1"/>
  <c r="AM31" i="58"/>
  <c r="AN31" i="58" s="1"/>
  <c r="AI78" i="58"/>
  <c r="AJ78" i="58" s="1"/>
  <c r="AM81" i="58"/>
  <c r="AN81" i="58" s="1"/>
  <c r="M88" i="58"/>
  <c r="AK89" i="58"/>
  <c r="AL89" i="58" s="1"/>
  <c r="AI90" i="58"/>
  <c r="AJ90" i="58" s="1"/>
  <c r="AG94" i="58"/>
  <c r="AG99" i="58"/>
  <c r="AM99" i="58"/>
  <c r="AN99" i="58" s="1"/>
  <c r="AK99" i="58"/>
  <c r="AL99" i="58" s="1"/>
  <c r="AI99" i="58"/>
  <c r="AJ99" i="58" s="1"/>
  <c r="M100" i="58"/>
  <c r="E104" i="58"/>
  <c r="G128" i="58"/>
  <c r="G112" i="58"/>
  <c r="G106" i="58"/>
  <c r="G118" i="58"/>
  <c r="G124" i="58"/>
  <c r="G108" i="58"/>
  <c r="G94" i="58"/>
  <c r="G114" i="58"/>
  <c r="G96" i="58"/>
  <c r="G120" i="58"/>
  <c r="G98" i="58"/>
  <c r="G126" i="58"/>
  <c r="G110" i="58"/>
  <c r="G100" i="58"/>
  <c r="G116" i="58"/>
  <c r="G102" i="58"/>
  <c r="W128" i="58"/>
  <c r="W112" i="58"/>
  <c r="W106" i="58"/>
  <c r="W118" i="58"/>
  <c r="W124" i="58"/>
  <c r="W108" i="58"/>
  <c r="W94" i="58"/>
  <c r="W114" i="58"/>
  <c r="W96" i="58"/>
  <c r="W120" i="58"/>
  <c r="W98" i="58"/>
  <c r="W126" i="58"/>
  <c r="W110" i="58"/>
  <c r="W100" i="58"/>
  <c r="W116" i="58"/>
  <c r="W102" i="58"/>
  <c r="W86" i="58"/>
  <c r="AI24" i="58"/>
  <c r="AJ24" i="58" s="1"/>
  <c r="AK29" i="58"/>
  <c r="AL29" i="58" s="1"/>
  <c r="AM92" i="58"/>
  <c r="AN92" i="58" s="1"/>
  <c r="AK101" i="58"/>
  <c r="AL101" i="58" s="1"/>
  <c r="AG98" i="58"/>
  <c r="AM94" i="58"/>
  <c r="AN94" i="58" s="1"/>
  <c r="AK75" i="58"/>
  <c r="AL75" i="58" s="1"/>
  <c r="AI76" i="58"/>
  <c r="AJ76" i="58" s="1"/>
  <c r="AM79" i="58"/>
  <c r="AN79" i="58" s="1"/>
  <c r="AK80" i="58"/>
  <c r="AL80" i="58" s="1"/>
  <c r="AM84" i="58"/>
  <c r="AN84" i="58" s="1"/>
  <c r="AM87" i="58"/>
  <c r="AN87" i="58" s="1"/>
  <c r="AK90" i="58"/>
  <c r="AL90" i="58" s="1"/>
  <c r="AI94" i="58"/>
  <c r="AJ94" i="58" s="1"/>
  <c r="AK97" i="58"/>
  <c r="AL97" i="58" s="1"/>
  <c r="J114" i="58"/>
  <c r="J96" i="58"/>
  <c r="J120" i="58"/>
  <c r="J126" i="58"/>
  <c r="J110" i="58"/>
  <c r="J100" i="58"/>
  <c r="J116" i="58"/>
  <c r="J102" i="58"/>
  <c r="J122" i="58"/>
  <c r="J104" i="58"/>
  <c r="J128" i="58"/>
  <c r="J112" i="58"/>
  <c r="J106" i="58"/>
  <c r="J118" i="58"/>
  <c r="J92" i="58"/>
  <c r="R114" i="58"/>
  <c r="R96" i="58"/>
  <c r="R120" i="58"/>
  <c r="R126" i="58"/>
  <c r="R110" i="58"/>
  <c r="R100" i="58"/>
  <c r="R116" i="58"/>
  <c r="R102" i="58"/>
  <c r="R122" i="58"/>
  <c r="R104" i="58"/>
  <c r="R128" i="58"/>
  <c r="R112" i="58"/>
  <c r="R106" i="58"/>
  <c r="R118" i="58"/>
  <c r="R92" i="58"/>
  <c r="Z114" i="58"/>
  <c r="Z96" i="58"/>
  <c r="Z120" i="58"/>
  <c r="Z126" i="58"/>
  <c r="Z110" i="58"/>
  <c r="Z100" i="58"/>
  <c r="Z116" i="58"/>
  <c r="Z102" i="58"/>
  <c r="Z122" i="58"/>
  <c r="Z104" i="58"/>
  <c r="Z128" i="58"/>
  <c r="Z112" i="58"/>
  <c r="Z106" i="58"/>
  <c r="Z118" i="58"/>
  <c r="Z92" i="58"/>
  <c r="AK23" i="58"/>
  <c r="AL23" i="58" s="1"/>
  <c r="AK30" i="58"/>
  <c r="AL30" i="58" s="1"/>
  <c r="AI74" i="58"/>
  <c r="AJ74" i="58" s="1"/>
  <c r="AM77" i="58"/>
  <c r="AN77" i="58" s="1"/>
  <c r="AK78" i="58"/>
  <c r="AL78" i="58" s="1"/>
  <c r="AM82" i="58"/>
  <c r="AN82" i="58" s="1"/>
  <c r="AK94" i="58"/>
  <c r="AL94" i="58" s="1"/>
  <c r="AG97" i="58"/>
  <c r="AM100" i="58"/>
  <c r="AN100" i="58" s="1"/>
  <c r="AK100" i="58"/>
  <c r="AL100" i="58" s="1"/>
  <c r="AI100" i="58"/>
  <c r="AJ100" i="58" s="1"/>
  <c r="AG100" i="58"/>
  <c r="M110" i="58"/>
  <c r="K120" i="58"/>
  <c r="K98" i="58"/>
  <c r="K126" i="58"/>
  <c r="K110" i="58"/>
  <c r="K116" i="58"/>
  <c r="K102" i="58"/>
  <c r="K122" i="58"/>
  <c r="K104" i="58"/>
  <c r="K88" i="58"/>
  <c r="K128" i="58"/>
  <c r="K112" i="58"/>
  <c r="K106" i="58"/>
  <c r="K118" i="58"/>
  <c r="K124" i="58"/>
  <c r="K108" i="58"/>
  <c r="K94" i="58"/>
  <c r="S120" i="58"/>
  <c r="S98" i="58"/>
  <c r="S126" i="58"/>
  <c r="S110" i="58"/>
  <c r="S116" i="58"/>
  <c r="S102" i="58"/>
  <c r="S122" i="58"/>
  <c r="S104" i="58"/>
  <c r="S88" i="58"/>
  <c r="S128" i="58"/>
  <c r="S112" i="58"/>
  <c r="S106" i="58"/>
  <c r="S118" i="58"/>
  <c r="S124" i="58"/>
  <c r="S108" i="58"/>
  <c r="S94" i="58"/>
  <c r="AA120" i="58"/>
  <c r="AA98" i="58"/>
  <c r="AA126" i="58"/>
  <c r="AA110" i="58"/>
  <c r="AA116" i="58"/>
  <c r="AA102" i="58"/>
  <c r="AA122" i="58"/>
  <c r="AA104" i="58"/>
  <c r="AA88" i="58"/>
  <c r="AA128" i="58"/>
  <c r="AA112" i="58"/>
  <c r="AA106" i="58"/>
  <c r="AA118" i="58"/>
  <c r="AA124" i="58"/>
  <c r="AA108" i="58"/>
  <c r="AA94" i="58"/>
  <c r="AK24" i="58"/>
  <c r="AL24" i="58" s="1"/>
  <c r="AK76" i="58"/>
  <c r="AL76" i="58" s="1"/>
  <c r="AK87" i="58"/>
  <c r="AL87" i="58" s="1"/>
  <c r="Z88" i="58"/>
  <c r="Z90" i="58"/>
  <c r="AI93" i="58"/>
  <c r="AJ93" i="58" s="1"/>
  <c r="AM97" i="58"/>
  <c r="AN97" i="58" s="1"/>
  <c r="D126" i="58"/>
  <c r="D110" i="58"/>
  <c r="D100" i="58"/>
  <c r="D116" i="58"/>
  <c r="D122" i="58"/>
  <c r="D104" i="58"/>
  <c r="D88" i="58"/>
  <c r="D128" i="58"/>
  <c r="D112" i="58"/>
  <c r="D106" i="58"/>
  <c r="D90" i="58"/>
  <c r="D118" i="58"/>
  <c r="D92" i="58"/>
  <c r="D124" i="58"/>
  <c r="D108" i="58"/>
  <c r="D114" i="58"/>
  <c r="D96" i="58"/>
  <c r="L126" i="58"/>
  <c r="L110" i="58"/>
  <c r="L100" i="58"/>
  <c r="L116" i="58"/>
  <c r="L122" i="58"/>
  <c r="L104" i="58"/>
  <c r="L88" i="58"/>
  <c r="L128" i="58"/>
  <c r="L112" i="58"/>
  <c r="L106" i="58"/>
  <c r="L90" i="58"/>
  <c r="L118" i="58"/>
  <c r="L92" i="58"/>
  <c r="L124" i="58"/>
  <c r="L108" i="58"/>
  <c r="L114" i="58"/>
  <c r="L96" i="58"/>
  <c r="T126" i="58"/>
  <c r="T110" i="58"/>
  <c r="T100" i="58"/>
  <c r="T116" i="58"/>
  <c r="T122" i="58"/>
  <c r="T104" i="58"/>
  <c r="T88" i="58"/>
  <c r="T128" i="58"/>
  <c r="T112" i="58"/>
  <c r="T106" i="58"/>
  <c r="T90" i="58"/>
  <c r="T118" i="58"/>
  <c r="T92" i="58"/>
  <c r="T124" i="58"/>
  <c r="T108" i="58"/>
  <c r="T114" i="58"/>
  <c r="T96" i="58"/>
  <c r="AB126" i="58"/>
  <c r="AB110" i="58"/>
  <c r="AB100" i="58"/>
  <c r="AB116" i="58"/>
  <c r="AB122" i="58"/>
  <c r="AB104" i="58"/>
  <c r="AB88" i="58"/>
  <c r="AB128" i="58"/>
  <c r="AB112" i="58"/>
  <c r="AB106" i="58"/>
  <c r="AB90" i="58"/>
  <c r="AB118" i="58"/>
  <c r="AB92" i="58"/>
  <c r="AB124" i="58"/>
  <c r="AB108" i="58"/>
  <c r="AB114" i="58"/>
  <c r="AB96" i="58"/>
  <c r="AM23" i="58"/>
  <c r="AN23" i="58" s="1"/>
  <c r="AK74" i="58"/>
  <c r="AL74" i="58" s="1"/>
  <c r="AM78" i="58"/>
  <c r="AN78" i="58" s="1"/>
  <c r="AM88" i="58"/>
  <c r="AN88" i="58" s="1"/>
  <c r="AI88" i="58"/>
  <c r="AJ88" i="58" s="1"/>
  <c r="AK96" i="58"/>
  <c r="AL96" i="58" s="1"/>
  <c r="AI98" i="58"/>
  <c r="AJ98" i="58" s="1"/>
  <c r="O128" i="58"/>
  <c r="O112" i="58"/>
  <c r="O106" i="58"/>
  <c r="O118" i="58"/>
  <c r="O124" i="58"/>
  <c r="O108" i="58"/>
  <c r="O94" i="58"/>
  <c r="O114" i="58"/>
  <c r="O96" i="58"/>
  <c r="O120" i="58"/>
  <c r="O98" i="58"/>
  <c r="O126" i="58"/>
  <c r="O110" i="58"/>
  <c r="O100" i="58"/>
  <c r="O116" i="58"/>
  <c r="O102" i="58"/>
  <c r="O86" i="58"/>
  <c r="E116" i="58"/>
  <c r="E102" i="58"/>
  <c r="E122" i="58"/>
  <c r="E128" i="58"/>
  <c r="E112" i="58"/>
  <c r="E106" i="58"/>
  <c r="E90" i="58"/>
  <c r="E118" i="58"/>
  <c r="E92" i="58"/>
  <c r="E124" i="58"/>
  <c r="E108" i="58"/>
  <c r="E94" i="58"/>
  <c r="E114" i="58"/>
  <c r="E96" i="58"/>
  <c r="E120" i="58"/>
  <c r="E98" i="58"/>
  <c r="M116" i="58"/>
  <c r="M102" i="58"/>
  <c r="M122" i="58"/>
  <c r="M104" i="58"/>
  <c r="M128" i="58"/>
  <c r="M112" i="58"/>
  <c r="M106" i="58"/>
  <c r="M90" i="58"/>
  <c r="M118" i="58"/>
  <c r="M92" i="58"/>
  <c r="M124" i="58"/>
  <c r="M108" i="58"/>
  <c r="M94" i="58"/>
  <c r="M114" i="58"/>
  <c r="M96" i="58"/>
  <c r="M120" i="58"/>
  <c r="M98" i="58"/>
  <c r="U116" i="58"/>
  <c r="U102" i="58"/>
  <c r="U122" i="58"/>
  <c r="U104" i="58"/>
  <c r="U128" i="58"/>
  <c r="U112" i="58"/>
  <c r="U106" i="58"/>
  <c r="U90" i="58"/>
  <c r="U118" i="58"/>
  <c r="U92" i="58"/>
  <c r="U124" i="58"/>
  <c r="U108" i="58"/>
  <c r="U94" i="58"/>
  <c r="U114" i="58"/>
  <c r="U96" i="58"/>
  <c r="U120" i="58"/>
  <c r="U98" i="58"/>
  <c r="AI79" i="58"/>
  <c r="AJ79" i="58" s="1"/>
  <c r="AK83" i="58"/>
  <c r="AL83" i="58" s="1"/>
  <c r="AI84" i="58"/>
  <c r="AJ84" i="58" s="1"/>
  <c r="AM90" i="58"/>
  <c r="AN90" i="58" s="1"/>
  <c r="AI92" i="58"/>
  <c r="AJ92" i="58" s="1"/>
  <c r="AK93" i="58"/>
  <c r="AL93" i="58" s="1"/>
  <c r="AM95" i="58"/>
  <c r="AN95" i="58" s="1"/>
  <c r="AK95" i="58"/>
  <c r="AL95" i="58" s="1"/>
  <c r="AI95" i="58"/>
  <c r="AJ95" i="58" s="1"/>
  <c r="AG95" i="58"/>
  <c r="AK98" i="58"/>
  <c r="AL98" i="58" s="1"/>
  <c r="AI77" i="58"/>
  <c r="AJ77" i="58" s="1"/>
  <c r="AK81" i="58"/>
  <c r="AL81" i="58" s="1"/>
  <c r="AI82" i="58"/>
  <c r="AJ82" i="58" s="1"/>
  <c r="AI87" i="58"/>
  <c r="AJ87" i="58" s="1"/>
  <c r="AI89" i="58"/>
  <c r="AJ89" i="58" s="1"/>
  <c r="AI91" i="58"/>
  <c r="AJ91" i="58" s="1"/>
  <c r="AM91" i="58"/>
  <c r="AN91" i="58" s="1"/>
  <c r="AM98" i="58"/>
  <c r="AN98" i="58" s="1"/>
  <c r="AM101" i="58"/>
  <c r="AN101" i="58" s="1"/>
  <c r="AK92" i="58"/>
  <c r="AL92" i="58" s="1"/>
  <c r="AM96" i="58"/>
  <c r="AN96" i="58" s="1"/>
  <c r="F126" i="58"/>
  <c r="N126" i="58"/>
  <c r="V126" i="58"/>
  <c r="I128" i="58"/>
  <c r="Q128" i="58"/>
  <c r="Y128" i="58"/>
  <c r="AI97" i="58"/>
  <c r="AJ97" i="58" s="1"/>
  <c r="AG96" i="58"/>
  <c r="F124" i="58"/>
  <c r="N124" i="58"/>
  <c r="V124" i="58"/>
  <c r="Q126" i="58"/>
  <c r="Y126" i="58"/>
  <c r="AI96" i="58"/>
  <c r="AJ96" i="58" s="1"/>
  <c r="S122" i="57"/>
  <c r="S112" i="57"/>
  <c r="S104" i="57"/>
  <c r="S96" i="57"/>
  <c r="S90" i="57"/>
  <c r="S82" i="57"/>
  <c r="S76" i="57"/>
  <c r="S62" i="57"/>
  <c r="S50" i="57"/>
  <c r="S108" i="57"/>
  <c r="S84" i="57"/>
  <c r="S66" i="57"/>
  <c r="S58" i="57"/>
  <c r="S54" i="57"/>
  <c r="S116" i="57"/>
  <c r="S92" i="57"/>
  <c r="S44" i="57"/>
  <c r="S42" i="57"/>
  <c r="S128" i="57"/>
  <c r="S98" i="57"/>
  <c r="S86" i="57"/>
  <c r="S78" i="57"/>
  <c r="S46" i="57"/>
  <c r="S114" i="57"/>
  <c r="S110" i="57"/>
  <c r="S88" i="57"/>
  <c r="S100" i="57"/>
  <c r="S120" i="57"/>
  <c r="S102" i="57"/>
  <c r="S52" i="57"/>
  <c r="S48" i="57"/>
  <c r="S74" i="57"/>
  <c r="S56" i="57"/>
  <c r="S106" i="57"/>
  <c r="S94" i="57"/>
  <c r="S40" i="57"/>
  <c r="S36" i="57"/>
  <c r="S68" i="57"/>
  <c r="S60" i="57"/>
  <c r="S80" i="57"/>
  <c r="S118" i="57"/>
  <c r="S124" i="57"/>
  <c r="S64" i="57"/>
  <c r="S38" i="57"/>
  <c r="S126" i="57"/>
  <c r="V128" i="57"/>
  <c r="V98" i="57"/>
  <c r="V86" i="57"/>
  <c r="V78" i="57"/>
  <c r="V46" i="57"/>
  <c r="V124" i="57"/>
  <c r="V120" i="57"/>
  <c r="V110" i="57"/>
  <c r="V106" i="57"/>
  <c r="V100" i="57"/>
  <c r="V64" i="57"/>
  <c r="V48" i="57"/>
  <c r="V40" i="57"/>
  <c r="V114" i="57"/>
  <c r="V94" i="57"/>
  <c r="V60" i="57"/>
  <c r="V52" i="57"/>
  <c r="V38" i="57"/>
  <c r="V102" i="57"/>
  <c r="V88" i="57"/>
  <c r="V80" i="57"/>
  <c r="V68" i="57"/>
  <c r="V56" i="57"/>
  <c r="V122" i="57"/>
  <c r="V76" i="57"/>
  <c r="V74" i="57"/>
  <c r="V62" i="57"/>
  <c r="V54" i="57"/>
  <c r="V34" i="57"/>
  <c r="V6" i="57"/>
  <c r="V14" i="57"/>
  <c r="V92" i="57"/>
  <c r="V112" i="57"/>
  <c r="V10" i="57"/>
  <c r="V44" i="57"/>
  <c r="V32" i="57"/>
  <c r="V24" i="57"/>
  <c r="V90" i="57"/>
  <c r="V36" i="57"/>
  <c r="V126" i="57"/>
  <c r="V116" i="57"/>
  <c r="V96" i="57"/>
  <c r="V50" i="57"/>
  <c r="V42" i="57"/>
  <c r="V30" i="57"/>
  <c r="V12" i="57"/>
  <c r="V108" i="57"/>
  <c r="V84" i="57"/>
  <c r="V20" i="57"/>
  <c r="V18" i="57"/>
  <c r="V16" i="57"/>
  <c r="V118" i="57"/>
  <c r="V82" i="57"/>
  <c r="V66" i="57"/>
  <c r="V58" i="57"/>
  <c r="V26" i="57"/>
  <c r="V8" i="57"/>
  <c r="V104" i="57"/>
  <c r="V22" i="57"/>
  <c r="V28" i="57"/>
  <c r="AG26" i="57"/>
  <c r="AM11" i="57"/>
  <c r="AN11" i="57" s="1"/>
  <c r="F52" i="57"/>
  <c r="T56" i="57"/>
  <c r="N78" i="57"/>
  <c r="K90" i="57"/>
  <c r="N116" i="57"/>
  <c r="AK19" i="57"/>
  <c r="AL19" i="57" s="1"/>
  <c r="F118" i="57"/>
  <c r="F48" i="57"/>
  <c r="F112" i="57"/>
  <c r="F96" i="57"/>
  <c r="F90" i="57"/>
  <c r="F82" i="57"/>
  <c r="F76" i="57"/>
  <c r="F74" i="57"/>
  <c r="F50" i="57"/>
  <c r="F40" i="57"/>
  <c r="F38" i="57"/>
  <c r="F126" i="57"/>
  <c r="F122" i="57"/>
  <c r="F108" i="57"/>
  <c r="F66" i="57"/>
  <c r="F54" i="57"/>
  <c r="F116" i="57"/>
  <c r="F104" i="57"/>
  <c r="F92" i="57"/>
  <c r="F62" i="57"/>
  <c r="T80" i="57"/>
  <c r="N106" i="57"/>
  <c r="F114" i="57"/>
  <c r="U118" i="57"/>
  <c r="L128" i="57"/>
  <c r="L98" i="57"/>
  <c r="L86" i="57"/>
  <c r="L78" i="57"/>
  <c r="L44" i="57"/>
  <c r="L124" i="57"/>
  <c r="L120" i="57"/>
  <c r="L106" i="57"/>
  <c r="L64" i="57"/>
  <c r="L46" i="57"/>
  <c r="L42" i="57"/>
  <c r="L114" i="57"/>
  <c r="L110" i="57"/>
  <c r="L100" i="57"/>
  <c r="L94" i="57"/>
  <c r="L60" i="57"/>
  <c r="L52" i="57"/>
  <c r="L48" i="57"/>
  <c r="L102" i="57"/>
  <c r="L88" i="57"/>
  <c r="L80" i="57"/>
  <c r="L68" i="57"/>
  <c r="L56" i="57"/>
  <c r="L40" i="57"/>
  <c r="AM12" i="57"/>
  <c r="AN12" i="57" s="1"/>
  <c r="F44" i="57"/>
  <c r="T50" i="57"/>
  <c r="N54" i="57"/>
  <c r="F56" i="57"/>
  <c r="U56" i="57"/>
  <c r="L58" i="57"/>
  <c r="K66" i="57"/>
  <c r="F80" i="57"/>
  <c r="U80" i="57"/>
  <c r="K82" i="57"/>
  <c r="U84" i="57"/>
  <c r="L90" i="57"/>
  <c r="L92" i="57"/>
  <c r="T96" i="57"/>
  <c r="N104" i="57"/>
  <c r="U108" i="57"/>
  <c r="AM76" i="57"/>
  <c r="AN76" i="57" s="1"/>
  <c r="N120" i="57"/>
  <c r="F128" i="57"/>
  <c r="M124" i="57"/>
  <c r="M120" i="57"/>
  <c r="M106" i="57"/>
  <c r="M64" i="57"/>
  <c r="M46" i="57"/>
  <c r="M42" i="57"/>
  <c r="M114" i="57"/>
  <c r="M110" i="57"/>
  <c r="M100" i="57"/>
  <c r="M94" i="57"/>
  <c r="M60" i="57"/>
  <c r="M52" i="57"/>
  <c r="M48" i="57"/>
  <c r="M102" i="57"/>
  <c r="M88" i="57"/>
  <c r="M80" i="57"/>
  <c r="M68" i="57"/>
  <c r="M56" i="57"/>
  <c r="M40" i="57"/>
  <c r="M38" i="57"/>
  <c r="M118" i="57"/>
  <c r="J122" i="57"/>
  <c r="J104" i="57"/>
  <c r="J58" i="57"/>
  <c r="J44" i="57"/>
  <c r="J42" i="57"/>
  <c r="T108" i="57"/>
  <c r="T84" i="57"/>
  <c r="T66" i="57"/>
  <c r="T58" i="57"/>
  <c r="T54" i="57"/>
  <c r="T116" i="57"/>
  <c r="T92" i="57"/>
  <c r="T44" i="57"/>
  <c r="T42" i="57"/>
  <c r="T128" i="57"/>
  <c r="T98" i="57"/>
  <c r="T86" i="57"/>
  <c r="T78" i="57"/>
  <c r="T46" i="57"/>
  <c r="T124" i="57"/>
  <c r="T120" i="57"/>
  <c r="T110" i="57"/>
  <c r="T106" i="57"/>
  <c r="T100" i="57"/>
  <c r="T64" i="57"/>
  <c r="T48" i="57"/>
  <c r="T40" i="57"/>
  <c r="AK30" i="57"/>
  <c r="AL30" i="57" s="1"/>
  <c r="AI16" i="57"/>
  <c r="AJ16" i="57" s="1"/>
  <c r="AI29" i="57"/>
  <c r="AJ29" i="57" s="1"/>
  <c r="N62" i="57"/>
  <c r="N122" i="57"/>
  <c r="K116" i="57"/>
  <c r="K92" i="57"/>
  <c r="K84" i="57"/>
  <c r="K58" i="57"/>
  <c r="K128" i="57"/>
  <c r="K98" i="57"/>
  <c r="K86" i="57"/>
  <c r="K78" i="57"/>
  <c r="K44" i="57"/>
  <c r="K124" i="57"/>
  <c r="K120" i="57"/>
  <c r="K106" i="57"/>
  <c r="K64" i="57"/>
  <c r="K46" i="57"/>
  <c r="K42" i="57"/>
  <c r="K114" i="57"/>
  <c r="K110" i="57"/>
  <c r="K100" i="57"/>
  <c r="K94" i="57"/>
  <c r="K60" i="57"/>
  <c r="K52" i="57"/>
  <c r="K48" i="57"/>
  <c r="AU22" i="57"/>
  <c r="AI15" i="57"/>
  <c r="AJ15" i="57" s="1"/>
  <c r="J36" i="57"/>
  <c r="L66" i="57"/>
  <c r="F98" i="57"/>
  <c r="T112" i="57"/>
  <c r="K126" i="57"/>
  <c r="AK23" i="57"/>
  <c r="AL23" i="57" s="1"/>
  <c r="K36" i="57"/>
  <c r="J38" i="57"/>
  <c r="U38" i="57"/>
  <c r="N58" i="57"/>
  <c r="T60" i="57"/>
  <c r="T62" i="57"/>
  <c r="F64" i="57"/>
  <c r="M66" i="57"/>
  <c r="T68" i="57"/>
  <c r="T74" i="57"/>
  <c r="T76" i="57"/>
  <c r="M82" i="57"/>
  <c r="L84" i="57"/>
  <c r="N92" i="57"/>
  <c r="K108" i="57"/>
  <c r="L118" i="57"/>
  <c r="T122" i="57"/>
  <c r="F124" i="57"/>
  <c r="L126" i="57"/>
  <c r="D114" i="57"/>
  <c r="D94" i="57"/>
  <c r="D60" i="57"/>
  <c r="D52" i="57"/>
  <c r="D46" i="57"/>
  <c r="D44" i="57"/>
  <c r="D110" i="57"/>
  <c r="D102" i="57"/>
  <c r="D100" i="57"/>
  <c r="D88" i="57"/>
  <c r="D80" i="57"/>
  <c r="D68" i="57"/>
  <c r="D56" i="57"/>
  <c r="D42" i="57"/>
  <c r="D118" i="57"/>
  <c r="D48" i="57"/>
  <c r="D112" i="57"/>
  <c r="D96" i="57"/>
  <c r="D90" i="57"/>
  <c r="D82" i="57"/>
  <c r="D76" i="57"/>
  <c r="D74" i="57"/>
  <c r="D50" i="57"/>
  <c r="D40" i="57"/>
  <c r="AA114" i="57"/>
  <c r="AA94" i="57"/>
  <c r="AA88" i="57"/>
  <c r="AA60" i="57"/>
  <c r="AA126" i="57"/>
  <c r="AA102" i="57"/>
  <c r="AA80" i="57"/>
  <c r="AA74" i="57"/>
  <c r="AA68" i="57"/>
  <c r="AA56" i="57"/>
  <c r="AA122" i="57"/>
  <c r="AA118" i="57"/>
  <c r="AA104" i="57"/>
  <c r="AA62" i="57"/>
  <c r="AA112" i="57"/>
  <c r="AA96" i="57"/>
  <c r="AA90" i="57"/>
  <c r="AA84" i="57"/>
  <c r="AA82" i="57"/>
  <c r="AA76" i="57"/>
  <c r="AA58" i="57"/>
  <c r="AA50" i="57"/>
  <c r="AA44" i="57"/>
  <c r="AA42" i="57"/>
  <c r="AK8" i="57"/>
  <c r="AL8" i="57" s="1"/>
  <c r="F84" i="57"/>
  <c r="U116" i="57"/>
  <c r="U92" i="57"/>
  <c r="U44" i="57"/>
  <c r="U42" i="57"/>
  <c r="U128" i="57"/>
  <c r="U98" i="57"/>
  <c r="U86" i="57"/>
  <c r="U78" i="57"/>
  <c r="U46" i="57"/>
  <c r="U124" i="57"/>
  <c r="U120" i="57"/>
  <c r="U110" i="57"/>
  <c r="U106" i="57"/>
  <c r="U100" i="57"/>
  <c r="U64" i="57"/>
  <c r="U48" i="57"/>
  <c r="U40" i="57"/>
  <c r="U114" i="57"/>
  <c r="U94" i="57"/>
  <c r="U60" i="57"/>
  <c r="U52" i="57"/>
  <c r="AK7" i="57"/>
  <c r="AL7" i="57" s="1"/>
  <c r="T38" i="57"/>
  <c r="F42" i="57"/>
  <c r="U50" i="57"/>
  <c r="L82" i="57"/>
  <c r="F86" i="57"/>
  <c r="K88" i="57"/>
  <c r="U96" i="57"/>
  <c r="K118" i="57"/>
  <c r="U126" i="57"/>
  <c r="AI13" i="57"/>
  <c r="AJ13" i="57" s="1"/>
  <c r="AM23" i="57"/>
  <c r="AN23" i="57" s="1"/>
  <c r="AU21" i="57"/>
  <c r="AM28" i="57"/>
  <c r="AN28" i="57" s="1"/>
  <c r="L36" i="57"/>
  <c r="T36" i="57"/>
  <c r="AG36" i="57"/>
  <c r="AG35" i="57" s="1"/>
  <c r="K38" i="57"/>
  <c r="N46" i="57"/>
  <c r="K50" i="57"/>
  <c r="U54" i="57"/>
  <c r="K56" i="57"/>
  <c r="K62" i="57"/>
  <c r="U62" i="57"/>
  <c r="F68" i="57"/>
  <c r="U68" i="57"/>
  <c r="K74" i="57"/>
  <c r="U74" i="57"/>
  <c r="U76" i="57"/>
  <c r="F78" i="57"/>
  <c r="K80" i="57"/>
  <c r="M84" i="57"/>
  <c r="T94" i="57"/>
  <c r="K96" i="57"/>
  <c r="L108" i="57"/>
  <c r="K122" i="57"/>
  <c r="U122" i="57"/>
  <c r="M126" i="57"/>
  <c r="M128" i="57"/>
  <c r="AB126" i="57"/>
  <c r="AB102" i="57"/>
  <c r="AB80" i="57"/>
  <c r="AB74" i="57"/>
  <c r="AB68" i="57"/>
  <c r="AB56" i="57"/>
  <c r="AB122" i="57"/>
  <c r="AB118" i="57"/>
  <c r="AB104" i="57"/>
  <c r="AB62" i="57"/>
  <c r="AB112" i="57"/>
  <c r="AB96" i="57"/>
  <c r="AB90" i="57"/>
  <c r="AB84" i="57"/>
  <c r="AB82" i="57"/>
  <c r="AB76" i="57"/>
  <c r="AB58" i="57"/>
  <c r="AB50" i="57"/>
  <c r="AB44" i="57"/>
  <c r="AB42" i="57"/>
  <c r="AB108" i="57"/>
  <c r="AB66" i="57"/>
  <c r="AB54" i="57"/>
  <c r="AB40" i="57"/>
  <c r="N114" i="57"/>
  <c r="N110" i="57"/>
  <c r="N100" i="57"/>
  <c r="N94" i="57"/>
  <c r="N60" i="57"/>
  <c r="N52" i="57"/>
  <c r="N48" i="57"/>
  <c r="N102" i="57"/>
  <c r="N88" i="57"/>
  <c r="N80" i="57"/>
  <c r="N68" i="57"/>
  <c r="N56" i="57"/>
  <c r="N40" i="57"/>
  <c r="N38" i="57"/>
  <c r="N118" i="57"/>
  <c r="N126" i="57"/>
  <c r="N112" i="57"/>
  <c r="N96" i="57"/>
  <c r="N90" i="57"/>
  <c r="N82" i="57"/>
  <c r="N76" i="57"/>
  <c r="N74" i="57"/>
  <c r="N50" i="57"/>
  <c r="F88" i="57"/>
  <c r="F100" i="57"/>
  <c r="T118" i="57"/>
  <c r="AI20" i="57"/>
  <c r="AJ20" i="57" s="1"/>
  <c r="AI19" i="57"/>
  <c r="AJ19" i="57" s="1"/>
  <c r="U36" i="57"/>
  <c r="L38" i="57"/>
  <c r="J40" i="57"/>
  <c r="M44" i="57"/>
  <c r="L50" i="57"/>
  <c r="T52" i="57"/>
  <c r="F60" i="57"/>
  <c r="L62" i="57"/>
  <c r="L74" i="57"/>
  <c r="N84" i="57"/>
  <c r="M86" i="57"/>
  <c r="T90" i="57"/>
  <c r="L96" i="57"/>
  <c r="M98" i="57"/>
  <c r="T102" i="57"/>
  <c r="T104" i="57"/>
  <c r="F106" i="57"/>
  <c r="M108" i="57"/>
  <c r="K112" i="57"/>
  <c r="L122" i="57"/>
  <c r="N128" i="57"/>
  <c r="E110" i="57"/>
  <c r="E102" i="57"/>
  <c r="E100" i="57"/>
  <c r="E88" i="57"/>
  <c r="E80" i="57"/>
  <c r="E68" i="57"/>
  <c r="E56" i="57"/>
  <c r="E42" i="57"/>
  <c r="E118" i="57"/>
  <c r="E48" i="57"/>
  <c r="E112" i="57"/>
  <c r="E96" i="57"/>
  <c r="E90" i="57"/>
  <c r="E82" i="57"/>
  <c r="E76" i="57"/>
  <c r="E74" i="57"/>
  <c r="E50" i="57"/>
  <c r="E40" i="57"/>
  <c r="E126" i="57"/>
  <c r="E122" i="57"/>
  <c r="E108" i="57"/>
  <c r="E66" i="57"/>
  <c r="E54" i="57"/>
  <c r="AI101" i="57"/>
  <c r="AJ101" i="57" s="1"/>
  <c r="AM87" i="57"/>
  <c r="AN87" i="57" s="1"/>
  <c r="AI14" i="57"/>
  <c r="AJ14" i="57" s="1"/>
  <c r="AM17" i="57"/>
  <c r="AN17" i="57" s="1"/>
  <c r="AK17" i="57"/>
  <c r="AL17" i="57" s="1"/>
  <c r="AI17" i="57"/>
  <c r="AJ17" i="57" s="1"/>
  <c r="AK20" i="57"/>
  <c r="AL20" i="57" s="1"/>
  <c r="AU29" i="57"/>
  <c r="AU23" i="57"/>
  <c r="AG25" i="57"/>
  <c r="AI30" i="57"/>
  <c r="AJ30" i="57" s="1"/>
  <c r="AG28" i="57"/>
  <c r="AU26" i="57"/>
  <c r="AI31" i="57"/>
  <c r="AJ31" i="57" s="1"/>
  <c r="AG27" i="57"/>
  <c r="AM27" i="57"/>
  <c r="AN27" i="57" s="1"/>
  <c r="AU30" i="57"/>
  <c r="AK24" i="57"/>
  <c r="AL24" i="57" s="1"/>
  <c r="AU27" i="57"/>
  <c r="AG31" i="57"/>
  <c r="AM18" i="57"/>
  <c r="AN18" i="57" s="1"/>
  <c r="AK18" i="57"/>
  <c r="AL18" i="57" s="1"/>
  <c r="AI18" i="57"/>
  <c r="AJ18" i="57" s="1"/>
  <c r="AU24" i="57"/>
  <c r="AU25" i="57"/>
  <c r="AU28" i="57"/>
  <c r="AK78" i="57"/>
  <c r="AL78" i="57" s="1"/>
  <c r="AI78" i="57"/>
  <c r="AJ78" i="57" s="1"/>
  <c r="AM78" i="57"/>
  <c r="AN78" i="57" s="1"/>
  <c r="AK89" i="57"/>
  <c r="AL89" i="57" s="1"/>
  <c r="AI89" i="57"/>
  <c r="AJ89" i="57" s="1"/>
  <c r="AM89" i="57"/>
  <c r="AN89" i="57" s="1"/>
  <c r="W122" i="57"/>
  <c r="W104" i="57"/>
  <c r="W88" i="57"/>
  <c r="W74" i="57"/>
  <c r="W58" i="57"/>
  <c r="W128" i="57"/>
  <c r="W112" i="57"/>
  <c r="W106" i="57"/>
  <c r="W90" i="57"/>
  <c r="W64" i="57"/>
  <c r="W48" i="57"/>
  <c r="W118" i="57"/>
  <c r="W92" i="57"/>
  <c r="W76" i="57"/>
  <c r="W54" i="57"/>
  <c r="W124" i="57"/>
  <c r="W108" i="57"/>
  <c r="W94" i="57"/>
  <c r="W78" i="57"/>
  <c r="W60" i="57"/>
  <c r="W44" i="57"/>
  <c r="W114" i="57"/>
  <c r="W96" i="57"/>
  <c r="W80" i="57"/>
  <c r="W66" i="57"/>
  <c r="W126" i="57"/>
  <c r="W110" i="57"/>
  <c r="W100" i="57"/>
  <c r="W84" i="57"/>
  <c r="W62" i="57"/>
  <c r="W116" i="57"/>
  <c r="W102" i="57"/>
  <c r="W86" i="57"/>
  <c r="W68" i="57"/>
  <c r="W52" i="57"/>
  <c r="AI5" i="57"/>
  <c r="AJ5" i="57" s="1"/>
  <c r="AI6" i="57"/>
  <c r="AJ6" i="57" s="1"/>
  <c r="AK9" i="57"/>
  <c r="AL9" i="57" s="1"/>
  <c r="AK10" i="57"/>
  <c r="AL10" i="57" s="1"/>
  <c r="W12" i="57"/>
  <c r="AM13" i="57"/>
  <c r="AN13" i="57" s="1"/>
  <c r="AM14" i="57"/>
  <c r="AN14" i="57" s="1"/>
  <c r="AI21" i="57"/>
  <c r="AJ21" i="57" s="1"/>
  <c r="AI22" i="57"/>
  <c r="AJ22" i="57" s="1"/>
  <c r="AK25" i="57"/>
  <c r="AL25" i="57" s="1"/>
  <c r="AK26" i="57"/>
  <c r="AL26" i="57" s="1"/>
  <c r="W28" i="57"/>
  <c r="AM29" i="57"/>
  <c r="AN29" i="57" s="1"/>
  <c r="AM30" i="57"/>
  <c r="AN30" i="57" s="1"/>
  <c r="AU31" i="57"/>
  <c r="W56" i="57"/>
  <c r="J74" i="57"/>
  <c r="AI74" i="57"/>
  <c r="AJ74" i="57" s="1"/>
  <c r="AI76" i="57"/>
  <c r="AJ76" i="57" s="1"/>
  <c r="AK96" i="57"/>
  <c r="AL96" i="57" s="1"/>
  <c r="Z124" i="57"/>
  <c r="Z108" i="57"/>
  <c r="Z94" i="57"/>
  <c r="Z78" i="57"/>
  <c r="Z60" i="57"/>
  <c r="Z114" i="57"/>
  <c r="Z96" i="57"/>
  <c r="Z80" i="57"/>
  <c r="Z66" i="57"/>
  <c r="Z50" i="57"/>
  <c r="Z120" i="57"/>
  <c r="Z98" i="57"/>
  <c r="Z82" i="57"/>
  <c r="Z56" i="57"/>
  <c r="Z126" i="57"/>
  <c r="Z110" i="57"/>
  <c r="Z100" i="57"/>
  <c r="Z84" i="57"/>
  <c r="Z62" i="57"/>
  <c r="Z46" i="57"/>
  <c r="Z116" i="57"/>
  <c r="Z102" i="57"/>
  <c r="Z86" i="57"/>
  <c r="Z68" i="57"/>
  <c r="Z128" i="57"/>
  <c r="Z112" i="57"/>
  <c r="Z106" i="57"/>
  <c r="Z90" i="57"/>
  <c r="Z64" i="57"/>
  <c r="Z48" i="57"/>
  <c r="Z118" i="57"/>
  <c r="Z92" i="57"/>
  <c r="Z76" i="57"/>
  <c r="Z54" i="57"/>
  <c r="H128" i="57"/>
  <c r="H112" i="57"/>
  <c r="H106" i="57"/>
  <c r="H90" i="57"/>
  <c r="H64" i="57"/>
  <c r="H118" i="57"/>
  <c r="H92" i="57"/>
  <c r="H76" i="57"/>
  <c r="H54" i="57"/>
  <c r="H124" i="57"/>
  <c r="H108" i="57"/>
  <c r="H94" i="57"/>
  <c r="H78" i="57"/>
  <c r="H60" i="57"/>
  <c r="H114" i="57"/>
  <c r="H96" i="57"/>
  <c r="H80" i="57"/>
  <c r="H66" i="57"/>
  <c r="H50" i="57"/>
  <c r="H120" i="57"/>
  <c r="H98" i="57"/>
  <c r="H82" i="57"/>
  <c r="H56" i="57"/>
  <c r="H116" i="57"/>
  <c r="H102" i="57"/>
  <c r="H86" i="57"/>
  <c r="H68" i="57"/>
  <c r="H52" i="57"/>
  <c r="H122" i="57"/>
  <c r="H104" i="57"/>
  <c r="H88" i="57"/>
  <c r="H74" i="57"/>
  <c r="H58" i="57"/>
  <c r="P128" i="57"/>
  <c r="P112" i="57"/>
  <c r="P106" i="57"/>
  <c r="P90" i="57"/>
  <c r="P64" i="57"/>
  <c r="P118" i="57"/>
  <c r="P92" i="57"/>
  <c r="P76" i="57"/>
  <c r="P54" i="57"/>
  <c r="P124" i="57"/>
  <c r="P108" i="57"/>
  <c r="P94" i="57"/>
  <c r="P78" i="57"/>
  <c r="P60" i="57"/>
  <c r="P114" i="57"/>
  <c r="P96" i="57"/>
  <c r="P80" i="57"/>
  <c r="P66" i="57"/>
  <c r="P50" i="57"/>
  <c r="P120" i="57"/>
  <c r="P98" i="57"/>
  <c r="P82" i="57"/>
  <c r="P56" i="57"/>
  <c r="P116" i="57"/>
  <c r="P102" i="57"/>
  <c r="P86" i="57"/>
  <c r="P68" i="57"/>
  <c r="P52" i="57"/>
  <c r="P122" i="57"/>
  <c r="P104" i="57"/>
  <c r="P88" i="57"/>
  <c r="P74" i="57"/>
  <c r="P58" i="57"/>
  <c r="X128" i="57"/>
  <c r="X112" i="57"/>
  <c r="X106" i="57"/>
  <c r="X90" i="57"/>
  <c r="X64" i="57"/>
  <c r="X118" i="57"/>
  <c r="X92" i="57"/>
  <c r="X76" i="57"/>
  <c r="X54" i="57"/>
  <c r="X124" i="57"/>
  <c r="X108" i="57"/>
  <c r="X94" i="57"/>
  <c r="X78" i="57"/>
  <c r="X60" i="57"/>
  <c r="X114" i="57"/>
  <c r="X96" i="57"/>
  <c r="X80" i="57"/>
  <c r="X66" i="57"/>
  <c r="X50" i="57"/>
  <c r="X120" i="57"/>
  <c r="X98" i="57"/>
  <c r="X82" i="57"/>
  <c r="X56" i="57"/>
  <c r="X116" i="57"/>
  <c r="X102" i="57"/>
  <c r="X86" i="57"/>
  <c r="X68" i="57"/>
  <c r="X52" i="57"/>
  <c r="X122" i="57"/>
  <c r="X104" i="57"/>
  <c r="X88" i="57"/>
  <c r="X74" i="57"/>
  <c r="X58" i="57"/>
  <c r="AK4" i="57"/>
  <c r="AL4" i="57" s="1"/>
  <c r="AI11" i="57"/>
  <c r="AJ11" i="57" s="1"/>
  <c r="AI12" i="57"/>
  <c r="AJ12" i="57" s="1"/>
  <c r="AK15" i="57"/>
  <c r="AL15" i="57" s="1"/>
  <c r="AK16" i="57"/>
  <c r="AL16" i="57" s="1"/>
  <c r="W18" i="57"/>
  <c r="AM19" i="57"/>
  <c r="AN19" i="57" s="1"/>
  <c r="AM20" i="57"/>
  <c r="AN20" i="57" s="1"/>
  <c r="AG23" i="57"/>
  <c r="AG24" i="57"/>
  <c r="AI27" i="57"/>
  <c r="AJ27" i="57" s="1"/>
  <c r="AI28" i="57"/>
  <c r="AJ28" i="57" s="1"/>
  <c r="AK31" i="57"/>
  <c r="AL31" i="57" s="1"/>
  <c r="AM84" i="57"/>
  <c r="AN84" i="57" s="1"/>
  <c r="AM86" i="57"/>
  <c r="AN86" i="57" s="1"/>
  <c r="AK94" i="57"/>
  <c r="AL94" i="57" s="1"/>
  <c r="AI94" i="57"/>
  <c r="AJ94" i="57" s="1"/>
  <c r="AM94" i="57"/>
  <c r="AN94" i="57" s="1"/>
  <c r="AM98" i="57"/>
  <c r="AN98" i="57" s="1"/>
  <c r="AM9" i="57"/>
  <c r="AN9" i="57" s="1"/>
  <c r="AK21" i="57"/>
  <c r="AL21" i="57" s="1"/>
  <c r="AK22" i="57"/>
  <c r="AL22" i="57" s="1"/>
  <c r="W24" i="57"/>
  <c r="AM25" i="57"/>
  <c r="AN25" i="57" s="1"/>
  <c r="AM26" i="57"/>
  <c r="AN26" i="57" s="1"/>
  <c r="AG29" i="57"/>
  <c r="AG30" i="57"/>
  <c r="W38" i="57"/>
  <c r="W46" i="57"/>
  <c r="W50" i="57"/>
  <c r="AK77" i="57"/>
  <c r="AL77" i="57" s="1"/>
  <c r="AM79" i="57"/>
  <c r="AN79" i="57" s="1"/>
  <c r="AI81" i="57"/>
  <c r="AJ81" i="57" s="1"/>
  <c r="AI84" i="57"/>
  <c r="AJ84" i="57" s="1"/>
  <c r="AI92" i="57"/>
  <c r="AJ92" i="57" s="1"/>
  <c r="R124" i="57"/>
  <c r="R108" i="57"/>
  <c r="R94" i="57"/>
  <c r="R78" i="57"/>
  <c r="R60" i="57"/>
  <c r="R114" i="57"/>
  <c r="R96" i="57"/>
  <c r="R80" i="57"/>
  <c r="R66" i="57"/>
  <c r="R50" i="57"/>
  <c r="R120" i="57"/>
  <c r="R98" i="57"/>
  <c r="R82" i="57"/>
  <c r="R56" i="57"/>
  <c r="R126" i="57"/>
  <c r="R110" i="57"/>
  <c r="R100" i="57"/>
  <c r="R84" i="57"/>
  <c r="R62" i="57"/>
  <c r="R46" i="57"/>
  <c r="R116" i="57"/>
  <c r="R102" i="57"/>
  <c r="R86" i="57"/>
  <c r="R68" i="57"/>
  <c r="R128" i="57"/>
  <c r="R112" i="57"/>
  <c r="R106" i="57"/>
  <c r="R90" i="57"/>
  <c r="R64" i="57"/>
  <c r="R48" i="57"/>
  <c r="R118" i="57"/>
  <c r="R92" i="57"/>
  <c r="R76" i="57"/>
  <c r="R54" i="57"/>
  <c r="AK6" i="57"/>
  <c r="AL6" i="57" s="1"/>
  <c r="AM4" i="57"/>
  <c r="AN4" i="57" s="1"/>
  <c r="AI8" i="57"/>
  <c r="AJ8" i="57" s="1"/>
  <c r="AK11" i="57"/>
  <c r="AL11" i="57" s="1"/>
  <c r="AK12" i="57"/>
  <c r="AL12" i="57" s="1"/>
  <c r="W14" i="57"/>
  <c r="AM15" i="57"/>
  <c r="AN15" i="57" s="1"/>
  <c r="AM16" i="57"/>
  <c r="AN16" i="57" s="1"/>
  <c r="AG19" i="57"/>
  <c r="AG20" i="57"/>
  <c r="AI23" i="57"/>
  <c r="AJ23" i="57" s="1"/>
  <c r="AI24" i="57"/>
  <c r="AJ24" i="57" s="1"/>
  <c r="AK27" i="57"/>
  <c r="AL27" i="57" s="1"/>
  <c r="AK28" i="57"/>
  <c r="AL28" i="57" s="1"/>
  <c r="W30" i="57"/>
  <c r="AM31" i="57"/>
  <c r="AN31" i="57" s="1"/>
  <c r="AI79" i="57"/>
  <c r="AJ79" i="57" s="1"/>
  <c r="W82" i="57"/>
  <c r="AK83" i="57"/>
  <c r="AL83" i="57" s="1"/>
  <c r="R88" i="57"/>
  <c r="AM92" i="57"/>
  <c r="AN92" i="57" s="1"/>
  <c r="AM100" i="57"/>
  <c r="AN100" i="57" s="1"/>
  <c r="J124" i="57"/>
  <c r="J108" i="57"/>
  <c r="J94" i="57"/>
  <c r="J78" i="57"/>
  <c r="J60" i="57"/>
  <c r="J114" i="57"/>
  <c r="J96" i="57"/>
  <c r="J80" i="57"/>
  <c r="J66" i="57"/>
  <c r="J50" i="57"/>
  <c r="J120" i="57"/>
  <c r="J98" i="57"/>
  <c r="J82" i="57"/>
  <c r="J56" i="57"/>
  <c r="J126" i="57"/>
  <c r="J110" i="57"/>
  <c r="J100" i="57"/>
  <c r="J84" i="57"/>
  <c r="J62" i="57"/>
  <c r="J46" i="57"/>
  <c r="J116" i="57"/>
  <c r="J102" i="57"/>
  <c r="J86" i="57"/>
  <c r="J68" i="57"/>
  <c r="J128" i="57"/>
  <c r="J112" i="57"/>
  <c r="J106" i="57"/>
  <c r="J90" i="57"/>
  <c r="J64" i="57"/>
  <c r="J118" i="57"/>
  <c r="J92" i="57"/>
  <c r="J76" i="57"/>
  <c r="J54" i="57"/>
  <c r="AI7" i="57"/>
  <c r="AJ7" i="57" s="1"/>
  <c r="AM5" i="57"/>
  <c r="AN5" i="57" s="1"/>
  <c r="AM6" i="57"/>
  <c r="AN6" i="57" s="1"/>
  <c r="W20" i="57"/>
  <c r="AM21" i="57"/>
  <c r="AN21" i="57" s="1"/>
  <c r="AM22" i="57"/>
  <c r="AN22" i="57" s="1"/>
  <c r="W36" i="57"/>
  <c r="W42" i="57"/>
  <c r="R44" i="57"/>
  <c r="R52" i="57"/>
  <c r="AI75" i="57"/>
  <c r="AJ75" i="57" s="1"/>
  <c r="J88" i="57"/>
  <c r="AM95" i="57"/>
  <c r="AN95" i="57" s="1"/>
  <c r="AG99" i="57"/>
  <c r="AI100" i="57"/>
  <c r="AJ100" i="57" s="1"/>
  <c r="AG106" i="57"/>
  <c r="AG105" i="57" s="1"/>
  <c r="AK5" i="57"/>
  <c r="AL5" i="57" s="1"/>
  <c r="AM10" i="57"/>
  <c r="AN10" i="57" s="1"/>
  <c r="W10" i="57"/>
  <c r="W26" i="57"/>
  <c r="W34" i="57"/>
  <c r="R38" i="57"/>
  <c r="J52" i="57"/>
  <c r="AK85" i="57"/>
  <c r="AL85" i="57" s="1"/>
  <c r="AI87" i="57"/>
  <c r="AJ87" i="57" s="1"/>
  <c r="AK88" i="57"/>
  <c r="AL88" i="57" s="1"/>
  <c r="AM93" i="57"/>
  <c r="AN93" i="57" s="1"/>
  <c r="AI95" i="57"/>
  <c r="AJ95" i="57" s="1"/>
  <c r="W98" i="57"/>
  <c r="AK99" i="57"/>
  <c r="AL99" i="57" s="1"/>
  <c r="W120" i="57"/>
  <c r="AI10" i="57"/>
  <c r="AJ10" i="57" s="1"/>
  <c r="AK13" i="57"/>
  <c r="AL13" i="57" s="1"/>
  <c r="AK14" i="57"/>
  <c r="AL14" i="57" s="1"/>
  <c r="W16" i="57"/>
  <c r="AU19" i="57"/>
  <c r="AU20" i="57"/>
  <c r="AG21" i="57"/>
  <c r="AG22" i="57"/>
  <c r="AI25" i="57"/>
  <c r="AJ25" i="57" s="1"/>
  <c r="AI26" i="57"/>
  <c r="AJ26" i="57" s="1"/>
  <c r="AK29" i="57"/>
  <c r="AL29" i="57" s="1"/>
  <c r="W32" i="57"/>
  <c r="AK91" i="57"/>
  <c r="AL91" i="57" s="1"/>
  <c r="AM75" i="57"/>
  <c r="AN75" i="57" s="1"/>
  <c r="AK76" i="57"/>
  <c r="AL76" i="57" s="1"/>
  <c r="AM80" i="57"/>
  <c r="AN80" i="57" s="1"/>
  <c r="AI83" i="57"/>
  <c r="AJ83" i="57" s="1"/>
  <c r="AK87" i="57"/>
  <c r="AL87" i="57" s="1"/>
  <c r="AI88" i="57"/>
  <c r="AJ88" i="57" s="1"/>
  <c r="AM91" i="57"/>
  <c r="AN91" i="57" s="1"/>
  <c r="AK92" i="57"/>
  <c r="AL92" i="57" s="1"/>
  <c r="AM96" i="57"/>
  <c r="AN96" i="57" s="1"/>
  <c r="AI99" i="57"/>
  <c r="AJ99" i="57" s="1"/>
  <c r="AG100" i="57"/>
  <c r="AK74" i="57"/>
  <c r="AL74" i="57" s="1"/>
  <c r="AI86" i="57"/>
  <c r="AJ86" i="57" s="1"/>
  <c r="AK90" i="57"/>
  <c r="AL90" i="57" s="1"/>
  <c r="AI97" i="57"/>
  <c r="AJ97" i="57" s="1"/>
  <c r="AG98" i="57"/>
  <c r="AK101" i="57"/>
  <c r="AL101" i="57" s="1"/>
  <c r="AM74" i="57"/>
  <c r="AN74" i="57" s="1"/>
  <c r="AI77" i="57"/>
  <c r="AJ77" i="57" s="1"/>
  <c r="AK81" i="57"/>
  <c r="AL81" i="57" s="1"/>
  <c r="AI82" i="57"/>
  <c r="AJ82" i="57" s="1"/>
  <c r="AM85" i="57"/>
  <c r="AN85" i="57" s="1"/>
  <c r="AK86" i="57"/>
  <c r="AL86" i="57" s="1"/>
  <c r="AM90" i="57"/>
  <c r="AN90" i="57" s="1"/>
  <c r="AI93" i="57"/>
  <c r="AJ93" i="57" s="1"/>
  <c r="AK97" i="57"/>
  <c r="AL97" i="57" s="1"/>
  <c r="AI98" i="57"/>
  <c r="AJ98" i="57" s="1"/>
  <c r="AM101" i="57"/>
  <c r="AN101" i="57" s="1"/>
  <c r="AK79" i="57"/>
  <c r="AL79" i="57" s="1"/>
  <c r="AI80" i="57"/>
  <c r="AJ80" i="57" s="1"/>
  <c r="AM83" i="57"/>
  <c r="AN83" i="57" s="1"/>
  <c r="AK84" i="57"/>
  <c r="AL84" i="57" s="1"/>
  <c r="AM88" i="57"/>
  <c r="AN88" i="57" s="1"/>
  <c r="AI91" i="57"/>
  <c r="AJ91" i="57" s="1"/>
  <c r="AK95" i="57"/>
  <c r="AL95" i="57" s="1"/>
  <c r="AI96" i="57"/>
  <c r="AJ96" i="57" s="1"/>
  <c r="AM99" i="57"/>
  <c r="AN99" i="57" s="1"/>
  <c r="AK100" i="57"/>
  <c r="AL100" i="57" s="1"/>
  <c r="AM81" i="57"/>
  <c r="AN81" i="57" s="1"/>
  <c r="AK82" i="57"/>
  <c r="AL82" i="57" s="1"/>
  <c r="AK93" i="57"/>
  <c r="AL93" i="57" s="1"/>
  <c r="AM97" i="57"/>
  <c r="AN97" i="57" s="1"/>
  <c r="AK98" i="57"/>
  <c r="AL98" i="57" s="1"/>
  <c r="AG101" i="57"/>
  <c r="AK75" i="57"/>
  <c r="AL75" i="57" s="1"/>
  <c r="AK80" i="57"/>
  <c r="AL80" i="57" s="1"/>
  <c r="AM77" i="57"/>
  <c r="AN77" i="57" s="1"/>
  <c r="AM82" i="57"/>
  <c r="AN82" i="57" s="1"/>
  <c r="AI85" i="57"/>
  <c r="AJ85" i="57" s="1"/>
  <c r="AI98" i="56"/>
  <c r="AJ98" i="56" s="1"/>
  <c r="AM20" i="56"/>
  <c r="AN20" i="56" s="1"/>
  <c r="AI99" i="56"/>
  <c r="AJ99" i="56" s="1"/>
  <c r="AI91" i="56"/>
  <c r="AJ91" i="56" s="1"/>
  <c r="AI83" i="56"/>
  <c r="AJ83" i="56" s="1"/>
  <c r="AI75" i="56"/>
  <c r="AJ75" i="56" s="1"/>
  <c r="AK94" i="56"/>
  <c r="AL94" i="56" s="1"/>
  <c r="AK86" i="56"/>
  <c r="AL86" i="56" s="1"/>
  <c r="AK78" i="56"/>
  <c r="AL78" i="56" s="1"/>
  <c r="AM97" i="56"/>
  <c r="AN97" i="56" s="1"/>
  <c r="AM89" i="56"/>
  <c r="AN89" i="56" s="1"/>
  <c r="AM81" i="56"/>
  <c r="AN81" i="56" s="1"/>
  <c r="AI97" i="56"/>
  <c r="AJ97" i="56" s="1"/>
  <c r="AI89" i="56"/>
  <c r="AJ89" i="56" s="1"/>
  <c r="AI81" i="56"/>
  <c r="AJ81" i="56" s="1"/>
  <c r="AK100" i="56"/>
  <c r="AL100" i="56" s="1"/>
  <c r="AK92" i="56"/>
  <c r="AL92" i="56" s="1"/>
  <c r="AK84" i="56"/>
  <c r="AL84" i="56" s="1"/>
  <c r="AK76" i="56"/>
  <c r="AL76" i="56" s="1"/>
  <c r="AM95" i="56"/>
  <c r="AN95" i="56" s="1"/>
  <c r="AM87" i="56"/>
  <c r="AN87" i="56" s="1"/>
  <c r="AM79" i="56"/>
  <c r="AN79" i="56" s="1"/>
  <c r="AI96" i="56"/>
  <c r="AJ96" i="56" s="1"/>
  <c r="AI88" i="56"/>
  <c r="AJ88" i="56" s="1"/>
  <c r="AI80" i="56"/>
  <c r="AJ80" i="56" s="1"/>
  <c r="AK99" i="56"/>
  <c r="AL99" i="56" s="1"/>
  <c r="AK91" i="56"/>
  <c r="AL91" i="56" s="1"/>
  <c r="AK83" i="56"/>
  <c r="AL83" i="56" s="1"/>
  <c r="AK75" i="56"/>
  <c r="AL75" i="56" s="1"/>
  <c r="AM94" i="56"/>
  <c r="AN94" i="56" s="1"/>
  <c r="AM86" i="56"/>
  <c r="AN86" i="56" s="1"/>
  <c r="AM78" i="56"/>
  <c r="AN78" i="56" s="1"/>
  <c r="AI95" i="56"/>
  <c r="AJ95" i="56" s="1"/>
  <c r="AI87" i="56"/>
  <c r="AJ87" i="56" s="1"/>
  <c r="AI79" i="56"/>
  <c r="AJ79" i="56" s="1"/>
  <c r="AK98" i="56"/>
  <c r="AL98" i="56" s="1"/>
  <c r="AK90" i="56"/>
  <c r="AL90" i="56" s="1"/>
  <c r="AK82" i="56"/>
  <c r="AL82" i="56" s="1"/>
  <c r="AM101" i="56"/>
  <c r="AN101" i="56" s="1"/>
  <c r="AM93" i="56"/>
  <c r="AN93" i="56" s="1"/>
  <c r="AM85" i="56"/>
  <c r="AN85" i="56" s="1"/>
  <c r="AM77" i="56"/>
  <c r="AN77" i="56" s="1"/>
  <c r="AI94" i="56"/>
  <c r="AJ94" i="56" s="1"/>
  <c r="AI86" i="56"/>
  <c r="AJ86" i="56" s="1"/>
  <c r="AI78" i="56"/>
  <c r="AJ78" i="56" s="1"/>
  <c r="AK97" i="56"/>
  <c r="AL97" i="56" s="1"/>
  <c r="AK89" i="56"/>
  <c r="AL89" i="56" s="1"/>
  <c r="AK81" i="56"/>
  <c r="AL81" i="56" s="1"/>
  <c r="AM100" i="56"/>
  <c r="AN100" i="56" s="1"/>
  <c r="AM92" i="56"/>
  <c r="AN92" i="56" s="1"/>
  <c r="AM84" i="56"/>
  <c r="AN84" i="56" s="1"/>
  <c r="AM76" i="56"/>
  <c r="AN76" i="56" s="1"/>
  <c r="AI101" i="56"/>
  <c r="AJ101" i="56" s="1"/>
  <c r="AI93" i="56"/>
  <c r="AJ93" i="56" s="1"/>
  <c r="AI85" i="56"/>
  <c r="AJ85" i="56" s="1"/>
  <c r="AI77" i="56"/>
  <c r="AJ77" i="56" s="1"/>
  <c r="AK96" i="56"/>
  <c r="AL96" i="56" s="1"/>
  <c r="AK88" i="56"/>
  <c r="AL88" i="56" s="1"/>
  <c r="AK80" i="56"/>
  <c r="AL80" i="56" s="1"/>
  <c r="AM99" i="56"/>
  <c r="AN99" i="56" s="1"/>
  <c r="AM91" i="56"/>
  <c r="AN91" i="56" s="1"/>
  <c r="AM83" i="56"/>
  <c r="AN83" i="56" s="1"/>
  <c r="E108" i="56"/>
  <c r="E88" i="56"/>
  <c r="E58" i="56"/>
  <c r="E38" i="56"/>
  <c r="E104" i="56"/>
  <c r="E102" i="56"/>
  <c r="E84" i="56"/>
  <c r="E82" i="56"/>
  <c r="E48" i="56"/>
  <c r="E98" i="56"/>
  <c r="E42" i="56"/>
  <c r="E46" i="56"/>
  <c r="E50" i="56"/>
  <c r="E96" i="56"/>
  <c r="E78" i="56"/>
  <c r="E110" i="56"/>
  <c r="E94" i="56"/>
  <c r="E64" i="56"/>
  <c r="E112" i="56"/>
  <c r="E124" i="56"/>
  <c r="E40" i="56"/>
  <c r="M90" i="56"/>
  <c r="M62" i="56"/>
  <c r="M60" i="56"/>
  <c r="M40" i="56"/>
  <c r="M64" i="56"/>
  <c r="M52" i="56"/>
  <c r="M128" i="56"/>
  <c r="M88" i="56"/>
  <c r="M74" i="56"/>
  <c r="M58" i="56"/>
  <c r="M50" i="56"/>
  <c r="M44" i="56"/>
  <c r="M66" i="56"/>
  <c r="M54" i="56"/>
  <c r="M126" i="56"/>
  <c r="M122" i="56"/>
  <c r="M116" i="56"/>
  <c r="M104" i="56"/>
  <c r="M102" i="56"/>
  <c r="M86" i="56"/>
  <c r="M84" i="56"/>
  <c r="M38" i="56"/>
  <c r="M110" i="56"/>
  <c r="M94" i="56"/>
  <c r="M46" i="56"/>
  <c r="M124" i="56"/>
  <c r="M120" i="56"/>
  <c r="M106" i="56"/>
  <c r="M100" i="56"/>
  <c r="M98" i="56"/>
  <c r="M82" i="56"/>
  <c r="M48" i="56"/>
  <c r="M114" i="56"/>
  <c r="M108" i="56"/>
  <c r="M96" i="56"/>
  <c r="M80" i="56"/>
  <c r="M56" i="56"/>
  <c r="M42" i="56"/>
  <c r="M36" i="56"/>
  <c r="M78" i="56"/>
  <c r="M68" i="56"/>
  <c r="M76" i="56"/>
  <c r="M118" i="56"/>
  <c r="M112" i="56"/>
  <c r="M92" i="56"/>
  <c r="K120" i="56"/>
  <c r="K118" i="56"/>
  <c r="K112" i="56"/>
  <c r="K124" i="56"/>
  <c r="K92" i="56"/>
  <c r="K76" i="56"/>
  <c r="K64" i="56"/>
  <c r="K52" i="56"/>
  <c r="K46" i="56"/>
  <c r="K82" i="56"/>
  <c r="K90" i="56"/>
  <c r="K62" i="56"/>
  <c r="K60" i="56"/>
  <c r="K40" i="56"/>
  <c r="K106" i="56"/>
  <c r="K98" i="56"/>
  <c r="K68" i="56"/>
  <c r="K128" i="56"/>
  <c r="K88" i="56"/>
  <c r="K74" i="56"/>
  <c r="K58" i="56"/>
  <c r="K50" i="56"/>
  <c r="K44" i="56"/>
  <c r="K100" i="56"/>
  <c r="K66" i="56"/>
  <c r="K122" i="56"/>
  <c r="K116" i="56"/>
  <c r="K104" i="56"/>
  <c r="K102" i="56"/>
  <c r="K86" i="56"/>
  <c r="K84" i="56"/>
  <c r="K38" i="56"/>
  <c r="K48" i="56"/>
  <c r="K114" i="56"/>
  <c r="K108" i="56"/>
  <c r="K96" i="56"/>
  <c r="K80" i="56"/>
  <c r="K56" i="56"/>
  <c r="K42" i="56"/>
  <c r="K36" i="56"/>
  <c r="K110" i="56"/>
  <c r="K94" i="56"/>
  <c r="K78" i="56"/>
  <c r="K54" i="56"/>
  <c r="AA114" i="56"/>
  <c r="AA118" i="56"/>
  <c r="AA110" i="56"/>
  <c r="AA94" i="56"/>
  <c r="AA78" i="56"/>
  <c r="AA60" i="56"/>
  <c r="AA58" i="56"/>
  <c r="AA44" i="56"/>
  <c r="AA66" i="56"/>
  <c r="AA32" i="56"/>
  <c r="AA122" i="56"/>
  <c r="AA112" i="56"/>
  <c r="AA92" i="56"/>
  <c r="AA76" i="56"/>
  <c r="AA38" i="56"/>
  <c r="AA30" i="56"/>
  <c r="AA106" i="56"/>
  <c r="AA84" i="56"/>
  <c r="AA90" i="56"/>
  <c r="AA48" i="56"/>
  <c r="AA42" i="56"/>
  <c r="AA52" i="56"/>
  <c r="AA128" i="56"/>
  <c r="AA88" i="56"/>
  <c r="AA74" i="56"/>
  <c r="AA56" i="56"/>
  <c r="AA36" i="56"/>
  <c r="AA102" i="56"/>
  <c r="AA50" i="56"/>
  <c r="AA116" i="56"/>
  <c r="AA104" i="56"/>
  <c r="AA68" i="56"/>
  <c r="AA54" i="56"/>
  <c r="AA46" i="56"/>
  <c r="AA34" i="56"/>
  <c r="AA86" i="56"/>
  <c r="AA40" i="56"/>
  <c r="AA100" i="56"/>
  <c r="AA98" i="56"/>
  <c r="AA82" i="56"/>
  <c r="AA64" i="56"/>
  <c r="AA124" i="56"/>
  <c r="AA108" i="56"/>
  <c r="AA96" i="56"/>
  <c r="AA80" i="56"/>
  <c r="AA62" i="56"/>
  <c r="AK15" i="56"/>
  <c r="AL15" i="56" s="1"/>
  <c r="U36" i="56"/>
  <c r="S38" i="56"/>
  <c r="I48" i="56"/>
  <c r="U56" i="56"/>
  <c r="S80" i="56"/>
  <c r="I84" i="56"/>
  <c r="I86" i="56"/>
  <c r="S96" i="56"/>
  <c r="I102" i="56"/>
  <c r="I104" i="56"/>
  <c r="S108" i="56"/>
  <c r="U112" i="56"/>
  <c r="U116" i="56"/>
  <c r="S122" i="56"/>
  <c r="I38" i="56"/>
  <c r="S44" i="56"/>
  <c r="S98" i="56"/>
  <c r="AM9" i="56"/>
  <c r="AN9" i="56" s="1"/>
  <c r="AT25" i="56"/>
  <c r="U38" i="56"/>
  <c r="I50" i="56"/>
  <c r="S62" i="56"/>
  <c r="S64" i="56"/>
  <c r="U80" i="56"/>
  <c r="S84" i="56"/>
  <c r="S86" i="56"/>
  <c r="I90" i="56"/>
  <c r="U96" i="56"/>
  <c r="S102" i="56"/>
  <c r="S104" i="56"/>
  <c r="U108" i="56"/>
  <c r="S118" i="56"/>
  <c r="U122" i="56"/>
  <c r="I128" i="56"/>
  <c r="I74" i="56"/>
  <c r="S106" i="56"/>
  <c r="I116" i="56"/>
  <c r="AG30" i="56"/>
  <c r="I40" i="56"/>
  <c r="S40" i="56"/>
  <c r="U44" i="56"/>
  <c r="U50" i="56"/>
  <c r="U58" i="56"/>
  <c r="I60" i="56"/>
  <c r="U60" i="56"/>
  <c r="I62" i="56"/>
  <c r="S74" i="56"/>
  <c r="I76" i="56"/>
  <c r="U82" i="56"/>
  <c r="S88" i="56"/>
  <c r="I92" i="56"/>
  <c r="U98" i="56"/>
  <c r="U100" i="56"/>
  <c r="U106" i="56"/>
  <c r="S114" i="56"/>
  <c r="G122" i="56"/>
  <c r="S60" i="56"/>
  <c r="I88" i="56"/>
  <c r="I122" i="56"/>
  <c r="I46" i="56"/>
  <c r="S46" i="56"/>
  <c r="I52" i="56"/>
  <c r="S52" i="56"/>
  <c r="U62" i="56"/>
  <c r="I64" i="56"/>
  <c r="U64" i="56"/>
  <c r="U84" i="56"/>
  <c r="U86" i="56"/>
  <c r="S90" i="56"/>
  <c r="U102" i="56"/>
  <c r="U104" i="56"/>
  <c r="I112" i="56"/>
  <c r="U118" i="56"/>
  <c r="S124" i="56"/>
  <c r="S50" i="56"/>
  <c r="I58" i="56"/>
  <c r="S100" i="56"/>
  <c r="AI21" i="56"/>
  <c r="AJ21" i="56" s="1"/>
  <c r="AT26" i="56"/>
  <c r="U40" i="56"/>
  <c r="S54" i="56"/>
  <c r="S66" i="56"/>
  <c r="S68" i="56"/>
  <c r="U74" i="56"/>
  <c r="S76" i="56"/>
  <c r="I78" i="56"/>
  <c r="U88" i="56"/>
  <c r="S92" i="56"/>
  <c r="I94" i="56"/>
  <c r="I110" i="56"/>
  <c r="U114" i="56"/>
  <c r="U120" i="56"/>
  <c r="AT27" i="56"/>
  <c r="I44" i="56"/>
  <c r="S58" i="56"/>
  <c r="S82" i="56"/>
  <c r="AM6" i="56"/>
  <c r="AN6" i="56" s="1"/>
  <c r="AM8" i="56"/>
  <c r="AN8" i="56" s="1"/>
  <c r="AI11" i="56"/>
  <c r="AJ11" i="56" s="1"/>
  <c r="AM16" i="56"/>
  <c r="AN16" i="56" s="1"/>
  <c r="AK22" i="56"/>
  <c r="AL22" i="56" s="1"/>
  <c r="S36" i="56"/>
  <c r="U46" i="56"/>
  <c r="U52" i="56"/>
  <c r="I54" i="56"/>
  <c r="S56" i="56"/>
  <c r="I66" i="56"/>
  <c r="I68" i="56"/>
  <c r="I80" i="56"/>
  <c r="U90" i="56"/>
  <c r="I96" i="56"/>
  <c r="I108" i="56"/>
  <c r="S112" i="56"/>
  <c r="S116" i="56"/>
  <c r="D126" i="56"/>
  <c r="D116" i="56"/>
  <c r="D94" i="56"/>
  <c r="D46" i="56"/>
  <c r="D64" i="56"/>
  <c r="D58" i="56"/>
  <c r="D38" i="56"/>
  <c r="D82" i="56"/>
  <c r="D118" i="56"/>
  <c r="D114" i="56"/>
  <c r="D50" i="56"/>
  <c r="D124" i="56"/>
  <c r="D110" i="56"/>
  <c r="D62" i="56"/>
  <c r="D48" i="56"/>
  <c r="D120" i="56"/>
  <c r="D122" i="56"/>
  <c r="D108" i="56"/>
  <c r="D76" i="56"/>
  <c r="D68" i="56"/>
  <c r="D56" i="56"/>
  <c r="D52" i="56"/>
  <c r="D44" i="56"/>
  <c r="D36" i="56"/>
  <c r="D60" i="56"/>
  <c r="D42" i="56"/>
  <c r="D84" i="56"/>
  <c r="D78" i="56"/>
  <c r="D40" i="56"/>
  <c r="D128" i="56"/>
  <c r="D100" i="56"/>
  <c r="D90" i="56"/>
  <c r="D74" i="56"/>
  <c r="D66" i="56"/>
  <c r="D54" i="56"/>
  <c r="E54" i="56"/>
  <c r="E66" i="56"/>
  <c r="E74" i="56"/>
  <c r="E90" i="56"/>
  <c r="F94" i="56"/>
  <c r="E100" i="56"/>
  <c r="F40" i="56"/>
  <c r="E60" i="56"/>
  <c r="E80" i="56"/>
  <c r="E86" i="56"/>
  <c r="F96" i="56"/>
  <c r="F104" i="56"/>
  <c r="E106" i="56"/>
  <c r="E120" i="56"/>
  <c r="F114" i="56"/>
  <c r="E36" i="56"/>
  <c r="E44" i="56"/>
  <c r="E52" i="56"/>
  <c r="E56" i="56"/>
  <c r="E76" i="56"/>
  <c r="F80" i="56"/>
  <c r="F86" i="56"/>
  <c r="E92" i="56"/>
  <c r="F52" i="56"/>
  <c r="F76" i="56"/>
  <c r="F92" i="56"/>
  <c r="F108" i="56"/>
  <c r="F88" i="56"/>
  <c r="F98" i="56"/>
  <c r="F110" i="56"/>
  <c r="F112" i="56"/>
  <c r="AK10" i="56"/>
  <c r="AL10" i="56" s="1"/>
  <c r="AI10" i="56"/>
  <c r="AJ10" i="56" s="1"/>
  <c r="AM10" i="56"/>
  <c r="AN10" i="56" s="1"/>
  <c r="AI17" i="56"/>
  <c r="AJ17" i="56" s="1"/>
  <c r="AM17" i="56"/>
  <c r="AN17" i="56" s="1"/>
  <c r="AK17" i="56"/>
  <c r="AL17" i="56" s="1"/>
  <c r="AT19" i="56"/>
  <c r="AK7" i="56"/>
  <c r="AL7" i="56" s="1"/>
  <c r="AI7" i="56"/>
  <c r="AJ7" i="56" s="1"/>
  <c r="AM7" i="56"/>
  <c r="AN7" i="56" s="1"/>
  <c r="AK13" i="56"/>
  <c r="AL13" i="56" s="1"/>
  <c r="AI13" i="56"/>
  <c r="AJ13" i="56" s="1"/>
  <c r="AM13" i="56"/>
  <c r="AN13" i="56" s="1"/>
  <c r="AK4" i="56"/>
  <c r="AL4" i="56" s="1"/>
  <c r="AI4" i="56"/>
  <c r="AJ4" i="56" s="1"/>
  <c r="AM4" i="56"/>
  <c r="AN4" i="56" s="1"/>
  <c r="X18" i="56"/>
  <c r="AM19" i="56"/>
  <c r="AN19" i="56" s="1"/>
  <c r="AM21" i="56"/>
  <c r="AN21" i="56" s="1"/>
  <c r="AK23" i="56"/>
  <c r="AL23" i="56" s="1"/>
  <c r="AI24" i="56"/>
  <c r="AJ24" i="56" s="1"/>
  <c r="AG27" i="56"/>
  <c r="AK9" i="56"/>
  <c r="AL9" i="56" s="1"/>
  <c r="AK11" i="56"/>
  <c r="AL11" i="56" s="1"/>
  <c r="AI18" i="56"/>
  <c r="AJ18" i="56" s="1"/>
  <c r="AK20" i="56"/>
  <c r="AL20" i="56" s="1"/>
  <c r="AT24" i="56"/>
  <c r="AT28" i="56"/>
  <c r="AM31" i="56"/>
  <c r="AN31" i="56" s="1"/>
  <c r="W66" i="56"/>
  <c r="J124" i="56"/>
  <c r="J60" i="56"/>
  <c r="J114" i="56"/>
  <c r="J66" i="56"/>
  <c r="J120" i="56"/>
  <c r="J126" i="56"/>
  <c r="J116" i="56"/>
  <c r="J128" i="56"/>
  <c r="J68" i="56"/>
  <c r="J50" i="56"/>
  <c r="J40" i="56"/>
  <c r="J62" i="56"/>
  <c r="J56" i="56"/>
  <c r="J46" i="56"/>
  <c r="J122" i="56"/>
  <c r="J52" i="56"/>
  <c r="J38" i="56"/>
  <c r="V6" i="56"/>
  <c r="AM11" i="56"/>
  <c r="AN11" i="56" s="1"/>
  <c r="AM12" i="56"/>
  <c r="AN12" i="56" s="1"/>
  <c r="W14" i="56"/>
  <c r="V22" i="56"/>
  <c r="AI25" i="56"/>
  <c r="AJ25" i="56" s="1"/>
  <c r="AM28" i="56"/>
  <c r="AN28" i="56" s="1"/>
  <c r="AT30" i="56"/>
  <c r="AT31" i="56"/>
  <c r="J36" i="56"/>
  <c r="J48" i="56"/>
  <c r="W52" i="56"/>
  <c r="J64" i="56"/>
  <c r="N66" i="56"/>
  <c r="AG98" i="56"/>
  <c r="V114" i="56"/>
  <c r="X128" i="56"/>
  <c r="X64" i="56"/>
  <c r="X118" i="56"/>
  <c r="X124" i="56"/>
  <c r="X114" i="56"/>
  <c r="X120" i="56"/>
  <c r="X116" i="56"/>
  <c r="X38" i="56"/>
  <c r="X122" i="56"/>
  <c r="X58" i="56"/>
  <c r="X54" i="56"/>
  <c r="X44" i="56"/>
  <c r="X22" i="56"/>
  <c r="X50" i="56"/>
  <c r="X20" i="56"/>
  <c r="X126" i="56"/>
  <c r="X40" i="56"/>
  <c r="X52" i="56"/>
  <c r="X42" i="56"/>
  <c r="X36" i="56"/>
  <c r="D98" i="56"/>
  <c r="D102" i="56"/>
  <c r="D86" i="56"/>
  <c r="D104" i="56"/>
  <c r="D88" i="56"/>
  <c r="D112" i="56"/>
  <c r="D106" i="56"/>
  <c r="D80" i="56"/>
  <c r="D92" i="56"/>
  <c r="AK25" i="56"/>
  <c r="AL25" i="56" s="1"/>
  <c r="G74" i="56"/>
  <c r="G78" i="56"/>
  <c r="G82" i="56"/>
  <c r="O122" i="56"/>
  <c r="O58" i="56"/>
  <c r="O128" i="56"/>
  <c r="O64" i="56"/>
  <c r="O118" i="56"/>
  <c r="O124" i="56"/>
  <c r="O114" i="56"/>
  <c r="O126" i="56"/>
  <c r="O48" i="56"/>
  <c r="O38" i="56"/>
  <c r="O54" i="56"/>
  <c r="O44" i="56"/>
  <c r="O116" i="56"/>
  <c r="O50" i="56"/>
  <c r="O120" i="56"/>
  <c r="O52" i="56"/>
  <c r="F116" i="56"/>
  <c r="F68" i="56"/>
  <c r="F122" i="56"/>
  <c r="F128" i="56"/>
  <c r="F118" i="56"/>
  <c r="F124" i="56"/>
  <c r="F120" i="56"/>
  <c r="F42" i="56"/>
  <c r="F36" i="56"/>
  <c r="F58" i="56"/>
  <c r="F48" i="56"/>
  <c r="F64" i="56"/>
  <c r="F38" i="56"/>
  <c r="F54" i="56"/>
  <c r="F44" i="56"/>
  <c r="F62" i="56"/>
  <c r="F56" i="56"/>
  <c r="F46" i="56"/>
  <c r="AI5" i="56"/>
  <c r="AJ5" i="56" s="1"/>
  <c r="X8" i="56"/>
  <c r="AI8" i="56"/>
  <c r="AJ8" i="56" s="1"/>
  <c r="W10" i="56"/>
  <c r="X12" i="56"/>
  <c r="AI12" i="56"/>
  <c r="AJ12" i="56" s="1"/>
  <c r="AK14" i="56"/>
  <c r="AL14" i="56" s="1"/>
  <c r="AK16" i="56"/>
  <c r="AL16" i="56" s="1"/>
  <c r="AG19" i="56"/>
  <c r="AT20" i="56"/>
  <c r="AT21" i="56"/>
  <c r="AM24" i="56"/>
  <c r="AN24" i="56" s="1"/>
  <c r="W26" i="56"/>
  <c r="AI26" i="56"/>
  <c r="AJ26" i="56" s="1"/>
  <c r="X28" i="56"/>
  <c r="AM29" i="56"/>
  <c r="AN29" i="56" s="1"/>
  <c r="AK29" i="56"/>
  <c r="AL29" i="56" s="1"/>
  <c r="AM30" i="56"/>
  <c r="AN30" i="56" s="1"/>
  <c r="W36" i="56"/>
  <c r="J42" i="56"/>
  <c r="F50" i="56"/>
  <c r="O60" i="56"/>
  <c r="V116" i="56"/>
  <c r="V68" i="56"/>
  <c r="V52" i="56"/>
  <c r="V122" i="56"/>
  <c r="V128" i="56"/>
  <c r="V118" i="56"/>
  <c r="V124" i="56"/>
  <c r="V120" i="56"/>
  <c r="V42" i="56"/>
  <c r="V36" i="56"/>
  <c r="V28" i="56"/>
  <c r="V60" i="56"/>
  <c r="V48" i="56"/>
  <c r="V26" i="56"/>
  <c r="V58" i="56"/>
  <c r="V38" i="56"/>
  <c r="V24" i="56"/>
  <c r="V54" i="56"/>
  <c r="V44" i="56"/>
  <c r="V66" i="56"/>
  <c r="V62" i="56"/>
  <c r="V56" i="56"/>
  <c r="V46" i="56"/>
  <c r="V32" i="56"/>
  <c r="AG21" i="56"/>
  <c r="AT29" i="56"/>
  <c r="W122" i="56"/>
  <c r="W58" i="56"/>
  <c r="W128" i="56"/>
  <c r="W64" i="56"/>
  <c r="W118" i="56"/>
  <c r="W124" i="56"/>
  <c r="W114" i="56"/>
  <c r="W126" i="56"/>
  <c r="W60" i="56"/>
  <c r="W48" i="56"/>
  <c r="W38" i="56"/>
  <c r="W24" i="56"/>
  <c r="W54" i="56"/>
  <c r="W44" i="56"/>
  <c r="W22" i="56"/>
  <c r="W120" i="56"/>
  <c r="W50" i="56"/>
  <c r="W116" i="56"/>
  <c r="W34" i="56"/>
  <c r="W30" i="56"/>
  <c r="AK6" i="56"/>
  <c r="AL6" i="56" s="1"/>
  <c r="X10" i="56"/>
  <c r="AM14" i="56"/>
  <c r="AN14" i="56" s="1"/>
  <c r="AM15" i="56"/>
  <c r="AN15" i="56" s="1"/>
  <c r="V16" i="56"/>
  <c r="AK18" i="56"/>
  <c r="AL18" i="56" s="1"/>
  <c r="AI20" i="56"/>
  <c r="AJ20" i="56" s="1"/>
  <c r="AT22" i="56"/>
  <c r="AT23" i="56"/>
  <c r="X26" i="56"/>
  <c r="AK28" i="56"/>
  <c r="AL28" i="56" s="1"/>
  <c r="AG29" i="56"/>
  <c r="AK31" i="56"/>
  <c r="AL31" i="56" s="1"/>
  <c r="W32" i="56"/>
  <c r="O36" i="56"/>
  <c r="J54" i="56"/>
  <c r="O56" i="56"/>
  <c r="X56" i="56"/>
  <c r="F60" i="56"/>
  <c r="W62" i="56"/>
  <c r="W68" i="56"/>
  <c r="AK74" i="56"/>
  <c r="AL74" i="56" s="1"/>
  <c r="V126" i="56"/>
  <c r="N116" i="56"/>
  <c r="N68" i="56"/>
  <c r="N122" i="56"/>
  <c r="N128" i="56"/>
  <c r="N118" i="56"/>
  <c r="N124" i="56"/>
  <c r="N120" i="56"/>
  <c r="N126" i="56"/>
  <c r="N114" i="56"/>
  <c r="N60" i="56"/>
  <c r="N42" i="56"/>
  <c r="N36" i="56"/>
  <c r="N58" i="56"/>
  <c r="N48" i="56"/>
  <c r="N38" i="56"/>
  <c r="N64" i="56"/>
  <c r="N54" i="56"/>
  <c r="N44" i="56"/>
  <c r="N62" i="56"/>
  <c r="N56" i="56"/>
  <c r="N46" i="56"/>
  <c r="X6" i="56"/>
  <c r="AI6" i="56"/>
  <c r="AJ6" i="56" s="1"/>
  <c r="AM22" i="56"/>
  <c r="AN22" i="56" s="1"/>
  <c r="AI28" i="56"/>
  <c r="AJ28" i="56" s="1"/>
  <c r="AG28" i="56"/>
  <c r="AG26" i="56"/>
  <c r="AG23" i="56"/>
  <c r="AM26" i="56"/>
  <c r="AN26" i="56" s="1"/>
  <c r="AK5" i="56"/>
  <c r="AL5" i="56" s="1"/>
  <c r="AK8" i="56"/>
  <c r="AL8" i="56" s="1"/>
  <c r="W16" i="56"/>
  <c r="V18" i="56"/>
  <c r="AG20" i="56"/>
  <c r="AK21" i="56"/>
  <c r="AL21" i="56" s="1"/>
  <c r="AI22" i="56"/>
  <c r="AJ22" i="56" s="1"/>
  <c r="AI23" i="56"/>
  <c r="AJ23" i="56" s="1"/>
  <c r="AM25" i="56"/>
  <c r="AN25" i="56" s="1"/>
  <c r="AK26" i="56"/>
  <c r="AL26" i="56" s="1"/>
  <c r="V30" i="56"/>
  <c r="AI30" i="56"/>
  <c r="AJ30" i="56" s="1"/>
  <c r="AG31" i="56"/>
  <c r="X32" i="56"/>
  <c r="O62" i="56"/>
  <c r="X62" i="56"/>
  <c r="O68" i="56"/>
  <c r="X68" i="56"/>
  <c r="F126" i="56"/>
  <c r="F102" i="56"/>
  <c r="F74" i="56"/>
  <c r="F106" i="56"/>
  <c r="F90" i="56"/>
  <c r="F100" i="56"/>
  <c r="F84" i="56"/>
  <c r="AI19" i="56"/>
  <c r="AJ19" i="56" s="1"/>
  <c r="X34" i="56"/>
  <c r="X46" i="56"/>
  <c r="X48" i="56"/>
  <c r="D96" i="56"/>
  <c r="AK12" i="56"/>
  <c r="AL12" i="56" s="1"/>
  <c r="X16" i="56"/>
  <c r="AI16" i="56"/>
  <c r="AJ16" i="56" s="1"/>
  <c r="W18" i="56"/>
  <c r="V20" i="56"/>
  <c r="AG22" i="56"/>
  <c r="AG24" i="56"/>
  <c r="AG25" i="56"/>
  <c r="AM27" i="56"/>
  <c r="AN27" i="56" s="1"/>
  <c r="AK27" i="56"/>
  <c r="AL27" i="56" s="1"/>
  <c r="AI29" i="56"/>
  <c r="AJ29" i="56" s="1"/>
  <c r="X30" i="56"/>
  <c r="AG36" i="56"/>
  <c r="AG34" i="56" s="1"/>
  <c r="N40" i="56"/>
  <c r="V40" i="56"/>
  <c r="W42" i="56"/>
  <c r="AM74" i="56"/>
  <c r="AN74" i="56" s="1"/>
  <c r="F78" i="56"/>
  <c r="AK30" i="56"/>
  <c r="AL30" i="56" s="1"/>
  <c r="AI31" i="56"/>
  <c r="AJ31" i="56" s="1"/>
  <c r="AI74" i="56"/>
  <c r="AJ74" i="56" s="1"/>
  <c r="AG100" i="56"/>
  <c r="P128" i="56"/>
  <c r="P64" i="56"/>
  <c r="P118" i="56"/>
  <c r="P124" i="56"/>
  <c r="P114" i="56"/>
  <c r="P120" i="56"/>
  <c r="P116" i="56"/>
  <c r="Z124" i="56"/>
  <c r="Z108" i="56"/>
  <c r="Z94" i="56"/>
  <c r="Z78" i="56"/>
  <c r="Z60" i="56"/>
  <c r="Z114" i="56"/>
  <c r="Z96" i="56"/>
  <c r="Z80" i="56"/>
  <c r="Z66" i="56"/>
  <c r="Z120" i="56"/>
  <c r="Z98" i="56"/>
  <c r="Z82" i="56"/>
  <c r="Z126" i="56"/>
  <c r="Z110" i="56"/>
  <c r="Z100" i="56"/>
  <c r="Z84" i="56"/>
  <c r="Z116" i="56"/>
  <c r="Z102" i="56"/>
  <c r="Z86" i="56"/>
  <c r="Z128" i="56"/>
  <c r="Z112" i="56"/>
  <c r="H128" i="56"/>
  <c r="H64" i="56"/>
  <c r="H118" i="56"/>
  <c r="H124" i="56"/>
  <c r="H114" i="56"/>
  <c r="H120" i="56"/>
  <c r="H116" i="56"/>
  <c r="R124" i="56"/>
  <c r="R60" i="56"/>
  <c r="R114" i="56"/>
  <c r="R66" i="56"/>
  <c r="R120" i="56"/>
  <c r="R126" i="56"/>
  <c r="R116" i="56"/>
  <c r="R128" i="56"/>
  <c r="AG106" i="56"/>
  <c r="AG105" i="56" s="1"/>
  <c r="E126" i="56"/>
  <c r="E62" i="56"/>
  <c r="E116" i="56"/>
  <c r="E68" i="56"/>
  <c r="E122" i="56"/>
  <c r="E128" i="56"/>
  <c r="E118" i="56"/>
  <c r="E114" i="56"/>
  <c r="I126" i="56"/>
  <c r="Q126" i="56"/>
  <c r="Y126" i="56"/>
  <c r="I120" i="56"/>
  <c r="Q120" i="56"/>
  <c r="Y120" i="56"/>
  <c r="G124" i="56"/>
  <c r="AG101" i="56"/>
  <c r="I114" i="56"/>
  <c r="Q114" i="56"/>
  <c r="Y114" i="56"/>
  <c r="G118" i="56"/>
  <c r="K126" i="56"/>
  <c r="S126" i="56"/>
  <c r="AA126" i="56"/>
  <c r="AG99" i="56"/>
  <c r="AA120" i="56"/>
  <c r="I124" i="56"/>
  <c r="Q124" i="56"/>
  <c r="Y124" i="56"/>
  <c r="G128" i="56"/>
  <c r="B127" i="55"/>
  <c r="B125" i="55"/>
  <c r="B123" i="55"/>
  <c r="B121" i="55"/>
  <c r="B119" i="55"/>
  <c r="B117" i="55"/>
  <c r="B115" i="55"/>
  <c r="B113" i="55"/>
  <c r="B111" i="55"/>
  <c r="B109" i="55"/>
  <c r="B107" i="55"/>
  <c r="B105" i="55"/>
  <c r="B103" i="55"/>
  <c r="B101" i="55"/>
  <c r="B99" i="55"/>
  <c r="B97" i="55"/>
  <c r="B95" i="55"/>
  <c r="B93" i="55"/>
  <c r="B91" i="55"/>
  <c r="B89" i="55"/>
  <c r="B87" i="55"/>
  <c r="B85" i="55"/>
  <c r="B83" i="55"/>
  <c r="B81" i="55"/>
  <c r="B79" i="55"/>
  <c r="B77" i="55"/>
  <c r="B75" i="55"/>
  <c r="B73" i="55"/>
  <c r="AF93" i="55"/>
  <c r="AF88" i="55"/>
  <c r="AF85" i="55"/>
  <c r="AF83" i="55"/>
  <c r="AF76" i="55"/>
  <c r="AF77" i="55"/>
  <c r="AF84" i="55"/>
  <c r="AF80" i="55"/>
  <c r="AF92" i="55"/>
  <c r="AF91" i="55"/>
  <c r="AF78" i="55"/>
  <c r="AF86" i="55"/>
  <c r="AF75" i="55"/>
  <c r="AF90" i="55"/>
  <c r="AF89" i="55"/>
  <c r="AF87" i="55"/>
  <c r="AF74" i="55"/>
  <c r="AF81" i="55"/>
  <c r="AF82" i="55"/>
  <c r="AF79" i="55"/>
  <c r="Z148" i="55"/>
  <c r="Z147" i="55" s="1"/>
  <c r="Y148" i="55"/>
  <c r="Y147" i="55" s="1"/>
  <c r="X148" i="55"/>
  <c r="X147" i="55" s="1"/>
  <c r="W148" i="55"/>
  <c r="V148" i="55"/>
  <c r="V147" i="55" s="1"/>
  <c r="U148" i="55"/>
  <c r="U147" i="55" s="1"/>
  <c r="T148" i="55"/>
  <c r="T147" i="55" s="1"/>
  <c r="S148" i="55"/>
  <c r="S147" i="55" s="1"/>
  <c r="R148" i="55"/>
  <c r="R147" i="55" s="1"/>
  <c r="Q148" i="55"/>
  <c r="Q147" i="55" s="1"/>
  <c r="P148" i="55"/>
  <c r="P147" i="55" s="1"/>
  <c r="O148" i="55"/>
  <c r="O147" i="55" s="1"/>
  <c r="N148" i="55"/>
  <c r="N147" i="55" s="1"/>
  <c r="M148" i="55"/>
  <c r="M147" i="55" s="1"/>
  <c r="L148" i="55"/>
  <c r="L147" i="55" s="1"/>
  <c r="K148" i="55"/>
  <c r="K147" i="55" s="1"/>
  <c r="J148" i="55"/>
  <c r="J147" i="55" s="1"/>
  <c r="J32" i="55" s="1"/>
  <c r="I148" i="55"/>
  <c r="I147" i="55" s="1"/>
  <c r="H148" i="55"/>
  <c r="H147" i="55" s="1"/>
  <c r="G148" i="55"/>
  <c r="G147" i="55" s="1"/>
  <c r="F148" i="55"/>
  <c r="F147" i="55" s="1"/>
  <c r="E148" i="55"/>
  <c r="E147" i="55" s="1"/>
  <c r="D148" i="55"/>
  <c r="D147" i="55" s="1"/>
  <c r="AB147" i="55"/>
  <c r="AA147" i="55"/>
  <c r="W147" i="55"/>
  <c r="Z143" i="55"/>
  <c r="Z142" i="55" s="1"/>
  <c r="Y143" i="55"/>
  <c r="X143" i="55"/>
  <c r="X142" i="55" s="1"/>
  <c r="W143" i="55"/>
  <c r="W142" i="55" s="1"/>
  <c r="V143" i="55"/>
  <c r="V142" i="55" s="1"/>
  <c r="U143" i="55"/>
  <c r="U142" i="55" s="1"/>
  <c r="T143" i="55"/>
  <c r="T142" i="55" s="1"/>
  <c r="S143" i="55"/>
  <c r="S142" i="55" s="1"/>
  <c r="R143" i="55"/>
  <c r="R142" i="55" s="1"/>
  <c r="Q143" i="55"/>
  <c r="Q142" i="55" s="1"/>
  <c r="P143" i="55"/>
  <c r="P142" i="55" s="1"/>
  <c r="O143" i="55"/>
  <c r="O142" i="55" s="1"/>
  <c r="N143" i="55"/>
  <c r="N142" i="55" s="1"/>
  <c r="M143" i="55"/>
  <c r="M142" i="55" s="1"/>
  <c r="L143" i="55"/>
  <c r="L142" i="55" s="1"/>
  <c r="K143" i="55"/>
  <c r="K142" i="55" s="1"/>
  <c r="K76" i="55" s="1"/>
  <c r="J143" i="55"/>
  <c r="J142" i="55" s="1"/>
  <c r="I143" i="55"/>
  <c r="I142" i="55" s="1"/>
  <c r="I6" i="55" s="1"/>
  <c r="H143" i="55"/>
  <c r="H142" i="55" s="1"/>
  <c r="G143" i="55"/>
  <c r="G142" i="55" s="1"/>
  <c r="F143" i="55"/>
  <c r="F142" i="55" s="1"/>
  <c r="E143" i="55"/>
  <c r="E142" i="55" s="1"/>
  <c r="D143" i="55"/>
  <c r="D142" i="55" s="1"/>
  <c r="AB142" i="55"/>
  <c r="AA142" i="55"/>
  <c r="Y142" i="55"/>
  <c r="AC137" i="55"/>
  <c r="AC136" i="55" s="1"/>
  <c r="AB137" i="55"/>
  <c r="AB136" i="55" s="1"/>
  <c r="AB92" i="55" s="1"/>
  <c r="AA137" i="55"/>
  <c r="AA136" i="55" s="1"/>
  <c r="AA112" i="55" s="1"/>
  <c r="Z137" i="55"/>
  <c r="Z136" i="55" s="1"/>
  <c r="Y137" i="55"/>
  <c r="Y136" i="55" s="1"/>
  <c r="Y116" i="55" s="1"/>
  <c r="X137" i="55"/>
  <c r="X136" i="55" s="1"/>
  <c r="X40" i="55" s="1"/>
  <c r="W137" i="55"/>
  <c r="W136" i="55" s="1"/>
  <c r="W100" i="55" s="1"/>
  <c r="V137" i="55"/>
  <c r="V136" i="55" s="1"/>
  <c r="V104" i="55" s="1"/>
  <c r="U137" i="55"/>
  <c r="U136" i="55" s="1"/>
  <c r="U106" i="55" s="1"/>
  <c r="T137" i="55"/>
  <c r="T136" i="55" s="1"/>
  <c r="T114" i="55" s="1"/>
  <c r="S137" i="55"/>
  <c r="S136" i="55" s="1"/>
  <c r="S128" i="55" s="1"/>
  <c r="R137" i="55"/>
  <c r="R136" i="55" s="1"/>
  <c r="R112" i="55" s="1"/>
  <c r="Q137" i="55"/>
  <c r="Q136" i="55" s="1"/>
  <c r="Q62" i="55" s="1"/>
  <c r="P137" i="55"/>
  <c r="P136" i="55" s="1"/>
  <c r="P52" i="55" s="1"/>
  <c r="O137" i="55"/>
  <c r="O136" i="55" s="1"/>
  <c r="O108" i="55" s="1"/>
  <c r="N137" i="55"/>
  <c r="N136" i="55" s="1"/>
  <c r="N104" i="55" s="1"/>
  <c r="M137" i="55"/>
  <c r="M136" i="55" s="1"/>
  <c r="M104" i="55" s="1"/>
  <c r="L137" i="55"/>
  <c r="L136" i="55" s="1"/>
  <c r="L114" i="55" s="1"/>
  <c r="K137" i="55"/>
  <c r="K136" i="55" s="1"/>
  <c r="K66" i="55" s="1"/>
  <c r="J137" i="55"/>
  <c r="J136" i="55" s="1"/>
  <c r="J76" i="55" s="1"/>
  <c r="I137" i="55"/>
  <c r="I136" i="55" s="1"/>
  <c r="I128" i="55" s="1"/>
  <c r="H137" i="55"/>
  <c r="H136" i="55" s="1"/>
  <c r="H52" i="55" s="1"/>
  <c r="G137" i="55"/>
  <c r="G136" i="55" s="1"/>
  <c r="G88" i="55" s="1"/>
  <c r="F137" i="55"/>
  <c r="F136" i="55" s="1"/>
  <c r="F104" i="55" s="1"/>
  <c r="E137" i="55"/>
  <c r="E136" i="55" s="1"/>
  <c r="E32" i="55" s="1"/>
  <c r="D137" i="55"/>
  <c r="D136" i="55" s="1"/>
  <c r="D66" i="55" s="1"/>
  <c r="K112" i="55"/>
  <c r="R110" i="55"/>
  <c r="O110" i="55"/>
  <c r="K110" i="55"/>
  <c r="J110" i="55"/>
  <c r="J106" i="55"/>
  <c r="S104" i="55"/>
  <c r="R104" i="55"/>
  <c r="AF103" i="55"/>
  <c r="AH103" i="55" s="1"/>
  <c r="S102" i="55"/>
  <c r="R102" i="55"/>
  <c r="AF101" i="55"/>
  <c r="AF100" i="55"/>
  <c r="S100" i="55"/>
  <c r="Q100" i="55"/>
  <c r="J100" i="55"/>
  <c r="AF99" i="55"/>
  <c r="AF98" i="55"/>
  <c r="K98" i="55"/>
  <c r="J98" i="55"/>
  <c r="AF97" i="55"/>
  <c r="AF96" i="55"/>
  <c r="R96" i="55"/>
  <c r="O96" i="55"/>
  <c r="I96" i="55"/>
  <c r="AF95" i="55"/>
  <c r="AF94" i="55"/>
  <c r="R94" i="55"/>
  <c r="J94" i="55"/>
  <c r="R92" i="55"/>
  <c r="O92" i="55"/>
  <c r="S90" i="55"/>
  <c r="R90" i="55"/>
  <c r="J90" i="55"/>
  <c r="R88" i="55"/>
  <c r="Y86" i="55"/>
  <c r="R86" i="55"/>
  <c r="J86" i="55"/>
  <c r="S84" i="55"/>
  <c r="R84" i="55"/>
  <c r="X82" i="55"/>
  <c r="S82" i="55"/>
  <c r="R82" i="55"/>
  <c r="R80" i="55"/>
  <c r="R78" i="55"/>
  <c r="K78" i="55"/>
  <c r="J78" i="55"/>
  <c r="R76" i="55"/>
  <c r="A75" i="55"/>
  <c r="A77" i="55" s="1"/>
  <c r="A79" i="55" s="1"/>
  <c r="A81" i="55" s="1"/>
  <c r="A83" i="55" s="1"/>
  <c r="A85" i="55" s="1"/>
  <c r="A87" i="55" s="1"/>
  <c r="A89" i="55" s="1"/>
  <c r="A91" i="55" s="1"/>
  <c r="A93" i="55" s="1"/>
  <c r="A95" i="55" s="1"/>
  <c r="A97" i="55" s="1"/>
  <c r="A99" i="55" s="1"/>
  <c r="A101" i="55" s="1"/>
  <c r="A103" i="55" s="1"/>
  <c r="A105" i="55" s="1"/>
  <c r="A107" i="55" s="1"/>
  <c r="A109" i="55" s="1"/>
  <c r="A111" i="55" s="1"/>
  <c r="A113" i="55" s="1"/>
  <c r="A115" i="55" s="1"/>
  <c r="A117" i="55" s="1"/>
  <c r="A119" i="55" s="1"/>
  <c r="A121" i="55" s="1"/>
  <c r="A123" i="55" s="1"/>
  <c r="A125" i="55" s="1"/>
  <c r="A127" i="55" s="1"/>
  <c r="R74" i="55"/>
  <c r="J74" i="55"/>
  <c r="AM73" i="55"/>
  <c r="AK73" i="55"/>
  <c r="AI73" i="55"/>
  <c r="B67" i="55"/>
  <c r="B65" i="55"/>
  <c r="Q64" i="55"/>
  <c r="B63" i="55"/>
  <c r="B61" i="55"/>
  <c r="B59" i="55"/>
  <c r="I58" i="55"/>
  <c r="B57" i="55"/>
  <c r="I56" i="55"/>
  <c r="B55" i="55"/>
  <c r="B53" i="55"/>
  <c r="B51" i="55"/>
  <c r="B49" i="55"/>
  <c r="B47" i="55"/>
  <c r="B45" i="55"/>
  <c r="AA44" i="55"/>
  <c r="B43" i="55"/>
  <c r="B41" i="55"/>
  <c r="Y40" i="55"/>
  <c r="B39" i="55"/>
  <c r="B37" i="55"/>
  <c r="B35" i="55"/>
  <c r="R34" i="55"/>
  <c r="J34" i="55"/>
  <c r="I34" i="55"/>
  <c r="AF33" i="55"/>
  <c r="AH33" i="55" s="1"/>
  <c r="B33" i="55"/>
  <c r="R32" i="55"/>
  <c r="AF31" i="55"/>
  <c r="B31" i="55"/>
  <c r="AF30" i="55"/>
  <c r="R30" i="55"/>
  <c r="J30" i="55"/>
  <c r="AF29" i="55"/>
  <c r="B29" i="55"/>
  <c r="AF28" i="55"/>
  <c r="AB28" i="55"/>
  <c r="R28" i="55"/>
  <c r="P28" i="55"/>
  <c r="J28" i="55"/>
  <c r="AF27" i="55"/>
  <c r="B27" i="55"/>
  <c r="AF26" i="55"/>
  <c r="AB26" i="55"/>
  <c r="S26" i="55"/>
  <c r="R26" i="55"/>
  <c r="J26" i="55"/>
  <c r="AF25" i="55"/>
  <c r="B25" i="55"/>
  <c r="AF24" i="55"/>
  <c r="S24" i="55"/>
  <c r="R24" i="55"/>
  <c r="J24" i="55"/>
  <c r="AF23" i="55"/>
  <c r="B23" i="55"/>
  <c r="AF22" i="55"/>
  <c r="AA22" i="55"/>
  <c r="R22" i="55"/>
  <c r="Q22" i="55"/>
  <c r="J22" i="55"/>
  <c r="AF21" i="55"/>
  <c r="B21" i="55"/>
  <c r="AF20" i="55"/>
  <c r="AA20" i="55"/>
  <c r="U20" i="55"/>
  <c r="S20" i="55"/>
  <c r="R20" i="55"/>
  <c r="J20" i="55"/>
  <c r="AF19" i="55"/>
  <c r="B19" i="55"/>
  <c r="AF7" i="55"/>
  <c r="T18" i="55"/>
  <c r="R18" i="55"/>
  <c r="AF5" i="55"/>
  <c r="B17" i="55"/>
  <c r="AF18" i="55"/>
  <c r="AA16" i="55"/>
  <c r="R16" i="55"/>
  <c r="AF15" i="55"/>
  <c r="B15" i="55"/>
  <c r="AF6" i="55"/>
  <c r="AA14" i="55"/>
  <c r="R14" i="55"/>
  <c r="J14" i="55"/>
  <c r="AF4" i="55"/>
  <c r="B13" i="55"/>
  <c r="AF14" i="55"/>
  <c r="AA12" i="55"/>
  <c r="S12" i="55"/>
  <c r="R12" i="55"/>
  <c r="AF9" i="55"/>
  <c r="B11" i="55"/>
  <c r="AF17" i="55"/>
  <c r="AA10" i="55"/>
  <c r="S10" i="55"/>
  <c r="R10" i="55"/>
  <c r="AF12" i="55"/>
  <c r="B9" i="55"/>
  <c r="AF13" i="55"/>
  <c r="AA8" i="55"/>
  <c r="S8" i="55"/>
  <c r="R8" i="55"/>
  <c r="AF10" i="55"/>
  <c r="B7" i="55"/>
  <c r="A7" i="55"/>
  <c r="A9" i="55" s="1"/>
  <c r="A11" i="55" s="1"/>
  <c r="A13" i="55" s="1"/>
  <c r="A15" i="55" s="1"/>
  <c r="A17" i="55" s="1"/>
  <c r="A19" i="55" s="1"/>
  <c r="A21" i="55" s="1"/>
  <c r="A23" i="55" s="1"/>
  <c r="A25" i="55" s="1"/>
  <c r="A27" i="55" s="1"/>
  <c r="A29" i="55" s="1"/>
  <c r="A31" i="55" s="1"/>
  <c r="A33" i="55" s="1"/>
  <c r="A35" i="55" s="1"/>
  <c r="A37" i="55" s="1"/>
  <c r="A39" i="55" s="1"/>
  <c r="A41" i="55" s="1"/>
  <c r="A43" i="55" s="1"/>
  <c r="A45" i="55" s="1"/>
  <c r="A47" i="55" s="1"/>
  <c r="A49" i="55" s="1"/>
  <c r="A51" i="55" s="1"/>
  <c r="A53" i="55" s="1"/>
  <c r="A55" i="55" s="1"/>
  <c r="A57" i="55" s="1"/>
  <c r="A59" i="55" s="1"/>
  <c r="A61" i="55" s="1"/>
  <c r="A63" i="55" s="1"/>
  <c r="A65" i="55" s="1"/>
  <c r="A67" i="55" s="1"/>
  <c r="AF16" i="55"/>
  <c r="AA6" i="55"/>
  <c r="S6" i="55"/>
  <c r="R6" i="55"/>
  <c r="K6" i="55"/>
  <c r="J6" i="55"/>
  <c r="AF8" i="55"/>
  <c r="B5" i="55"/>
  <c r="AF11" i="55"/>
  <c r="AM3" i="55"/>
  <c r="AK3" i="55"/>
  <c r="AI3" i="55"/>
  <c r="AF88" i="26"/>
  <c r="AG88" i="26" s="1"/>
  <c r="AF98" i="26"/>
  <c r="AG98" i="26" s="1"/>
  <c r="AF92" i="26"/>
  <c r="AG92" i="26" s="1"/>
  <c r="AF86" i="26"/>
  <c r="AG86" i="26" s="1"/>
  <c r="AF109" i="26"/>
  <c r="AG109" i="26" s="1"/>
  <c r="AF108" i="26"/>
  <c r="AG108" i="26" s="1"/>
  <c r="AF77" i="26"/>
  <c r="AG77" i="26" s="1"/>
  <c r="AF105" i="26"/>
  <c r="AG105" i="26" s="1"/>
  <c r="AF101" i="26"/>
  <c r="AG101" i="26" s="1"/>
  <c r="AF81" i="26"/>
  <c r="AG81" i="26" s="1"/>
  <c r="AF100" i="26"/>
  <c r="AG100" i="26" s="1"/>
  <c r="AF106" i="26"/>
  <c r="AG106" i="26" s="1"/>
  <c r="AF93" i="26"/>
  <c r="AG93" i="26" s="1"/>
  <c r="AF83" i="26"/>
  <c r="AG83" i="26" s="1"/>
  <c r="AF107" i="26"/>
  <c r="AG107" i="26" s="1"/>
  <c r="AF96" i="26"/>
  <c r="AG96" i="26" s="1"/>
  <c r="AF110" i="26"/>
  <c r="AG110" i="26" s="1"/>
  <c r="AF103" i="26"/>
  <c r="AG103" i="26" s="1"/>
  <c r="AF74" i="26"/>
  <c r="AG74" i="26" s="1"/>
  <c r="AF97" i="26"/>
  <c r="AG97" i="26" s="1"/>
  <c r="AF75" i="26"/>
  <c r="AG75" i="26" s="1"/>
  <c r="AF85" i="26"/>
  <c r="AG85" i="26" s="1"/>
  <c r="AF111" i="26"/>
  <c r="AF89" i="26"/>
  <c r="AG89" i="26" s="1"/>
  <c r="AF87" i="26"/>
  <c r="AG87" i="26" s="1"/>
  <c r="AF82" i="26"/>
  <c r="AG82" i="26" s="1"/>
  <c r="AF84" i="26"/>
  <c r="AG84" i="26" s="1"/>
  <c r="AF95" i="26"/>
  <c r="AG95" i="26" s="1"/>
  <c r="AF6" i="26"/>
  <c r="AF4" i="26"/>
  <c r="AF7" i="26"/>
  <c r="AF9" i="26"/>
  <c r="AF14" i="26"/>
  <c r="AF17" i="26"/>
  <c r="AF18" i="26"/>
  <c r="AF15" i="26"/>
  <c r="AF16" i="26"/>
  <c r="AF19" i="26"/>
  <c r="AF20" i="26"/>
  <c r="AF21" i="26"/>
  <c r="AF22" i="26"/>
  <c r="AF23" i="26"/>
  <c r="AF24" i="26"/>
  <c r="AF25" i="26"/>
  <c r="AF26" i="26"/>
  <c r="AF27" i="26"/>
  <c r="AF28" i="26"/>
  <c r="AF29" i="26"/>
  <c r="AF30" i="26"/>
  <c r="AF31" i="26"/>
  <c r="AF10" i="26"/>
  <c r="AF13" i="26"/>
  <c r="AF5" i="26"/>
  <c r="AF12" i="26"/>
  <c r="AF11" i="26"/>
  <c r="AF8" i="26"/>
  <c r="O6" i="55" l="1"/>
  <c r="O8" i="55"/>
  <c r="Q34" i="55"/>
  <c r="AB40" i="55"/>
  <c r="O78" i="55"/>
  <c r="Y82" i="55"/>
  <c r="W86" i="55"/>
  <c r="O104" i="55"/>
  <c r="AC11" i="60"/>
  <c r="O84" i="55"/>
  <c r="Q16" i="55"/>
  <c r="O74" i="55"/>
  <c r="O80" i="55"/>
  <c r="Q112" i="55"/>
  <c r="Q36" i="55"/>
  <c r="AB66" i="55"/>
  <c r="W94" i="55"/>
  <c r="T104" i="55"/>
  <c r="Y112" i="55"/>
  <c r="O26" i="55"/>
  <c r="O30" i="55"/>
  <c r="Q28" i="55"/>
  <c r="Y38" i="55"/>
  <c r="Q68" i="55"/>
  <c r="P86" i="55"/>
  <c r="W98" i="55"/>
  <c r="O14" i="55"/>
  <c r="O90" i="55"/>
  <c r="P22" i="55"/>
  <c r="AB30" i="55"/>
  <c r="AB60" i="55"/>
  <c r="W82" i="55"/>
  <c r="Q86" i="55"/>
  <c r="K14" i="55"/>
  <c r="I12" i="55"/>
  <c r="G98" i="55"/>
  <c r="G34" i="55"/>
  <c r="G108" i="55"/>
  <c r="K24" i="55"/>
  <c r="J8" i="55"/>
  <c r="V94" i="55"/>
  <c r="N74" i="55"/>
  <c r="K8" i="55"/>
  <c r="K12" i="55"/>
  <c r="C11" i="60"/>
  <c r="AB18" i="55"/>
  <c r="AB80" i="55"/>
  <c r="AB36" i="55"/>
  <c r="AB42" i="55"/>
  <c r="T56" i="55"/>
  <c r="T62" i="55"/>
  <c r="AB84" i="55"/>
  <c r="L88" i="55"/>
  <c r="T92" i="55"/>
  <c r="J96" i="55"/>
  <c r="R100" i="55"/>
  <c r="T102" i="55"/>
  <c r="R106" i="55"/>
  <c r="J112" i="55"/>
  <c r="T8" i="55"/>
  <c r="T10" i="55"/>
  <c r="AB50" i="55"/>
  <c r="AB56" i="55"/>
  <c r="AB62" i="55"/>
  <c r="T68" i="55"/>
  <c r="R98" i="55"/>
  <c r="AB6" i="55"/>
  <c r="T20" i="55"/>
  <c r="L74" i="55"/>
  <c r="M14" i="55"/>
  <c r="AB20" i="55"/>
  <c r="T22" i="55"/>
  <c r="L24" i="55"/>
  <c r="AB68" i="55"/>
  <c r="L78" i="55"/>
  <c r="T100" i="55"/>
  <c r="J104" i="55"/>
  <c r="J108" i="55"/>
  <c r="AB16" i="55"/>
  <c r="AB86" i="55"/>
  <c r="AB8" i="55"/>
  <c r="AB10" i="55"/>
  <c r="D18" i="55"/>
  <c r="AB38" i="55"/>
  <c r="AB44" i="55"/>
  <c r="AB52" i="55"/>
  <c r="AB96" i="55"/>
  <c r="R108" i="55"/>
  <c r="AB48" i="55"/>
  <c r="AB12" i="55"/>
  <c r="L18" i="55"/>
  <c r="L20" i="55"/>
  <c r="AB22" i="55"/>
  <c r="AB32" i="55"/>
  <c r="AB34" i="55"/>
  <c r="AB58" i="55"/>
  <c r="AB64" i="55"/>
  <c r="AB14" i="55"/>
  <c r="T36" i="55"/>
  <c r="AB76" i="55"/>
  <c r="T6" i="55"/>
  <c r="T14" i="55"/>
  <c r="T16" i="55"/>
  <c r="AB24" i="55"/>
  <c r="T26" i="55"/>
  <c r="T30" i="55"/>
  <c r="AB46" i="55"/>
  <c r="AB54" i="55"/>
  <c r="L76" i="55"/>
  <c r="D100" i="55"/>
  <c r="J102" i="55"/>
  <c r="AB118" i="55"/>
  <c r="C5" i="60"/>
  <c r="C25" i="60"/>
  <c r="C33" i="60"/>
  <c r="D32" i="55"/>
  <c r="L42" i="55"/>
  <c r="D54" i="55"/>
  <c r="D108" i="55"/>
  <c r="L32" i="55"/>
  <c r="L48" i="55"/>
  <c r="L54" i="55"/>
  <c r="L12" i="55"/>
  <c r="L22" i="55"/>
  <c r="D60" i="55"/>
  <c r="L10" i="55"/>
  <c r="D42" i="55"/>
  <c r="L6" i="55"/>
  <c r="D22" i="55"/>
  <c r="D48" i="55"/>
  <c r="L28" i="55"/>
  <c r="L8" i="55"/>
  <c r="D84" i="55"/>
  <c r="D8" i="55"/>
  <c r="D94" i="55"/>
  <c r="D16" i="55"/>
  <c r="S16" i="55"/>
  <c r="K18" i="55"/>
  <c r="K22" i="55"/>
  <c r="D26" i="55"/>
  <c r="AA26" i="55"/>
  <c r="S30" i="55"/>
  <c r="K32" i="55"/>
  <c r="D34" i="55"/>
  <c r="S34" i="55"/>
  <c r="D40" i="55"/>
  <c r="T42" i="55"/>
  <c r="T48" i="55"/>
  <c r="D52" i="55"/>
  <c r="T54" i="55"/>
  <c r="L60" i="55"/>
  <c r="L66" i="55"/>
  <c r="S80" i="55"/>
  <c r="T82" i="55"/>
  <c r="T84" i="55"/>
  <c r="S86" i="55"/>
  <c r="S88" i="55"/>
  <c r="T90" i="55"/>
  <c r="S96" i="55"/>
  <c r="L98" i="55"/>
  <c r="H100" i="55"/>
  <c r="L110" i="55"/>
  <c r="L112" i="55"/>
  <c r="T34" i="55"/>
  <c r="L40" i="55"/>
  <c r="D46" i="55"/>
  <c r="K52" i="55"/>
  <c r="D58" i="55"/>
  <c r="T60" i="55"/>
  <c r="D64" i="55"/>
  <c r="T66" i="55"/>
  <c r="S76" i="55"/>
  <c r="T80" i="55"/>
  <c r="T86" i="55"/>
  <c r="T88" i="55"/>
  <c r="K92" i="55"/>
  <c r="K94" i="55"/>
  <c r="T96" i="55"/>
  <c r="K106" i="55"/>
  <c r="K108" i="55"/>
  <c r="T12" i="55"/>
  <c r="T24" i="55"/>
  <c r="K26" i="55"/>
  <c r="D30" i="55"/>
  <c r="D38" i="55"/>
  <c r="T40" i="55"/>
  <c r="L46" i="55"/>
  <c r="L52" i="55"/>
  <c r="L64" i="55"/>
  <c r="S74" i="55"/>
  <c r="T76" i="55"/>
  <c r="S78" i="55"/>
  <c r="L92" i="55"/>
  <c r="L94" i="55"/>
  <c r="S98" i="55"/>
  <c r="K100" i="55"/>
  <c r="K104" i="55"/>
  <c r="L106" i="55"/>
  <c r="L108" i="55"/>
  <c r="D10" i="55"/>
  <c r="S18" i="55"/>
  <c r="K20" i="55"/>
  <c r="AA24" i="55"/>
  <c r="L26" i="55"/>
  <c r="S28" i="55"/>
  <c r="S32" i="55"/>
  <c r="L38" i="55"/>
  <c r="D44" i="55"/>
  <c r="T46" i="55"/>
  <c r="D50" i="55"/>
  <c r="T52" i="55"/>
  <c r="D56" i="55"/>
  <c r="L58" i="55"/>
  <c r="T74" i="55"/>
  <c r="T78" i="55"/>
  <c r="D82" i="55"/>
  <c r="K86" i="55"/>
  <c r="K90" i="55"/>
  <c r="T98" i="55"/>
  <c r="L100" i="55"/>
  <c r="K102" i="55"/>
  <c r="L104" i="55"/>
  <c r="S110" i="55"/>
  <c r="S112" i="55"/>
  <c r="D24" i="55"/>
  <c r="T28" i="55"/>
  <c r="K30" i="55"/>
  <c r="T32" i="55"/>
  <c r="K34" i="55"/>
  <c r="D36" i="55"/>
  <c r="T38" i="55"/>
  <c r="L44" i="55"/>
  <c r="L50" i="55"/>
  <c r="T58" i="55"/>
  <c r="D62" i="55"/>
  <c r="T64" i="55"/>
  <c r="D68" i="55"/>
  <c r="D78" i="55"/>
  <c r="K80" i="55"/>
  <c r="K82" i="55"/>
  <c r="L84" i="55"/>
  <c r="L86" i="55"/>
  <c r="L90" i="55"/>
  <c r="S94" i="55"/>
  <c r="K96" i="55"/>
  <c r="L102" i="55"/>
  <c r="S106" i="55"/>
  <c r="S108" i="55"/>
  <c r="T110" i="55"/>
  <c r="T112" i="55"/>
  <c r="S14" i="55"/>
  <c r="L16" i="55"/>
  <c r="AA18" i="55"/>
  <c r="S22" i="55"/>
  <c r="D28" i="55"/>
  <c r="AA28" i="55"/>
  <c r="L30" i="55"/>
  <c r="L34" i="55"/>
  <c r="L36" i="55"/>
  <c r="T44" i="55"/>
  <c r="T50" i="55"/>
  <c r="L56" i="55"/>
  <c r="L62" i="55"/>
  <c r="L68" i="55"/>
  <c r="K74" i="55"/>
  <c r="D76" i="55"/>
  <c r="L80" i="55"/>
  <c r="L82" i="55"/>
  <c r="K88" i="55"/>
  <c r="S92" i="55"/>
  <c r="T94" i="55"/>
  <c r="L96" i="55"/>
  <c r="T106" i="55"/>
  <c r="T108" i="55"/>
  <c r="I112" i="55"/>
  <c r="M10" i="55"/>
  <c r="M18" i="55"/>
  <c r="M28" i="55"/>
  <c r="U32" i="55"/>
  <c r="U74" i="55"/>
  <c r="K84" i="55"/>
  <c r="E6" i="55"/>
  <c r="U82" i="55"/>
  <c r="M108" i="55"/>
  <c r="I16" i="55"/>
  <c r="U78" i="55"/>
  <c r="M16" i="55"/>
  <c r="M26" i="55"/>
  <c r="E82" i="55"/>
  <c r="M8" i="55"/>
  <c r="M12" i="55"/>
  <c r="U30" i="55"/>
  <c r="U88" i="55"/>
  <c r="U102" i="55"/>
  <c r="F108" i="55"/>
  <c r="M76" i="55"/>
  <c r="U28" i="55"/>
  <c r="M84" i="55"/>
  <c r="M92" i="55"/>
  <c r="AC7" i="56"/>
  <c r="H16" i="55"/>
  <c r="G10" i="55"/>
  <c r="N20" i="55"/>
  <c r="O22" i="55"/>
  <c r="O24" i="55"/>
  <c r="G32" i="55"/>
  <c r="W76" i="55"/>
  <c r="O100" i="55"/>
  <c r="G102" i="55"/>
  <c r="O106" i="55"/>
  <c r="V112" i="55"/>
  <c r="G6" i="55"/>
  <c r="G8" i="55"/>
  <c r="O12" i="55"/>
  <c r="O20" i="55"/>
  <c r="G28" i="55"/>
  <c r="O82" i="55"/>
  <c r="G84" i="55"/>
  <c r="O86" i="55"/>
  <c r="W88" i="55"/>
  <c r="N94" i="55"/>
  <c r="W102" i="55"/>
  <c r="V108" i="55"/>
  <c r="W112" i="55"/>
  <c r="K28" i="55"/>
  <c r="G14" i="55"/>
  <c r="O18" i="55"/>
  <c r="G26" i="55"/>
  <c r="G30" i="55"/>
  <c r="V84" i="55"/>
  <c r="G90" i="55"/>
  <c r="W90" i="55"/>
  <c r="W92" i="55"/>
  <c r="O94" i="55"/>
  <c r="G96" i="55"/>
  <c r="W108" i="55"/>
  <c r="N112" i="55"/>
  <c r="L14" i="55"/>
  <c r="O10" i="55"/>
  <c r="F20" i="55"/>
  <c r="N34" i="55"/>
  <c r="W78" i="55"/>
  <c r="W80" i="55"/>
  <c r="W84" i="55"/>
  <c r="W96" i="55"/>
  <c r="O98" i="55"/>
  <c r="G100" i="55"/>
  <c r="G104" i="55"/>
  <c r="W104" i="55"/>
  <c r="G110" i="55"/>
  <c r="W110" i="55"/>
  <c r="O112" i="55"/>
  <c r="G12" i="55"/>
  <c r="O16" i="55"/>
  <c r="G20" i="55"/>
  <c r="G22" i="55"/>
  <c r="G24" i="55"/>
  <c r="O32" i="55"/>
  <c r="O34" i="55"/>
  <c r="V74" i="55"/>
  <c r="O76" i="55"/>
  <c r="G80" i="55"/>
  <c r="O88" i="55"/>
  <c r="F94" i="55"/>
  <c r="O102" i="55"/>
  <c r="G106" i="55"/>
  <c r="W106" i="55"/>
  <c r="N108" i="55"/>
  <c r="F112" i="55"/>
  <c r="I80" i="55"/>
  <c r="O28" i="55"/>
  <c r="F34" i="55"/>
  <c r="W74" i="55"/>
  <c r="N84" i="55"/>
  <c r="G86" i="55"/>
  <c r="G94" i="55"/>
  <c r="G112" i="55"/>
  <c r="G18" i="55"/>
  <c r="K10" i="55"/>
  <c r="K16" i="55"/>
  <c r="C13" i="58"/>
  <c r="AV14" i="58" s="1"/>
  <c r="AC23" i="58"/>
  <c r="AC17" i="58"/>
  <c r="U112" i="55"/>
  <c r="E98" i="55"/>
  <c r="M20" i="55"/>
  <c r="E24" i="55"/>
  <c r="M74" i="55"/>
  <c r="E86" i="55"/>
  <c r="M106" i="55"/>
  <c r="E108" i="55"/>
  <c r="U110" i="55"/>
  <c r="M112" i="55"/>
  <c r="U6" i="55"/>
  <c r="E8" i="55"/>
  <c r="E12" i="55"/>
  <c r="E14" i="55"/>
  <c r="U22" i="55"/>
  <c r="E26" i="55"/>
  <c r="E80" i="55"/>
  <c r="M82" i="55"/>
  <c r="U98" i="55"/>
  <c r="U100" i="55"/>
  <c r="M102" i="55"/>
  <c r="J80" i="55"/>
  <c r="E10" i="55"/>
  <c r="E16" i="55"/>
  <c r="E20" i="55"/>
  <c r="M22" i="55"/>
  <c r="U24" i="55"/>
  <c r="E28" i="55"/>
  <c r="M30" i="55"/>
  <c r="M32" i="55"/>
  <c r="U34" i="55"/>
  <c r="M78" i="55"/>
  <c r="U80" i="55"/>
  <c r="E84" i="55"/>
  <c r="M88" i="55"/>
  <c r="U90" i="55"/>
  <c r="U94" i="55"/>
  <c r="U96" i="55"/>
  <c r="U104" i="55"/>
  <c r="U8" i="55"/>
  <c r="U10" i="55"/>
  <c r="U12" i="55"/>
  <c r="U14" i="55"/>
  <c r="U26" i="55"/>
  <c r="M34" i="55"/>
  <c r="U76" i="55"/>
  <c r="M100" i="55"/>
  <c r="M110" i="55"/>
  <c r="D116" i="55"/>
  <c r="D20" i="55"/>
  <c r="M6" i="55"/>
  <c r="E18" i="55"/>
  <c r="U18" i="55"/>
  <c r="E34" i="55"/>
  <c r="U84" i="55"/>
  <c r="U86" i="55"/>
  <c r="E92" i="55"/>
  <c r="U92" i="55"/>
  <c r="M94" i="55"/>
  <c r="M98" i="55"/>
  <c r="U108" i="55"/>
  <c r="E66" i="55"/>
  <c r="E96" i="55"/>
  <c r="U16" i="55"/>
  <c r="E22" i="55"/>
  <c r="M24" i="55"/>
  <c r="E30" i="55"/>
  <c r="M80" i="55"/>
  <c r="M86" i="55"/>
  <c r="M90" i="55"/>
  <c r="M96" i="55"/>
  <c r="AC7" i="59"/>
  <c r="AC29" i="58"/>
  <c r="AC27" i="58"/>
  <c r="C17" i="58"/>
  <c r="AG14" i="58" s="1"/>
  <c r="AC105" i="57"/>
  <c r="J88" i="55"/>
  <c r="J10" i="55"/>
  <c r="J16" i="55"/>
  <c r="J12" i="55"/>
  <c r="J92" i="55"/>
  <c r="J82" i="55"/>
  <c r="J84" i="55"/>
  <c r="J18" i="55"/>
  <c r="G16" i="55"/>
  <c r="G76" i="55"/>
  <c r="G92" i="55"/>
  <c r="D12" i="55"/>
  <c r="AS29" i="55"/>
  <c r="AS28" i="55"/>
  <c r="H10" i="55"/>
  <c r="Q10" i="55"/>
  <c r="P14" i="55"/>
  <c r="I22" i="55"/>
  <c r="I28" i="55"/>
  <c r="H32" i="55"/>
  <c r="Q32" i="55"/>
  <c r="Y66" i="55"/>
  <c r="P76" i="55"/>
  <c r="Y76" i="55"/>
  <c r="H82" i="55"/>
  <c r="Q82" i="55"/>
  <c r="I86" i="55"/>
  <c r="P88" i="55"/>
  <c r="Y88" i="55"/>
  <c r="X90" i="55"/>
  <c r="I94" i="55"/>
  <c r="Q94" i="55"/>
  <c r="Y94" i="55"/>
  <c r="X98" i="55"/>
  <c r="P102" i="55"/>
  <c r="Y102" i="55"/>
  <c r="H108" i="55"/>
  <c r="P108" i="55"/>
  <c r="X108" i="55"/>
  <c r="D118" i="55"/>
  <c r="H22" i="55"/>
  <c r="H28" i="55"/>
  <c r="P32" i="55"/>
  <c r="X76" i="55"/>
  <c r="P94" i="55"/>
  <c r="I10" i="55"/>
  <c r="H14" i="55"/>
  <c r="Q14" i="55"/>
  <c r="H20" i="55"/>
  <c r="P20" i="55"/>
  <c r="Y24" i="55"/>
  <c r="P26" i="55"/>
  <c r="I32" i="55"/>
  <c r="I44" i="55"/>
  <c r="I52" i="55"/>
  <c r="Q54" i="55"/>
  <c r="Y64" i="55"/>
  <c r="H76" i="55"/>
  <c r="Q76" i="55"/>
  <c r="X78" i="55"/>
  <c r="I82" i="55"/>
  <c r="H88" i="55"/>
  <c r="Q88" i="55"/>
  <c r="P90" i="55"/>
  <c r="Y90" i="55"/>
  <c r="P98" i="55"/>
  <c r="Y98" i="55"/>
  <c r="H102" i="55"/>
  <c r="Q102" i="55"/>
  <c r="X104" i="55"/>
  <c r="I108" i="55"/>
  <c r="Q108" i="55"/>
  <c r="Y108" i="55"/>
  <c r="X110" i="55"/>
  <c r="P10" i="55"/>
  <c r="P82" i="55"/>
  <c r="H86" i="55"/>
  <c r="X88" i="55"/>
  <c r="H94" i="55"/>
  <c r="I100" i="55"/>
  <c r="P8" i="55"/>
  <c r="I14" i="55"/>
  <c r="P18" i="55"/>
  <c r="I20" i="55"/>
  <c r="Q20" i="55"/>
  <c r="H26" i="55"/>
  <c r="Q26" i="55"/>
  <c r="I40" i="55"/>
  <c r="I42" i="55"/>
  <c r="Y56" i="55"/>
  <c r="I76" i="55"/>
  <c r="P78" i="55"/>
  <c r="Y78" i="55"/>
  <c r="H84" i="55"/>
  <c r="P84" i="55"/>
  <c r="X84" i="55"/>
  <c r="I88" i="55"/>
  <c r="H90" i="55"/>
  <c r="Q90" i="55"/>
  <c r="X92" i="55"/>
  <c r="H98" i="55"/>
  <c r="Q98" i="55"/>
  <c r="I102" i="55"/>
  <c r="P104" i="55"/>
  <c r="Y104" i="55"/>
  <c r="X106" i="55"/>
  <c r="P110" i="55"/>
  <c r="Y110" i="55"/>
  <c r="H8" i="55"/>
  <c r="Q8" i="55"/>
  <c r="H18" i="55"/>
  <c r="Q18" i="55"/>
  <c r="P24" i="55"/>
  <c r="I26" i="55"/>
  <c r="P30" i="55"/>
  <c r="Q50" i="55"/>
  <c r="Y54" i="55"/>
  <c r="H78" i="55"/>
  <c r="Q78" i="55"/>
  <c r="X80" i="55"/>
  <c r="I84" i="55"/>
  <c r="Q84" i="55"/>
  <c r="Y84" i="55"/>
  <c r="I90" i="55"/>
  <c r="P92" i="55"/>
  <c r="Y92" i="55"/>
  <c r="X96" i="55"/>
  <c r="I98" i="55"/>
  <c r="H104" i="55"/>
  <c r="Q104" i="55"/>
  <c r="P106" i="55"/>
  <c r="Y106" i="55"/>
  <c r="H110" i="55"/>
  <c r="Q110" i="55"/>
  <c r="X94" i="55"/>
  <c r="X102" i="55"/>
  <c r="P6" i="55"/>
  <c r="I8" i="55"/>
  <c r="P12" i="55"/>
  <c r="I18" i="55"/>
  <c r="H24" i="55"/>
  <c r="Q24" i="55"/>
  <c r="H30" i="55"/>
  <c r="Q30" i="55"/>
  <c r="Q40" i="55"/>
  <c r="I68" i="55"/>
  <c r="H74" i="55"/>
  <c r="P74" i="55"/>
  <c r="X74" i="55"/>
  <c r="I78" i="55"/>
  <c r="P80" i="55"/>
  <c r="Y80" i="55"/>
  <c r="H92" i="55"/>
  <c r="Q92" i="55"/>
  <c r="P96" i="55"/>
  <c r="Y96" i="55"/>
  <c r="X100" i="55"/>
  <c r="I104" i="55"/>
  <c r="H106" i="55"/>
  <c r="Q106" i="55"/>
  <c r="I110" i="55"/>
  <c r="H6" i="55"/>
  <c r="Q6" i="55"/>
  <c r="H12" i="55"/>
  <c r="Q12" i="55"/>
  <c r="P16" i="55"/>
  <c r="I24" i="55"/>
  <c r="I30" i="55"/>
  <c r="Y32" i="55"/>
  <c r="H34" i="55"/>
  <c r="P34" i="55"/>
  <c r="Y42" i="55"/>
  <c r="Y50" i="55"/>
  <c r="I66" i="55"/>
  <c r="I74" i="55"/>
  <c r="Q74" i="55"/>
  <c r="Y74" i="55"/>
  <c r="H80" i="55"/>
  <c r="Q80" i="55"/>
  <c r="X86" i="55"/>
  <c r="I92" i="55"/>
  <c r="H96" i="55"/>
  <c r="Q96" i="55"/>
  <c r="P100" i="55"/>
  <c r="Y100" i="55"/>
  <c r="I106" i="55"/>
  <c r="H112" i="55"/>
  <c r="P112" i="55"/>
  <c r="X112" i="55"/>
  <c r="AS24" i="55"/>
  <c r="AS21" i="55"/>
  <c r="AS25" i="55"/>
  <c r="AS22" i="55"/>
  <c r="AS30" i="55"/>
  <c r="AS20" i="55"/>
  <c r="AS23" i="55"/>
  <c r="AS26" i="55"/>
  <c r="AS31" i="55"/>
  <c r="AS19" i="55"/>
  <c r="AS27" i="55"/>
  <c r="AC25" i="60"/>
  <c r="AC15" i="60"/>
  <c r="AC9" i="60"/>
  <c r="C25" i="59"/>
  <c r="C7" i="59"/>
  <c r="AG11" i="59" s="1"/>
  <c r="AC5" i="59"/>
  <c r="C5" i="59"/>
  <c r="AW4" i="59" s="1"/>
  <c r="C15" i="59"/>
  <c r="AG4" i="59" s="1"/>
  <c r="C75" i="59"/>
  <c r="C21" i="59"/>
  <c r="AC85" i="59"/>
  <c r="C9" i="59"/>
  <c r="AG6" i="59" s="1"/>
  <c r="AG34" i="59"/>
  <c r="AC31" i="59"/>
  <c r="AC21" i="59"/>
  <c r="C61" i="59"/>
  <c r="AC43" i="59"/>
  <c r="C53" i="59"/>
  <c r="C19" i="59"/>
  <c r="AC29" i="59"/>
  <c r="AC9" i="59"/>
  <c r="AC25" i="59"/>
  <c r="C47" i="59"/>
  <c r="C51" i="59"/>
  <c r="C11" i="59"/>
  <c r="AC37" i="59"/>
  <c r="AC59" i="59"/>
  <c r="C17" i="59"/>
  <c r="AC27" i="59"/>
  <c r="C39" i="59"/>
  <c r="AC57" i="59"/>
  <c r="C13" i="59"/>
  <c r="AG8" i="59" s="1"/>
  <c r="C23" i="59"/>
  <c r="C53" i="58"/>
  <c r="C23" i="58"/>
  <c r="C27" i="58"/>
  <c r="C29" i="58"/>
  <c r="AC11" i="58"/>
  <c r="C33" i="58"/>
  <c r="AC13" i="58"/>
  <c r="AC57" i="58"/>
  <c r="C25" i="58"/>
  <c r="AC9" i="58"/>
  <c r="AC21" i="58"/>
  <c r="C35" i="58"/>
  <c r="AC33" i="58"/>
  <c r="C9" i="58"/>
  <c r="AV5" i="58" s="1"/>
  <c r="AG105" i="58"/>
  <c r="C7" i="58"/>
  <c r="AG5" i="58" s="1"/>
  <c r="C31" i="58"/>
  <c r="AC61" i="58"/>
  <c r="C43" i="58"/>
  <c r="C75" i="58"/>
  <c r="C15" i="58"/>
  <c r="AG11" i="58" s="1"/>
  <c r="C5" i="58"/>
  <c r="AG16" i="58" s="1"/>
  <c r="C61" i="58"/>
  <c r="AC63" i="58"/>
  <c r="AC15" i="58"/>
  <c r="AC79" i="58"/>
  <c r="C11" i="58"/>
  <c r="AG10" i="58" s="1"/>
  <c r="AC25" i="58"/>
  <c r="AC77" i="58"/>
  <c r="C37" i="58"/>
  <c r="C55" i="58"/>
  <c r="AC19" i="58"/>
  <c r="C47" i="58"/>
  <c r="AC59" i="58"/>
  <c r="AC65" i="58"/>
  <c r="C21" i="58"/>
  <c r="AC119" i="58"/>
  <c r="AC97" i="58"/>
  <c r="AC85" i="58"/>
  <c r="AC45" i="58"/>
  <c r="AC41" i="58"/>
  <c r="AC75" i="58"/>
  <c r="C119" i="58"/>
  <c r="AC7" i="58"/>
  <c r="C57" i="58"/>
  <c r="AC39" i="58"/>
  <c r="C85" i="58"/>
  <c r="AC35" i="58"/>
  <c r="AC37" i="58"/>
  <c r="AC73" i="58"/>
  <c r="C49" i="58"/>
  <c r="C11" i="57"/>
  <c r="AG9" i="57" s="1"/>
  <c r="C21" i="57"/>
  <c r="AC21" i="57"/>
  <c r="C37" i="57"/>
  <c r="AG34" i="57"/>
  <c r="C7" i="57"/>
  <c r="AG13" i="57" s="1"/>
  <c r="C5" i="57"/>
  <c r="AG11" i="57" s="1"/>
  <c r="AC27" i="57"/>
  <c r="AC23" i="57"/>
  <c r="AC11" i="57"/>
  <c r="C43" i="57"/>
  <c r="C105" i="57"/>
  <c r="C89" i="57"/>
  <c r="C25" i="57"/>
  <c r="AC5" i="57"/>
  <c r="C13" i="57"/>
  <c r="AG8" i="57" s="1"/>
  <c r="AC73" i="57"/>
  <c r="C75" i="57"/>
  <c r="AC45" i="57"/>
  <c r="C31" i="57"/>
  <c r="AC33" i="57"/>
  <c r="C109" i="57"/>
  <c r="AC35" i="57"/>
  <c r="C111" i="57"/>
  <c r="C83" i="57"/>
  <c r="AC107" i="57"/>
  <c r="AC125" i="57"/>
  <c r="AC67" i="57"/>
  <c r="AC47" i="57"/>
  <c r="C15" i="57"/>
  <c r="AG7" i="57" s="1"/>
  <c r="C127" i="57"/>
  <c r="C79" i="57"/>
  <c r="AC37" i="57"/>
  <c r="C115" i="57"/>
  <c r="C39" i="57"/>
  <c r="AC83" i="57"/>
  <c r="AC19" i="57"/>
  <c r="AC29" i="57"/>
  <c r="AC79" i="57"/>
  <c r="AC7" i="57"/>
  <c r="C93" i="56"/>
  <c r="AG86" i="56" s="1"/>
  <c r="AC19" i="56"/>
  <c r="C63" i="56"/>
  <c r="C13" i="56"/>
  <c r="AT16" i="56" s="1"/>
  <c r="C107" i="56"/>
  <c r="AG96" i="56" s="1"/>
  <c r="AX9" i="60"/>
  <c r="AG9" i="60"/>
  <c r="AC31" i="60"/>
  <c r="AC21" i="60"/>
  <c r="C39" i="60"/>
  <c r="AC13" i="60"/>
  <c r="AC63" i="60"/>
  <c r="AC17" i="60"/>
  <c r="AC23" i="60"/>
  <c r="AC33" i="60"/>
  <c r="C15" i="60"/>
  <c r="AG8" i="60" s="1"/>
  <c r="AC5" i="60"/>
  <c r="C59" i="60"/>
  <c r="C21" i="60"/>
  <c r="AC77" i="56"/>
  <c r="AC43" i="56"/>
  <c r="AC27" i="56"/>
  <c r="C31" i="56"/>
  <c r="AC75" i="56"/>
  <c r="AC93" i="56"/>
  <c r="AC11" i="56"/>
  <c r="C45" i="56"/>
  <c r="C29" i="56"/>
  <c r="AC25" i="56"/>
  <c r="AC59" i="56"/>
  <c r="AC33" i="56"/>
  <c r="F18" i="55"/>
  <c r="N18" i="55"/>
  <c r="N40" i="55"/>
  <c r="D120" i="55"/>
  <c r="F16" i="55"/>
  <c r="N16" i="55"/>
  <c r="F32" i="55"/>
  <c r="N32" i="55"/>
  <c r="N78" i="55"/>
  <c r="V78" i="55"/>
  <c r="N102" i="55"/>
  <c r="V102" i="55"/>
  <c r="N106" i="55"/>
  <c r="V106" i="55"/>
  <c r="D122" i="55"/>
  <c r="F14" i="55"/>
  <c r="N14" i="55"/>
  <c r="F88" i="55"/>
  <c r="N88" i="55"/>
  <c r="V88" i="55"/>
  <c r="F92" i="55"/>
  <c r="N92" i="55"/>
  <c r="V92" i="55"/>
  <c r="D124" i="55"/>
  <c r="F30" i="55"/>
  <c r="N30" i="55"/>
  <c r="N82" i="55"/>
  <c r="V82" i="55"/>
  <c r="F110" i="55"/>
  <c r="N110" i="55"/>
  <c r="V110" i="55"/>
  <c r="D114" i="55"/>
  <c r="D126" i="55"/>
  <c r="F12" i="55"/>
  <c r="N12" i="55"/>
  <c r="F28" i="55"/>
  <c r="N28" i="55"/>
  <c r="N100" i="55"/>
  <c r="V100" i="55"/>
  <c r="D128" i="55"/>
  <c r="F10" i="55"/>
  <c r="N10" i="55"/>
  <c r="F24" i="55"/>
  <c r="N24" i="55"/>
  <c r="F26" i="55"/>
  <c r="N26" i="55"/>
  <c r="F76" i="55"/>
  <c r="N76" i="55"/>
  <c r="V76" i="55"/>
  <c r="F86" i="55"/>
  <c r="N86" i="55"/>
  <c r="V86" i="55"/>
  <c r="N90" i="55"/>
  <c r="V90" i="55"/>
  <c r="D14" i="55"/>
  <c r="F6" i="55"/>
  <c r="N6" i="55"/>
  <c r="F8" i="55"/>
  <c r="N8" i="55"/>
  <c r="F22" i="55"/>
  <c r="N22" i="55"/>
  <c r="F80" i="55"/>
  <c r="N80" i="55"/>
  <c r="V80" i="55"/>
  <c r="F96" i="55"/>
  <c r="N96" i="55"/>
  <c r="V96" i="55"/>
  <c r="F98" i="55"/>
  <c r="N98" i="55"/>
  <c r="V98" i="55"/>
  <c r="T118" i="55"/>
  <c r="AC29" i="60"/>
  <c r="AC95" i="60"/>
  <c r="C23" i="60"/>
  <c r="AG4" i="60"/>
  <c r="C49" i="60"/>
  <c r="C9" i="60"/>
  <c r="C13" i="60"/>
  <c r="AG105" i="60"/>
  <c r="AC43" i="60"/>
  <c r="AC7" i="60"/>
  <c r="C19" i="60"/>
  <c r="AC47" i="60"/>
  <c r="C17" i="60"/>
  <c r="AC39" i="60"/>
  <c r="AC61" i="60"/>
  <c r="AC27" i="60"/>
  <c r="AC45" i="60"/>
  <c r="AC49" i="60"/>
  <c r="AC59" i="60"/>
  <c r="C55" i="60"/>
  <c r="C31" i="60"/>
  <c r="AC99" i="60"/>
  <c r="AC79" i="60"/>
  <c r="AC127" i="60"/>
  <c r="AC77" i="60"/>
  <c r="AC93" i="60"/>
  <c r="C27" i="60"/>
  <c r="AX7" i="60"/>
  <c r="AC123" i="60"/>
  <c r="AC101" i="60"/>
  <c r="C91" i="60"/>
  <c r="AG89" i="60" s="1"/>
  <c r="AC119" i="60"/>
  <c r="C93" i="60"/>
  <c r="AG79" i="60" s="1"/>
  <c r="C83" i="60"/>
  <c r="AG88" i="60" s="1"/>
  <c r="AC91" i="60"/>
  <c r="AC115" i="60"/>
  <c r="C109" i="60"/>
  <c r="C107" i="60"/>
  <c r="C7" i="60"/>
  <c r="C101" i="60"/>
  <c r="AG76" i="60" s="1"/>
  <c r="C125" i="60"/>
  <c r="C61" i="60"/>
  <c r="C43" i="60"/>
  <c r="C117" i="60"/>
  <c r="C45" i="60"/>
  <c r="C47" i="60"/>
  <c r="AC85" i="60"/>
  <c r="C81" i="60"/>
  <c r="AG83" i="60" s="1"/>
  <c r="C105" i="60"/>
  <c r="C63" i="60"/>
  <c r="C29" i="60"/>
  <c r="C115" i="60"/>
  <c r="AC87" i="60"/>
  <c r="C87" i="60"/>
  <c r="AG77" i="60" s="1"/>
  <c r="AC73" i="60"/>
  <c r="C73" i="60"/>
  <c r="AG74" i="60" s="1"/>
  <c r="AC121" i="60"/>
  <c r="C121" i="60"/>
  <c r="AC117" i="60"/>
  <c r="AC107" i="60"/>
  <c r="AC103" i="60"/>
  <c r="C103" i="60"/>
  <c r="AG87" i="60" s="1"/>
  <c r="AC51" i="60"/>
  <c r="C51" i="60"/>
  <c r="AC97" i="60"/>
  <c r="C89" i="60"/>
  <c r="AG85" i="60" s="1"/>
  <c r="AC89" i="60"/>
  <c r="AC109" i="60"/>
  <c r="C99" i="60"/>
  <c r="AG82" i="60" s="1"/>
  <c r="AC55" i="60"/>
  <c r="AC67" i="60"/>
  <c r="C67" i="60"/>
  <c r="C119" i="60"/>
  <c r="AC105" i="60"/>
  <c r="AC125" i="60"/>
  <c r="AC83" i="60"/>
  <c r="C77" i="60"/>
  <c r="AG75" i="60" s="1"/>
  <c r="AG35" i="60"/>
  <c r="AC113" i="60"/>
  <c r="C113" i="60"/>
  <c r="AC111" i="60"/>
  <c r="C111" i="60"/>
  <c r="C123" i="60"/>
  <c r="C97" i="60"/>
  <c r="AG80" i="60" s="1"/>
  <c r="C95" i="60"/>
  <c r="AG78" i="60" s="1"/>
  <c r="C79" i="60"/>
  <c r="AG86" i="60" s="1"/>
  <c r="C127" i="60"/>
  <c r="C53" i="60"/>
  <c r="AC53" i="60"/>
  <c r="AC41" i="60"/>
  <c r="C41" i="60"/>
  <c r="AC75" i="60"/>
  <c r="C75" i="60"/>
  <c r="AG84" i="60" s="1"/>
  <c r="AC57" i="60"/>
  <c r="C57" i="60"/>
  <c r="C85" i="60"/>
  <c r="AG81" i="60" s="1"/>
  <c r="AC81" i="60"/>
  <c r="AC65" i="60"/>
  <c r="C65" i="60"/>
  <c r="C37" i="60"/>
  <c r="AC37" i="60"/>
  <c r="AC35" i="60"/>
  <c r="C35" i="60"/>
  <c r="C99" i="59"/>
  <c r="C103" i="59"/>
  <c r="C27" i="59"/>
  <c r="AC51" i="59"/>
  <c r="AC65" i="59"/>
  <c r="AC87" i="59"/>
  <c r="AC83" i="59"/>
  <c r="C59" i="59"/>
  <c r="AC75" i="59"/>
  <c r="AC33" i="59"/>
  <c r="C89" i="59"/>
  <c r="C67" i="59"/>
  <c r="AC55" i="59"/>
  <c r="AC77" i="59"/>
  <c r="C81" i="59"/>
  <c r="AC53" i="59"/>
  <c r="C43" i="59"/>
  <c r="C57" i="59"/>
  <c r="AC17" i="59"/>
  <c r="AC47" i="59"/>
  <c r="C109" i="59"/>
  <c r="AG93" i="59" s="1"/>
  <c r="C87" i="59"/>
  <c r="C37" i="59"/>
  <c r="AC73" i="59"/>
  <c r="C121" i="59"/>
  <c r="C41" i="59"/>
  <c r="AC45" i="59"/>
  <c r="C49" i="59"/>
  <c r="C107" i="59"/>
  <c r="AG92" i="59" s="1"/>
  <c r="AC101" i="59"/>
  <c r="C79" i="59"/>
  <c r="C31" i="59"/>
  <c r="AC35" i="59"/>
  <c r="AC63" i="59"/>
  <c r="AC61" i="59"/>
  <c r="AC103" i="59"/>
  <c r="C45" i="59"/>
  <c r="AC117" i="59"/>
  <c r="C117" i="59"/>
  <c r="AG97" i="59" s="1"/>
  <c r="AC121" i="59"/>
  <c r="C101" i="59"/>
  <c r="AC67" i="59"/>
  <c r="C55" i="59"/>
  <c r="C33" i="59"/>
  <c r="C83" i="59"/>
  <c r="AC15" i="59"/>
  <c r="C35" i="59"/>
  <c r="AC91" i="59"/>
  <c r="C91" i="59"/>
  <c r="C105" i="59"/>
  <c r="AG85" i="59" s="1"/>
  <c r="AC105" i="59"/>
  <c r="AC79" i="59"/>
  <c r="C65" i="59"/>
  <c r="AC99" i="59"/>
  <c r="AC125" i="59"/>
  <c r="C125" i="59"/>
  <c r="AC109" i="59"/>
  <c r="AC13" i="59"/>
  <c r="C63" i="59"/>
  <c r="C29" i="59"/>
  <c r="AC39" i="59"/>
  <c r="AC11" i="59"/>
  <c r="AC115" i="59"/>
  <c r="AC95" i="59"/>
  <c r="C95" i="59"/>
  <c r="AC97" i="59"/>
  <c r="C97" i="59"/>
  <c r="C115" i="59"/>
  <c r="AG95" i="59" s="1"/>
  <c r="AC49" i="59"/>
  <c r="AC23" i="59"/>
  <c r="AC111" i="59"/>
  <c r="C111" i="59"/>
  <c r="AG90" i="59" s="1"/>
  <c r="AC41" i="59"/>
  <c r="AC93" i="59"/>
  <c r="C93" i="59"/>
  <c r="AC113" i="59"/>
  <c r="C113" i="59"/>
  <c r="AG94" i="59" s="1"/>
  <c r="AC119" i="59"/>
  <c r="C119" i="59"/>
  <c r="AG96" i="59" s="1"/>
  <c r="AC107" i="59"/>
  <c r="C77" i="59"/>
  <c r="AC81" i="59"/>
  <c r="AC89" i="59"/>
  <c r="C85" i="59"/>
  <c r="AC19" i="59"/>
  <c r="AC127" i="59"/>
  <c r="C127" i="59"/>
  <c r="C123" i="59"/>
  <c r="AC123" i="59"/>
  <c r="C73" i="59"/>
  <c r="C59" i="58"/>
  <c r="AC49" i="58"/>
  <c r="AC31" i="58"/>
  <c r="AC47" i="58"/>
  <c r="AC81" i="58"/>
  <c r="C81" i="58"/>
  <c r="AC101" i="58"/>
  <c r="C97" i="58"/>
  <c r="AC51" i="58"/>
  <c r="C45" i="58"/>
  <c r="AC5" i="58"/>
  <c r="AC83" i="58"/>
  <c r="C79" i="58"/>
  <c r="C73" i="58"/>
  <c r="C77" i="58"/>
  <c r="C63" i="58"/>
  <c r="C101" i="58"/>
  <c r="C41" i="58"/>
  <c r="C19" i="58"/>
  <c r="AC53" i="58"/>
  <c r="AC67" i="58"/>
  <c r="C67" i="58"/>
  <c r="C65" i="58"/>
  <c r="AG34" i="58"/>
  <c r="AC55" i="58"/>
  <c r="AC43" i="58"/>
  <c r="C83" i="58"/>
  <c r="C39" i="58"/>
  <c r="C51" i="58"/>
  <c r="AC123" i="58"/>
  <c r="C123" i="58"/>
  <c r="AC103" i="58"/>
  <c r="C103" i="58"/>
  <c r="AC87" i="58"/>
  <c r="C87" i="58"/>
  <c r="AC91" i="58"/>
  <c r="C91" i="58"/>
  <c r="AC121" i="58"/>
  <c r="C121" i="58"/>
  <c r="AC117" i="58"/>
  <c r="C117" i="58"/>
  <c r="AC115" i="58"/>
  <c r="C115" i="58"/>
  <c r="AC93" i="58"/>
  <c r="C93" i="58"/>
  <c r="C89" i="58"/>
  <c r="AC89" i="58"/>
  <c r="AC99" i="58"/>
  <c r="C99" i="58"/>
  <c r="AC105" i="58"/>
  <c r="C105" i="58"/>
  <c r="AG85" i="58" s="1"/>
  <c r="AC109" i="58"/>
  <c r="C109" i="58"/>
  <c r="AG93" i="58" s="1"/>
  <c r="AC107" i="58"/>
  <c r="C107" i="58"/>
  <c r="AG82" i="58" s="1"/>
  <c r="AC95" i="58"/>
  <c r="C95" i="58"/>
  <c r="AC111" i="58"/>
  <c r="C111" i="58"/>
  <c r="AG92" i="58" s="1"/>
  <c r="AC125" i="58"/>
  <c r="C125" i="58"/>
  <c r="C113" i="58"/>
  <c r="AC113" i="58"/>
  <c r="AC127" i="58"/>
  <c r="C127" i="58"/>
  <c r="AC81" i="57"/>
  <c r="C99" i="57"/>
  <c r="AC93" i="57"/>
  <c r="C65" i="57"/>
  <c r="AC97" i="57"/>
  <c r="AG104" i="57"/>
  <c r="AC9" i="57"/>
  <c r="AC65" i="57"/>
  <c r="C27" i="57"/>
  <c r="C125" i="57"/>
  <c r="C107" i="57"/>
  <c r="AC117" i="57"/>
  <c r="C55" i="57"/>
  <c r="AC113" i="57"/>
  <c r="AC17" i="57"/>
  <c r="AC99" i="57"/>
  <c r="C59" i="57"/>
  <c r="AC39" i="57"/>
  <c r="AC43" i="57"/>
  <c r="C63" i="57"/>
  <c r="C97" i="57"/>
  <c r="AC89" i="57"/>
  <c r="C45" i="57"/>
  <c r="AC77" i="57"/>
  <c r="C81" i="57"/>
  <c r="C91" i="57"/>
  <c r="C73" i="57"/>
  <c r="AC115" i="57"/>
  <c r="AC95" i="57"/>
  <c r="AC75" i="57"/>
  <c r="AC53" i="57"/>
  <c r="C49" i="57"/>
  <c r="C123" i="57"/>
  <c r="C47" i="57"/>
  <c r="AC41" i="57"/>
  <c r="AC61" i="57"/>
  <c r="C119" i="57"/>
  <c r="AG95" i="57" s="1"/>
  <c r="AC109" i="57"/>
  <c r="AC123" i="57"/>
  <c r="AC91" i="57"/>
  <c r="C113" i="57"/>
  <c r="AC119" i="57"/>
  <c r="C53" i="57"/>
  <c r="C9" i="57"/>
  <c r="AC87" i="57"/>
  <c r="C17" i="57"/>
  <c r="C33" i="57"/>
  <c r="C29" i="57"/>
  <c r="AC55" i="57"/>
  <c r="C95" i="57"/>
  <c r="AC103" i="57"/>
  <c r="C103" i="57"/>
  <c r="C35" i="57"/>
  <c r="AC31" i="57"/>
  <c r="C19" i="57"/>
  <c r="AC59" i="57"/>
  <c r="AC121" i="57"/>
  <c r="C121" i="57"/>
  <c r="AC63" i="57"/>
  <c r="C87" i="57"/>
  <c r="AC15" i="57"/>
  <c r="C41" i="57"/>
  <c r="C51" i="57"/>
  <c r="AC25" i="57"/>
  <c r="C77" i="57"/>
  <c r="C67" i="57"/>
  <c r="AC49" i="57"/>
  <c r="C93" i="57"/>
  <c r="C61" i="57"/>
  <c r="AC13" i="57"/>
  <c r="C117" i="57"/>
  <c r="AG96" i="57" s="1"/>
  <c r="AC85" i="57"/>
  <c r="C85" i="57"/>
  <c r="AC111" i="57"/>
  <c r="AC57" i="57"/>
  <c r="C57" i="57"/>
  <c r="AC101" i="57"/>
  <c r="C101" i="57"/>
  <c r="AC127" i="57"/>
  <c r="AC51" i="57"/>
  <c r="C23" i="57"/>
  <c r="AC15" i="56"/>
  <c r="C27" i="56"/>
  <c r="AC5" i="56"/>
  <c r="C19" i="56"/>
  <c r="AC113" i="56"/>
  <c r="AC117" i="56"/>
  <c r="AG104" i="56"/>
  <c r="AC17" i="56"/>
  <c r="AC45" i="56"/>
  <c r="C15" i="56"/>
  <c r="AG18" i="56" s="1"/>
  <c r="C53" i="56"/>
  <c r="AC53" i="56"/>
  <c r="C23" i="56"/>
  <c r="AC65" i="56"/>
  <c r="AC61" i="56"/>
  <c r="C109" i="56"/>
  <c r="AG77" i="56" s="1"/>
  <c r="C39" i="56"/>
  <c r="C123" i="56"/>
  <c r="C77" i="56"/>
  <c r="AG95" i="56" s="1"/>
  <c r="AC107" i="56"/>
  <c r="AC29" i="56"/>
  <c r="AC31" i="56"/>
  <c r="C21" i="56"/>
  <c r="AC13" i="56"/>
  <c r="AC49" i="56"/>
  <c r="AC63" i="56"/>
  <c r="AC9" i="56"/>
  <c r="C43" i="56"/>
  <c r="AI75" i="55"/>
  <c r="AJ75" i="55" s="1"/>
  <c r="AK75" i="55"/>
  <c r="AL75" i="55" s="1"/>
  <c r="AM75" i="55"/>
  <c r="AN75" i="55" s="1"/>
  <c r="AM74" i="55"/>
  <c r="AN74" i="55" s="1"/>
  <c r="AK74" i="55"/>
  <c r="AL74" i="55" s="1"/>
  <c r="AI74" i="55"/>
  <c r="AJ74" i="55" s="1"/>
  <c r="AI83" i="55"/>
  <c r="AJ83" i="55" s="1"/>
  <c r="AI91" i="55"/>
  <c r="AJ91" i="55" s="1"/>
  <c r="AI99" i="55"/>
  <c r="AJ99" i="55" s="1"/>
  <c r="AK80" i="55"/>
  <c r="AL80" i="55" s="1"/>
  <c r="AK88" i="55"/>
  <c r="AL88" i="55" s="1"/>
  <c r="AK96" i="55"/>
  <c r="AL96" i="55" s="1"/>
  <c r="AM85" i="55"/>
  <c r="AN85" i="55" s="1"/>
  <c r="AM93" i="55"/>
  <c r="AN93" i="55" s="1"/>
  <c r="AM101" i="55"/>
  <c r="AN101" i="55" s="1"/>
  <c r="AI100" i="55"/>
  <c r="AJ100" i="55" s="1"/>
  <c r="AI76" i="55"/>
  <c r="AJ76" i="55" s="1"/>
  <c r="AK97" i="55"/>
  <c r="AL97" i="55" s="1"/>
  <c r="AM94" i="55"/>
  <c r="AN94" i="55" s="1"/>
  <c r="AI85" i="55"/>
  <c r="AJ85" i="55" s="1"/>
  <c r="AI93" i="55"/>
  <c r="AJ93" i="55" s="1"/>
  <c r="AI101" i="55"/>
  <c r="AJ101" i="55" s="1"/>
  <c r="AK82" i="55"/>
  <c r="AL82" i="55" s="1"/>
  <c r="AK90" i="55"/>
  <c r="AL90" i="55" s="1"/>
  <c r="AK98" i="55"/>
  <c r="AL98" i="55" s="1"/>
  <c r="AM79" i="55"/>
  <c r="AN79" i="55" s="1"/>
  <c r="AM87" i="55"/>
  <c r="AN87" i="55" s="1"/>
  <c r="AM95" i="55"/>
  <c r="AN95" i="55" s="1"/>
  <c r="AK89" i="55"/>
  <c r="AL89" i="55" s="1"/>
  <c r="AI78" i="55"/>
  <c r="AJ78" i="55" s="1"/>
  <c r="AI86" i="55"/>
  <c r="AJ86" i="55" s="1"/>
  <c r="AI94" i="55"/>
  <c r="AJ94" i="55" s="1"/>
  <c r="AK83" i="55"/>
  <c r="AL83" i="55" s="1"/>
  <c r="AK91" i="55"/>
  <c r="AL91" i="55" s="1"/>
  <c r="AK99" i="55"/>
  <c r="AL99" i="55" s="1"/>
  <c r="AM80" i="55"/>
  <c r="AN80" i="55" s="1"/>
  <c r="AM88" i="55"/>
  <c r="AN88" i="55" s="1"/>
  <c r="AM96" i="55"/>
  <c r="AN96" i="55" s="1"/>
  <c r="AI79" i="55"/>
  <c r="AJ79" i="55" s="1"/>
  <c r="AI87" i="55"/>
  <c r="AJ87" i="55" s="1"/>
  <c r="AK76" i="55"/>
  <c r="AL76" i="55" s="1"/>
  <c r="AK84" i="55"/>
  <c r="AL84" i="55" s="1"/>
  <c r="AK92" i="55"/>
  <c r="AL92" i="55" s="1"/>
  <c r="AK100" i="55"/>
  <c r="AL100" i="55" s="1"/>
  <c r="AM81" i="55"/>
  <c r="AN81" i="55" s="1"/>
  <c r="AM89" i="55"/>
  <c r="AN89" i="55" s="1"/>
  <c r="AM97" i="55"/>
  <c r="AN97" i="55" s="1"/>
  <c r="AK81" i="55"/>
  <c r="AL81" i="55" s="1"/>
  <c r="AI95" i="55"/>
  <c r="AJ95" i="55" s="1"/>
  <c r="AI80" i="55"/>
  <c r="AJ80" i="55" s="1"/>
  <c r="AI88" i="55"/>
  <c r="AJ88" i="55" s="1"/>
  <c r="AI96" i="55"/>
  <c r="AJ96" i="55" s="1"/>
  <c r="AK85" i="55"/>
  <c r="AL85" i="55" s="1"/>
  <c r="AK93" i="55"/>
  <c r="AL93" i="55" s="1"/>
  <c r="AK101" i="55"/>
  <c r="AL101" i="55" s="1"/>
  <c r="AM82" i="55"/>
  <c r="AN82" i="55" s="1"/>
  <c r="AM90" i="55"/>
  <c r="AN90" i="55" s="1"/>
  <c r="AM98" i="55"/>
  <c r="AN98" i="55" s="1"/>
  <c r="AI90" i="55"/>
  <c r="AJ90" i="55" s="1"/>
  <c r="AK79" i="55"/>
  <c r="AL79" i="55" s="1"/>
  <c r="AK95" i="55"/>
  <c r="AL95" i="55" s="1"/>
  <c r="AM84" i="55"/>
  <c r="AN84" i="55" s="1"/>
  <c r="AM100" i="55"/>
  <c r="AN100" i="55" s="1"/>
  <c r="AI84" i="55"/>
  <c r="AJ84" i="55" s="1"/>
  <c r="AM86" i="55"/>
  <c r="AN86" i="55" s="1"/>
  <c r="AI81" i="55"/>
  <c r="AJ81" i="55" s="1"/>
  <c r="AI89" i="55"/>
  <c r="AJ89" i="55" s="1"/>
  <c r="AI97" i="55"/>
  <c r="AJ97" i="55" s="1"/>
  <c r="AK78" i="55"/>
  <c r="AL78" i="55" s="1"/>
  <c r="AK86" i="55"/>
  <c r="AL86" i="55" s="1"/>
  <c r="AK94" i="55"/>
  <c r="AL94" i="55" s="1"/>
  <c r="AM83" i="55"/>
  <c r="AN83" i="55" s="1"/>
  <c r="AM91" i="55"/>
  <c r="AN91" i="55" s="1"/>
  <c r="AM99" i="55"/>
  <c r="AN99" i="55" s="1"/>
  <c r="AI82" i="55"/>
  <c r="AJ82" i="55" s="1"/>
  <c r="AI98" i="55"/>
  <c r="AJ98" i="55" s="1"/>
  <c r="AK87" i="55"/>
  <c r="AL87" i="55" s="1"/>
  <c r="AM76" i="55"/>
  <c r="AN76" i="55" s="1"/>
  <c r="AM92" i="55"/>
  <c r="AN92" i="55" s="1"/>
  <c r="AI92" i="55"/>
  <c r="AJ92" i="55" s="1"/>
  <c r="AM78" i="55"/>
  <c r="AN78" i="55" s="1"/>
  <c r="AM77" i="55"/>
  <c r="AN77" i="55" s="1"/>
  <c r="AI77" i="55"/>
  <c r="AJ77" i="55" s="1"/>
  <c r="AK77" i="55"/>
  <c r="AL77" i="55" s="1"/>
  <c r="AC73" i="56"/>
  <c r="C75" i="56"/>
  <c r="AG82" i="56" s="1"/>
  <c r="AC51" i="56"/>
  <c r="AC125" i="56"/>
  <c r="C61" i="56"/>
  <c r="AC81" i="56"/>
  <c r="AC119" i="56"/>
  <c r="C59" i="56"/>
  <c r="AC55" i="56"/>
  <c r="C49" i="56"/>
  <c r="C73" i="56"/>
  <c r="AG90" i="56" s="1"/>
  <c r="C67" i="56"/>
  <c r="AC67" i="56"/>
  <c r="C87" i="56"/>
  <c r="AG94" i="56" s="1"/>
  <c r="AC87" i="56"/>
  <c r="C125" i="56"/>
  <c r="C127" i="56"/>
  <c r="AC127" i="56"/>
  <c r="AC109" i="56"/>
  <c r="AC83" i="56"/>
  <c r="C83" i="56"/>
  <c r="AG87" i="56" s="1"/>
  <c r="C55" i="56"/>
  <c r="AC37" i="56"/>
  <c r="AC123" i="56"/>
  <c r="AC79" i="56"/>
  <c r="C79" i="56"/>
  <c r="AG85" i="56" s="1"/>
  <c r="C11" i="56"/>
  <c r="C17" i="56"/>
  <c r="AC121" i="56"/>
  <c r="C121" i="56"/>
  <c r="AG35" i="56"/>
  <c r="AC95" i="56"/>
  <c r="C95" i="56"/>
  <c r="AG78" i="56" s="1"/>
  <c r="AC99" i="56"/>
  <c r="C99" i="56"/>
  <c r="AG79" i="56" s="1"/>
  <c r="C105" i="56"/>
  <c r="AG97" i="56" s="1"/>
  <c r="AC105" i="56"/>
  <c r="AC23" i="56"/>
  <c r="C111" i="56"/>
  <c r="AG84" i="56" s="1"/>
  <c r="AC111" i="56"/>
  <c r="C65" i="56"/>
  <c r="AC39" i="56"/>
  <c r="C35" i="56"/>
  <c r="AC35" i="56"/>
  <c r="AC103" i="56"/>
  <c r="C103" i="56"/>
  <c r="AG80" i="56" s="1"/>
  <c r="C51" i="56"/>
  <c r="AC21" i="56"/>
  <c r="C7" i="56"/>
  <c r="AC115" i="56"/>
  <c r="C115" i="56"/>
  <c r="AG92" i="56" s="1"/>
  <c r="AC57" i="56"/>
  <c r="C57" i="56"/>
  <c r="C113" i="56"/>
  <c r="AG75" i="56" s="1"/>
  <c r="AC41" i="56"/>
  <c r="C41" i="56"/>
  <c r="C37" i="56"/>
  <c r="AC85" i="56"/>
  <c r="C85" i="56"/>
  <c r="AG88" i="56" s="1"/>
  <c r="C81" i="56"/>
  <c r="AG83" i="56" s="1"/>
  <c r="C5" i="56"/>
  <c r="C119" i="56"/>
  <c r="AG76" i="56" s="1"/>
  <c r="C25" i="56"/>
  <c r="AC101" i="56"/>
  <c r="C101" i="56"/>
  <c r="AG81" i="56" s="1"/>
  <c r="C9" i="56"/>
  <c r="AC89" i="56"/>
  <c r="C89" i="56"/>
  <c r="AG89" i="56" s="1"/>
  <c r="C47" i="56"/>
  <c r="AC47" i="56"/>
  <c r="C117" i="56"/>
  <c r="AG91" i="56" s="1"/>
  <c r="C33" i="56"/>
  <c r="C91" i="56"/>
  <c r="AG93" i="56" s="1"/>
  <c r="AC91" i="56"/>
  <c r="AC97" i="56"/>
  <c r="C97" i="56"/>
  <c r="AG74" i="56" s="1"/>
  <c r="G66" i="55"/>
  <c r="G58" i="55"/>
  <c r="Z88" i="55"/>
  <c r="Z44" i="55"/>
  <c r="Z58" i="55"/>
  <c r="Z64" i="55"/>
  <c r="Z56" i="55"/>
  <c r="Z28" i="55"/>
  <c r="Z26" i="55"/>
  <c r="Z24" i="55"/>
  <c r="Z62" i="55"/>
  <c r="Z22" i="55"/>
  <c r="Z6" i="55"/>
  <c r="K36" i="55"/>
  <c r="K58" i="55"/>
  <c r="S60" i="55"/>
  <c r="S66" i="55"/>
  <c r="S38" i="55"/>
  <c r="AA62" i="55"/>
  <c r="AA84" i="55"/>
  <c r="K46" i="55"/>
  <c r="AA50" i="55"/>
  <c r="AA56" i="55"/>
  <c r="S40" i="55"/>
  <c r="S42" i="55"/>
  <c r="S44" i="55"/>
  <c r="AA36" i="55"/>
  <c r="S124" i="55"/>
  <c r="AK8" i="55"/>
  <c r="AL8" i="55" s="1"/>
  <c r="AA46" i="55"/>
  <c r="K56" i="55"/>
  <c r="K62" i="55"/>
  <c r="K64" i="55"/>
  <c r="AA106" i="55"/>
  <c r="E112" i="55"/>
  <c r="E90" i="55"/>
  <c r="E88" i="55"/>
  <c r="E110" i="55"/>
  <c r="M126" i="55"/>
  <c r="M116" i="55"/>
  <c r="M54" i="55"/>
  <c r="M46" i="55"/>
  <c r="M40" i="55"/>
  <c r="M120" i="55"/>
  <c r="M68" i="55"/>
  <c r="M62" i="55"/>
  <c r="M58" i="55"/>
  <c r="M50" i="55"/>
  <c r="M44" i="55"/>
  <c r="M38" i="55"/>
  <c r="M36" i="55"/>
  <c r="M42" i="55"/>
  <c r="M64" i="55"/>
  <c r="M56" i="55"/>
  <c r="M122" i="55"/>
  <c r="M60" i="55"/>
  <c r="M124" i="55"/>
  <c r="M66" i="55"/>
  <c r="M52" i="55"/>
  <c r="M48" i="55"/>
  <c r="U126" i="55"/>
  <c r="U62" i="55"/>
  <c r="U68" i="55"/>
  <c r="G74" i="55"/>
  <c r="G82" i="55"/>
  <c r="G78" i="55"/>
  <c r="W64" i="55"/>
  <c r="W128" i="55"/>
  <c r="W22" i="55"/>
  <c r="W34" i="55"/>
  <c r="W66" i="55"/>
  <c r="W42" i="55"/>
  <c r="W46" i="55"/>
  <c r="W32" i="55"/>
  <c r="W16" i="55"/>
  <c r="W10" i="55"/>
  <c r="W60" i="55"/>
  <c r="W114" i="55"/>
  <c r="W56" i="55"/>
  <c r="W12" i="55"/>
  <c r="W68" i="55"/>
  <c r="W30" i="55"/>
  <c r="W62" i="55"/>
  <c r="W24" i="55"/>
  <c r="G118" i="55"/>
  <c r="G44" i="55"/>
  <c r="AM5" i="55"/>
  <c r="AN5" i="55" s="1"/>
  <c r="AK9" i="55"/>
  <c r="AL9" i="55" s="1"/>
  <c r="H40" i="55"/>
  <c r="G120" i="55"/>
  <c r="G126" i="55"/>
  <c r="G68" i="55"/>
  <c r="AM9" i="55"/>
  <c r="AN9" i="55" s="1"/>
  <c r="G116" i="55"/>
  <c r="AM7" i="55"/>
  <c r="AN7" i="55" s="1"/>
  <c r="O114" i="55"/>
  <c r="O54" i="55"/>
  <c r="O44" i="55"/>
  <c r="O46" i="55"/>
  <c r="O128" i="55"/>
  <c r="O58" i="55"/>
  <c r="O50" i="55"/>
  <c r="O60" i="55"/>
  <c r="J64" i="55"/>
  <c r="J52" i="55"/>
  <c r="J46" i="55"/>
  <c r="J54" i="55"/>
  <c r="J44" i="55"/>
  <c r="J122" i="55"/>
  <c r="J118" i="55"/>
  <c r="J36" i="55"/>
  <c r="J66" i="55"/>
  <c r="J38" i="55"/>
  <c r="J56" i="55"/>
  <c r="J50" i="55"/>
  <c r="J68" i="55"/>
  <c r="J60" i="55"/>
  <c r="J62" i="55"/>
  <c r="J48" i="55"/>
  <c r="J42" i="55"/>
  <c r="J40" i="55"/>
  <c r="J58" i="55"/>
  <c r="R52" i="55"/>
  <c r="R64" i="55"/>
  <c r="R48" i="55"/>
  <c r="Z36" i="55"/>
  <c r="P40" i="55"/>
  <c r="S48" i="55"/>
  <c r="K50" i="55"/>
  <c r="Z50" i="55"/>
  <c r="S54" i="55"/>
  <c r="AA58" i="55"/>
  <c r="AA64" i="55"/>
  <c r="E74" i="55"/>
  <c r="E76" i="55"/>
  <c r="E78" i="55"/>
  <c r="Z92" i="55"/>
  <c r="E102" i="55"/>
  <c r="AA124" i="55"/>
  <c r="AA128" i="55"/>
  <c r="E100" i="55"/>
  <c r="Z104" i="55"/>
  <c r="AK13" i="55"/>
  <c r="AL13" i="55" s="1"/>
  <c r="AM17" i="55"/>
  <c r="AN17" i="55" s="1"/>
  <c r="AA30" i="55"/>
  <c r="Z42" i="55"/>
  <c r="K44" i="55"/>
  <c r="S46" i="55"/>
  <c r="AA48" i="55"/>
  <c r="S52" i="55"/>
  <c r="K54" i="55"/>
  <c r="Z54" i="55"/>
  <c r="Z68" i="55"/>
  <c r="Z80" i="55"/>
  <c r="AA82" i="55"/>
  <c r="E94" i="55"/>
  <c r="E106" i="55"/>
  <c r="Z118" i="55"/>
  <c r="Z122" i="55"/>
  <c r="Z8" i="55"/>
  <c r="Z30" i="55"/>
  <c r="AI7" i="55"/>
  <c r="AJ7" i="55" s="1"/>
  <c r="Z32" i="55"/>
  <c r="Z34" i="55"/>
  <c r="Z38" i="55"/>
  <c r="K40" i="55"/>
  <c r="K42" i="55"/>
  <c r="AA42" i="55"/>
  <c r="K48" i="55"/>
  <c r="AA54" i="55"/>
  <c r="Z60" i="55"/>
  <c r="S64" i="55"/>
  <c r="Z74" i="55"/>
  <c r="Z78" i="55"/>
  <c r="I116" i="55"/>
  <c r="K128" i="55"/>
  <c r="Z10" i="55"/>
  <c r="Z14" i="55"/>
  <c r="AA32" i="55"/>
  <c r="AA34" i="55"/>
  <c r="AA38" i="55"/>
  <c r="Z40" i="55"/>
  <c r="S50" i="55"/>
  <c r="Z52" i="55"/>
  <c r="S56" i="55"/>
  <c r="S58" i="55"/>
  <c r="K60" i="55"/>
  <c r="AA60" i="55"/>
  <c r="S62" i="55"/>
  <c r="Z66" i="55"/>
  <c r="AA74" i="55"/>
  <c r="Z76" i="55"/>
  <c r="AA78" i="55"/>
  <c r="E104" i="55"/>
  <c r="K124" i="55"/>
  <c r="AM16" i="55"/>
  <c r="AN16" i="55" s="1"/>
  <c r="Z48" i="55"/>
  <c r="Z82" i="55"/>
  <c r="Z12" i="55"/>
  <c r="Z16" i="55"/>
  <c r="Z18" i="55"/>
  <c r="Z20" i="55"/>
  <c r="S36" i="55"/>
  <c r="K38" i="55"/>
  <c r="AA40" i="55"/>
  <c r="Z46" i="55"/>
  <c r="AA52" i="55"/>
  <c r="AA66" i="55"/>
  <c r="AA108" i="55"/>
  <c r="W116" i="55"/>
  <c r="F62" i="55"/>
  <c r="F48" i="55"/>
  <c r="F66" i="55"/>
  <c r="F56" i="55"/>
  <c r="F52" i="55"/>
  <c r="F42" i="55"/>
  <c r="F64" i="55"/>
  <c r="F114" i="55"/>
  <c r="F38" i="55"/>
  <c r="F54" i="55"/>
  <c r="F50" i="55"/>
  <c r="F60" i="55"/>
  <c r="F46" i="55"/>
  <c r="F126" i="55"/>
  <c r="F68" i="55"/>
  <c r="F58" i="55"/>
  <c r="F44" i="55"/>
  <c r="F40" i="55"/>
  <c r="F36" i="55"/>
  <c r="AM11" i="55"/>
  <c r="AN11" i="55" s="1"/>
  <c r="U38" i="55"/>
  <c r="G48" i="55"/>
  <c r="G62" i="55"/>
  <c r="G122" i="55"/>
  <c r="G124" i="55"/>
  <c r="AM8" i="55"/>
  <c r="AN8" i="55" s="1"/>
  <c r="AI9" i="55"/>
  <c r="AJ9" i="55" s="1"/>
  <c r="Y10" i="55"/>
  <c r="Y16" i="55"/>
  <c r="Y22" i="55"/>
  <c r="Y30" i="55"/>
  <c r="O36" i="55"/>
  <c r="W38" i="55"/>
  <c r="G40" i="55"/>
  <c r="O40" i="55"/>
  <c r="U42" i="55"/>
  <c r="Q44" i="55"/>
  <c r="Y46" i="55"/>
  <c r="I48" i="55"/>
  <c r="U56" i="55"/>
  <c r="Q58" i="55"/>
  <c r="Y60" i="55"/>
  <c r="I62" i="55"/>
  <c r="O64" i="55"/>
  <c r="U66" i="55"/>
  <c r="AK4" i="55"/>
  <c r="AL4" i="55" s="1"/>
  <c r="AK5" i="55"/>
  <c r="AL5" i="55" s="1"/>
  <c r="W8" i="55"/>
  <c r="AI11" i="55"/>
  <c r="AJ11" i="55" s="1"/>
  <c r="Y12" i="55"/>
  <c r="W14" i="55"/>
  <c r="W18" i="55"/>
  <c r="W26" i="55"/>
  <c r="Y34" i="55"/>
  <c r="I36" i="55"/>
  <c r="O38" i="55"/>
  <c r="U44" i="55"/>
  <c r="Q46" i="55"/>
  <c r="W48" i="55"/>
  <c r="G50" i="55"/>
  <c r="W52" i="55"/>
  <c r="G54" i="55"/>
  <c r="U58" i="55"/>
  <c r="Q60" i="55"/>
  <c r="Y62" i="55"/>
  <c r="I64" i="55"/>
  <c r="Y68" i="55"/>
  <c r="O118" i="55"/>
  <c r="O120" i="55"/>
  <c r="U122" i="55"/>
  <c r="W126" i="55"/>
  <c r="Y8" i="55"/>
  <c r="AM6" i="55"/>
  <c r="AN6" i="55" s="1"/>
  <c r="X14" i="55"/>
  <c r="Y18" i="55"/>
  <c r="Y26" i="55"/>
  <c r="U36" i="55"/>
  <c r="Q38" i="55"/>
  <c r="O42" i="55"/>
  <c r="W44" i="55"/>
  <c r="G46" i="55"/>
  <c r="Y48" i="55"/>
  <c r="I50" i="55"/>
  <c r="O52" i="55"/>
  <c r="Y52" i="55"/>
  <c r="I54" i="55"/>
  <c r="O56" i="55"/>
  <c r="W58" i="55"/>
  <c r="G60" i="55"/>
  <c r="O66" i="55"/>
  <c r="O116" i="55"/>
  <c r="U120" i="55"/>
  <c r="W122" i="55"/>
  <c r="U124" i="55"/>
  <c r="AK29" i="55"/>
  <c r="AL29" i="55" s="1"/>
  <c r="AI5" i="55"/>
  <c r="AJ5" i="55" s="1"/>
  <c r="U48" i="55"/>
  <c r="U52" i="55"/>
  <c r="O122" i="55"/>
  <c r="O126" i="55"/>
  <c r="W6" i="55"/>
  <c r="Y14" i="55"/>
  <c r="W20" i="55"/>
  <c r="W28" i="55"/>
  <c r="W36" i="55"/>
  <c r="G38" i="55"/>
  <c r="U40" i="55"/>
  <c r="Q42" i="55"/>
  <c r="Y44" i="55"/>
  <c r="I46" i="55"/>
  <c r="O48" i="55"/>
  <c r="U50" i="55"/>
  <c r="U54" i="55"/>
  <c r="Q56" i="55"/>
  <c r="Y58" i="55"/>
  <c r="I60" i="55"/>
  <c r="O62" i="55"/>
  <c r="U64" i="55"/>
  <c r="Q66" i="55"/>
  <c r="G114" i="55"/>
  <c r="Q116" i="55"/>
  <c r="W118" i="55"/>
  <c r="W120" i="55"/>
  <c r="W124" i="55"/>
  <c r="G128" i="55"/>
  <c r="G36" i="55"/>
  <c r="G64" i="55"/>
  <c r="O124" i="55"/>
  <c r="Y6" i="55"/>
  <c r="AM21" i="55"/>
  <c r="AN21" i="55" s="1"/>
  <c r="AG26" i="55"/>
  <c r="Y20" i="55"/>
  <c r="Y28" i="55"/>
  <c r="Y36" i="55"/>
  <c r="I38" i="55"/>
  <c r="W40" i="55"/>
  <c r="G42" i="55"/>
  <c r="U46" i="55"/>
  <c r="Q48" i="55"/>
  <c r="W50" i="55"/>
  <c r="G52" i="55"/>
  <c r="Q52" i="55"/>
  <c r="W54" i="55"/>
  <c r="G56" i="55"/>
  <c r="U60" i="55"/>
  <c r="O68" i="55"/>
  <c r="U116" i="55"/>
  <c r="AK22" i="55"/>
  <c r="AL22" i="55" s="1"/>
  <c r="AM25" i="55"/>
  <c r="AN25" i="55" s="1"/>
  <c r="AM28" i="55"/>
  <c r="AN28" i="55" s="1"/>
  <c r="AK28" i="55"/>
  <c r="AL28" i="55" s="1"/>
  <c r="AI28" i="55"/>
  <c r="AJ28" i="55" s="1"/>
  <c r="AG28" i="55"/>
  <c r="F102" i="55"/>
  <c r="F106" i="55"/>
  <c r="F90" i="55"/>
  <c r="F82" i="55"/>
  <c r="F100" i="55"/>
  <c r="F84" i="55"/>
  <c r="F78" i="55"/>
  <c r="F74" i="55"/>
  <c r="N116" i="55"/>
  <c r="N122" i="55"/>
  <c r="N128" i="55"/>
  <c r="N118" i="55"/>
  <c r="N124" i="55"/>
  <c r="N120" i="55"/>
  <c r="N126" i="55"/>
  <c r="N62" i="55"/>
  <c r="N46" i="55"/>
  <c r="N52" i="55"/>
  <c r="N68" i="55"/>
  <c r="N58" i="55"/>
  <c r="N42" i="55"/>
  <c r="N36" i="55"/>
  <c r="N64" i="55"/>
  <c r="N48" i="55"/>
  <c r="N54" i="55"/>
  <c r="N38" i="55"/>
  <c r="N66" i="55"/>
  <c r="N50" i="55"/>
  <c r="V116" i="55"/>
  <c r="V122" i="55"/>
  <c r="V128" i="55"/>
  <c r="V118" i="55"/>
  <c r="V124" i="55"/>
  <c r="V120" i="55"/>
  <c r="V62" i="55"/>
  <c r="V46" i="55"/>
  <c r="V32" i="55"/>
  <c r="V16" i="55"/>
  <c r="V52" i="55"/>
  <c r="V34" i="55"/>
  <c r="V114" i="55"/>
  <c r="V58" i="55"/>
  <c r="V42" i="55"/>
  <c r="V36" i="55"/>
  <c r="V20" i="55"/>
  <c r="V68" i="55"/>
  <c r="V64" i="55"/>
  <c r="V48" i="55"/>
  <c r="V22" i="55"/>
  <c r="V54" i="55"/>
  <c r="V38" i="55"/>
  <c r="V24" i="55"/>
  <c r="V66" i="55"/>
  <c r="V50" i="55"/>
  <c r="V28" i="55"/>
  <c r="D98" i="55"/>
  <c r="D102" i="55"/>
  <c r="D104" i="55"/>
  <c r="D88" i="55"/>
  <c r="D112" i="55"/>
  <c r="D106" i="55"/>
  <c r="D96" i="55"/>
  <c r="D86" i="55"/>
  <c r="D80" i="55"/>
  <c r="AM4" i="55"/>
  <c r="AN4" i="55" s="1"/>
  <c r="AI10" i="55"/>
  <c r="AJ10" i="55" s="1"/>
  <c r="AK19" i="55"/>
  <c r="AL19" i="55" s="1"/>
  <c r="AI19" i="55"/>
  <c r="AJ19" i="55" s="1"/>
  <c r="AG19" i="55"/>
  <c r="AM19" i="55"/>
  <c r="AN19" i="55" s="1"/>
  <c r="X22" i="55"/>
  <c r="AM22" i="55"/>
  <c r="AN22" i="55" s="1"/>
  <c r="AI26" i="55"/>
  <c r="AJ26" i="55" s="1"/>
  <c r="V30" i="55"/>
  <c r="AG30" i="55"/>
  <c r="V44" i="55"/>
  <c r="E50" i="55"/>
  <c r="E120" i="55"/>
  <c r="R124" i="55"/>
  <c r="R114" i="55"/>
  <c r="R120" i="55"/>
  <c r="R126" i="55"/>
  <c r="R116" i="55"/>
  <c r="R128" i="55"/>
  <c r="R54" i="55"/>
  <c r="R38" i="55"/>
  <c r="R60" i="55"/>
  <c r="R44" i="55"/>
  <c r="R66" i="55"/>
  <c r="R50" i="55"/>
  <c r="R56" i="55"/>
  <c r="R40" i="55"/>
  <c r="R62" i="55"/>
  <c r="R46" i="55"/>
  <c r="R118" i="55"/>
  <c r="R68" i="55"/>
  <c r="R58" i="55"/>
  <c r="R42" i="55"/>
  <c r="R36" i="55"/>
  <c r="AI30" i="55"/>
  <c r="AJ30" i="55" s="1"/>
  <c r="AG99" i="55"/>
  <c r="AG101" i="55"/>
  <c r="AG96" i="55"/>
  <c r="AG95" i="55"/>
  <c r="AG100" i="55"/>
  <c r="N114" i="55"/>
  <c r="H128" i="55"/>
  <c r="H118" i="55"/>
  <c r="H124" i="55"/>
  <c r="H114" i="55"/>
  <c r="H120" i="55"/>
  <c r="H116" i="55"/>
  <c r="H58" i="55"/>
  <c r="H42" i="55"/>
  <c r="H36" i="55"/>
  <c r="H126" i="55"/>
  <c r="H64" i="55"/>
  <c r="H48" i="55"/>
  <c r="H54" i="55"/>
  <c r="H38" i="55"/>
  <c r="H60" i="55"/>
  <c r="H44" i="55"/>
  <c r="H122" i="55"/>
  <c r="H66" i="55"/>
  <c r="H50" i="55"/>
  <c r="H62" i="55"/>
  <c r="H46" i="55"/>
  <c r="X128" i="55"/>
  <c r="X118" i="55"/>
  <c r="X124" i="55"/>
  <c r="X114" i="55"/>
  <c r="X120" i="55"/>
  <c r="X116" i="55"/>
  <c r="X58" i="55"/>
  <c r="X42" i="55"/>
  <c r="X36" i="55"/>
  <c r="X20" i="55"/>
  <c r="X68" i="55"/>
  <c r="X64" i="55"/>
  <c r="X48" i="55"/>
  <c r="X54" i="55"/>
  <c r="X38" i="55"/>
  <c r="X24" i="55"/>
  <c r="X126" i="55"/>
  <c r="X60" i="55"/>
  <c r="X44" i="55"/>
  <c r="X26" i="55"/>
  <c r="X10" i="55"/>
  <c r="X122" i="55"/>
  <c r="X66" i="55"/>
  <c r="X50" i="55"/>
  <c r="X28" i="55"/>
  <c r="X62" i="55"/>
  <c r="X46" i="55"/>
  <c r="X32" i="55"/>
  <c r="X16" i="55"/>
  <c r="AK7" i="55"/>
  <c r="AL7" i="55" s="1"/>
  <c r="D6" i="55"/>
  <c r="AI6" i="55"/>
  <c r="AJ6" i="55" s="1"/>
  <c r="V10" i="55"/>
  <c r="AM12" i="55"/>
  <c r="AN12" i="55" s="1"/>
  <c r="V18" i="55"/>
  <c r="AG21" i="55"/>
  <c r="V26" i="55"/>
  <c r="AM26" i="55"/>
  <c r="AN26" i="55" s="1"/>
  <c r="X30" i="55"/>
  <c r="E38" i="55"/>
  <c r="N44" i="55"/>
  <c r="V56" i="55"/>
  <c r="AM18" i="55"/>
  <c r="AN18" i="55" s="1"/>
  <c r="AI8" i="55"/>
  <c r="AJ8" i="55" s="1"/>
  <c r="V8" i="55"/>
  <c r="V12" i="55"/>
  <c r="AM15" i="55"/>
  <c r="AN15" i="55" s="1"/>
  <c r="AI16" i="55"/>
  <c r="AJ16" i="55" s="1"/>
  <c r="AI18" i="55"/>
  <c r="AJ18" i="55" s="1"/>
  <c r="AI20" i="55"/>
  <c r="AJ20" i="55" s="1"/>
  <c r="AK21" i="55"/>
  <c r="AL21" i="55" s="1"/>
  <c r="AM23" i="55"/>
  <c r="AN23" i="55" s="1"/>
  <c r="AK23" i="55"/>
  <c r="AL23" i="55" s="1"/>
  <c r="AI23" i="55"/>
  <c r="AJ23" i="55" s="1"/>
  <c r="AG23" i="55"/>
  <c r="AM29" i="55"/>
  <c r="AN29" i="55" s="1"/>
  <c r="N56" i="55"/>
  <c r="E124" i="55"/>
  <c r="AM14" i="55"/>
  <c r="AN14" i="55" s="1"/>
  <c r="AI21" i="55"/>
  <c r="AJ21" i="55" s="1"/>
  <c r="AI4" i="55"/>
  <c r="AJ4" i="55" s="1"/>
  <c r="V6" i="55"/>
  <c r="AK6" i="55"/>
  <c r="AL6" i="55" s="1"/>
  <c r="AK10" i="55"/>
  <c r="AL10" i="55" s="1"/>
  <c r="AM13" i="55"/>
  <c r="AN13" i="55" s="1"/>
  <c r="AK14" i="55"/>
  <c r="AL14" i="55" s="1"/>
  <c r="X18" i="55"/>
  <c r="AK18" i="55"/>
  <c r="AL18" i="55" s="1"/>
  <c r="AI29" i="55"/>
  <c r="AJ29" i="55" s="1"/>
  <c r="X56" i="55"/>
  <c r="V60" i="55"/>
  <c r="H68" i="55"/>
  <c r="D92" i="55"/>
  <c r="V126" i="55"/>
  <c r="P128" i="55"/>
  <c r="P118" i="55"/>
  <c r="P124" i="55"/>
  <c r="P114" i="55"/>
  <c r="P120" i="55"/>
  <c r="P116" i="55"/>
  <c r="P122" i="55"/>
  <c r="P68" i="55"/>
  <c r="P58" i="55"/>
  <c r="P42" i="55"/>
  <c r="P36" i="55"/>
  <c r="P64" i="55"/>
  <c r="P48" i="55"/>
  <c r="P54" i="55"/>
  <c r="P38" i="55"/>
  <c r="P60" i="55"/>
  <c r="P44" i="55"/>
  <c r="P66" i="55"/>
  <c r="P50" i="55"/>
  <c r="P126" i="55"/>
  <c r="P62" i="55"/>
  <c r="P46" i="55"/>
  <c r="E126" i="55"/>
  <c r="E116" i="55"/>
  <c r="E122" i="55"/>
  <c r="E128" i="55"/>
  <c r="E118" i="55"/>
  <c r="E114" i="55"/>
  <c r="E56" i="55"/>
  <c r="E40" i="55"/>
  <c r="E62" i="55"/>
  <c r="E46" i="55"/>
  <c r="E68" i="55"/>
  <c r="E52" i="55"/>
  <c r="E58" i="55"/>
  <c r="E42" i="55"/>
  <c r="E36" i="55"/>
  <c r="E64" i="55"/>
  <c r="E48" i="55"/>
  <c r="E60" i="55"/>
  <c r="E44" i="55"/>
  <c r="X8" i="55"/>
  <c r="AM10" i="55"/>
  <c r="AN10" i="55" s="1"/>
  <c r="X12" i="55"/>
  <c r="AI12" i="55"/>
  <c r="AJ12" i="55" s="1"/>
  <c r="V14" i="55"/>
  <c r="AI17" i="55"/>
  <c r="AJ17" i="55" s="1"/>
  <c r="AG22" i="55"/>
  <c r="AG25" i="55"/>
  <c r="AG27" i="55"/>
  <c r="AI31" i="55"/>
  <c r="AJ31" i="55" s="1"/>
  <c r="X34" i="55"/>
  <c r="H56" i="55"/>
  <c r="P56" i="55"/>
  <c r="R122" i="55"/>
  <c r="AG36" i="55"/>
  <c r="AG35" i="55" s="1"/>
  <c r="AI15" i="55"/>
  <c r="AJ15" i="55" s="1"/>
  <c r="AM30" i="55"/>
  <c r="AN30" i="55" s="1"/>
  <c r="AG29" i="55"/>
  <c r="AK26" i="55"/>
  <c r="AL26" i="55" s="1"/>
  <c r="AG31" i="55"/>
  <c r="AG20" i="55"/>
  <c r="AK30" i="55"/>
  <c r="AL30" i="55" s="1"/>
  <c r="AK25" i="55"/>
  <c r="AL25" i="55" s="1"/>
  <c r="AM31" i="55"/>
  <c r="AN31" i="55" s="1"/>
  <c r="AM20" i="55"/>
  <c r="AN20" i="55" s="1"/>
  <c r="AK20" i="55"/>
  <c r="AL20" i="55" s="1"/>
  <c r="AK15" i="55"/>
  <c r="AL15" i="55" s="1"/>
  <c r="X6" i="55"/>
  <c r="AK11" i="55"/>
  <c r="AL11" i="55" s="1"/>
  <c r="AK12" i="55"/>
  <c r="AL12" i="55" s="1"/>
  <c r="AI13" i="55"/>
  <c r="AJ13" i="55" s="1"/>
  <c r="AI14" i="55"/>
  <c r="AJ14" i="55" s="1"/>
  <c r="AK16" i="55"/>
  <c r="AL16" i="55" s="1"/>
  <c r="AK17" i="55"/>
  <c r="AL17" i="55" s="1"/>
  <c r="AI22" i="55"/>
  <c r="AJ22" i="55" s="1"/>
  <c r="AK24" i="55"/>
  <c r="AL24" i="55" s="1"/>
  <c r="AI24" i="55"/>
  <c r="AJ24" i="55" s="1"/>
  <c r="AG24" i="55"/>
  <c r="AM24" i="55"/>
  <c r="AN24" i="55" s="1"/>
  <c r="AI25" i="55"/>
  <c r="AJ25" i="55" s="1"/>
  <c r="V40" i="55"/>
  <c r="X52" i="55"/>
  <c r="E54" i="55"/>
  <c r="N60" i="55"/>
  <c r="AG94" i="55"/>
  <c r="AI27" i="55"/>
  <c r="AJ27" i="55" s="1"/>
  <c r="AK31" i="55"/>
  <c r="AL31" i="55" s="1"/>
  <c r="F116" i="55"/>
  <c r="F122" i="55"/>
  <c r="F128" i="55"/>
  <c r="F118" i="55"/>
  <c r="F124" i="55"/>
  <c r="F120" i="55"/>
  <c r="AK27" i="55"/>
  <c r="AL27" i="55" s="1"/>
  <c r="AG97" i="55"/>
  <c r="AG98" i="55"/>
  <c r="I118" i="55"/>
  <c r="I124" i="55"/>
  <c r="I114" i="55"/>
  <c r="I120" i="55"/>
  <c r="I126" i="55"/>
  <c r="I122" i="55"/>
  <c r="Q118" i="55"/>
  <c r="Q124" i="55"/>
  <c r="Q114" i="55"/>
  <c r="Q120" i="55"/>
  <c r="Q126" i="55"/>
  <c r="Q122" i="55"/>
  <c r="Y118" i="55"/>
  <c r="Y124" i="55"/>
  <c r="Y114" i="55"/>
  <c r="Y120" i="55"/>
  <c r="Y126" i="55"/>
  <c r="Y122" i="55"/>
  <c r="Q128" i="55"/>
  <c r="J124" i="55"/>
  <c r="J114" i="55"/>
  <c r="J120" i="55"/>
  <c r="J126" i="55"/>
  <c r="J116" i="55"/>
  <c r="J128" i="55"/>
  <c r="Z124" i="55"/>
  <c r="Z108" i="55"/>
  <c r="Z94" i="55"/>
  <c r="Z114" i="55"/>
  <c r="Z96" i="55"/>
  <c r="Z120" i="55"/>
  <c r="Z98" i="55"/>
  <c r="Z126" i="55"/>
  <c r="Z110" i="55"/>
  <c r="Z100" i="55"/>
  <c r="Z84" i="55"/>
  <c r="Z116" i="55"/>
  <c r="Z102" i="55"/>
  <c r="Z86" i="55"/>
  <c r="Z128" i="55"/>
  <c r="Z112" i="55"/>
  <c r="Z106" i="55"/>
  <c r="Z90" i="55"/>
  <c r="AM27" i="55"/>
  <c r="AN27" i="55" s="1"/>
  <c r="K114" i="55"/>
  <c r="K120" i="55"/>
  <c r="K126" i="55"/>
  <c r="K116" i="55"/>
  <c r="K68" i="55"/>
  <c r="K122" i="55"/>
  <c r="K118" i="55"/>
  <c r="S114" i="55"/>
  <c r="S120" i="55"/>
  <c r="S126" i="55"/>
  <c r="S116" i="55"/>
  <c r="S68" i="55"/>
  <c r="S122" i="55"/>
  <c r="S118" i="55"/>
  <c r="AA114" i="55"/>
  <c r="AA96" i="55"/>
  <c r="AA80" i="55"/>
  <c r="AA120" i="55"/>
  <c r="AA98" i="55"/>
  <c r="AA126" i="55"/>
  <c r="AA110" i="55"/>
  <c r="AA100" i="55"/>
  <c r="AA116" i="55"/>
  <c r="AA102" i="55"/>
  <c r="AA86" i="55"/>
  <c r="AA68" i="55"/>
  <c r="AA122" i="55"/>
  <c r="AA104" i="55"/>
  <c r="AA88" i="55"/>
  <c r="AA118" i="55"/>
  <c r="AA92" i="55"/>
  <c r="AA76" i="55"/>
  <c r="D110" i="55"/>
  <c r="D74" i="55"/>
  <c r="D90" i="55"/>
  <c r="L120" i="55"/>
  <c r="L126" i="55"/>
  <c r="L116" i="55"/>
  <c r="L122" i="55"/>
  <c r="L128" i="55"/>
  <c r="L124" i="55"/>
  <c r="T120" i="55"/>
  <c r="T126" i="55"/>
  <c r="T116" i="55"/>
  <c r="T122" i="55"/>
  <c r="T128" i="55"/>
  <c r="T124" i="55"/>
  <c r="AB120" i="55"/>
  <c r="AB98" i="55"/>
  <c r="AB82" i="55"/>
  <c r="AB126" i="55"/>
  <c r="AB110" i="55"/>
  <c r="AB100" i="55"/>
  <c r="AB116" i="55"/>
  <c r="AB102" i="55"/>
  <c r="AB122" i="55"/>
  <c r="AB104" i="55"/>
  <c r="AB88" i="55"/>
  <c r="AB74" i="55"/>
  <c r="AB128" i="55"/>
  <c r="AB112" i="55"/>
  <c r="AB106" i="55"/>
  <c r="AB90" i="55"/>
  <c r="AB124" i="55"/>
  <c r="AB108" i="55"/>
  <c r="AB94" i="55"/>
  <c r="AB78" i="55"/>
  <c r="AA90" i="55"/>
  <c r="AA94" i="55"/>
  <c r="AG106" i="55"/>
  <c r="AG105" i="55" s="1"/>
  <c r="AB114" i="55"/>
  <c r="L118" i="55"/>
  <c r="Y128" i="55"/>
  <c r="M114" i="55"/>
  <c r="U114" i="55"/>
  <c r="M118" i="55"/>
  <c r="U118" i="55"/>
  <c r="M128" i="55"/>
  <c r="U128" i="55"/>
  <c r="AG14" i="60" l="1"/>
  <c r="BE13" i="60"/>
  <c r="AX12" i="60"/>
  <c r="AG12" i="60"/>
  <c r="BE12" i="60"/>
  <c r="AX11" i="60"/>
  <c r="AX13" i="60"/>
  <c r="BE11" i="60"/>
  <c r="AG13" i="60"/>
  <c r="AV6" i="58"/>
  <c r="AG15" i="58"/>
  <c r="AG8" i="58"/>
  <c r="AV7" i="58"/>
  <c r="AG5" i="57"/>
  <c r="AU4" i="57"/>
  <c r="AG4" i="57"/>
  <c r="AU5" i="57"/>
  <c r="AT6" i="56"/>
  <c r="AG7" i="56"/>
  <c r="AG10" i="56"/>
  <c r="AT9" i="56"/>
  <c r="AV16" i="58"/>
  <c r="AG7" i="58"/>
  <c r="AU16" i="57"/>
  <c r="AG14" i="57"/>
  <c r="AT14" i="56"/>
  <c r="AG5" i="56"/>
  <c r="AG84" i="59"/>
  <c r="AG89" i="58"/>
  <c r="BE4" i="60"/>
  <c r="BE8" i="60"/>
  <c r="BE7" i="60"/>
  <c r="AH89" i="60"/>
  <c r="AH91" i="60"/>
  <c r="AH96" i="60"/>
  <c r="AH92" i="60"/>
  <c r="AH76" i="60"/>
  <c r="AH94" i="60"/>
  <c r="AH85" i="60"/>
  <c r="AH84" i="60"/>
  <c r="AH82" i="60"/>
  <c r="AH101" i="60"/>
  <c r="AH95" i="60"/>
  <c r="AH88" i="60"/>
  <c r="AH87" i="60"/>
  <c r="AH100" i="60"/>
  <c r="AH77" i="60"/>
  <c r="AH93" i="60"/>
  <c r="AH99" i="60"/>
  <c r="AH75" i="60"/>
  <c r="AH80" i="60"/>
  <c r="AH79" i="60"/>
  <c r="AH98" i="60"/>
  <c r="AH90" i="60"/>
  <c r="AH81" i="60"/>
  <c r="AH86" i="60"/>
  <c r="AH78" i="60"/>
  <c r="AH83" i="60"/>
  <c r="AH97" i="60"/>
  <c r="BE6" i="60"/>
  <c r="AX6" i="60"/>
  <c r="AG7" i="60"/>
  <c r="AG74" i="59"/>
  <c r="AG91" i="59"/>
  <c r="AG88" i="59"/>
  <c r="AG79" i="59"/>
  <c r="AG86" i="59"/>
  <c r="AG82" i="59"/>
  <c r="AG80" i="59"/>
  <c r="AG87" i="59"/>
  <c r="AG81" i="59"/>
  <c r="AG78" i="59"/>
  <c r="AG76" i="59"/>
  <c r="AG89" i="59"/>
  <c r="AG75" i="59"/>
  <c r="AG83" i="59"/>
  <c r="AG77" i="59"/>
  <c r="AG12" i="58"/>
  <c r="AG76" i="58"/>
  <c r="AG77" i="58"/>
  <c r="AG80" i="58"/>
  <c r="AG86" i="58"/>
  <c r="AG84" i="58"/>
  <c r="AG88" i="58"/>
  <c r="AG81" i="58"/>
  <c r="AG91" i="58"/>
  <c r="AG90" i="58"/>
  <c r="AG75" i="58"/>
  <c r="AG74" i="58"/>
  <c r="AG83" i="58"/>
  <c r="AG78" i="58"/>
  <c r="AG79" i="58"/>
  <c r="AG87" i="58"/>
  <c r="AG9" i="58"/>
  <c r="AV9" i="58"/>
  <c r="AG90" i="57"/>
  <c r="AG75" i="57"/>
  <c r="AG76" i="57"/>
  <c r="AG84" i="57"/>
  <c r="AG81" i="57"/>
  <c r="AG80" i="57"/>
  <c r="AG97" i="57"/>
  <c r="AG74" i="57"/>
  <c r="AG79" i="57"/>
  <c r="AG78" i="57"/>
  <c r="AG93" i="57"/>
  <c r="AG83" i="57"/>
  <c r="AG92" i="57"/>
  <c r="AG77" i="57"/>
  <c r="AG85" i="57"/>
  <c r="AG94" i="57"/>
  <c r="AG91" i="57"/>
  <c r="AG89" i="57"/>
  <c r="AG82" i="57"/>
  <c r="AG88" i="57"/>
  <c r="AG86" i="57"/>
  <c r="AG87" i="57"/>
  <c r="AW13" i="59"/>
  <c r="AG12" i="59"/>
  <c r="AG10" i="57"/>
  <c r="AU11" i="57"/>
  <c r="AT12" i="56"/>
  <c r="AG6" i="56"/>
  <c r="AW9" i="59"/>
  <c r="AV12" i="58"/>
  <c r="AV8" i="58"/>
  <c r="AW8" i="59"/>
  <c r="AG10" i="59"/>
  <c r="AG9" i="59"/>
  <c r="AW10" i="59"/>
  <c r="AW12" i="59"/>
  <c r="AG13" i="59"/>
  <c r="AW4" i="60" s="1"/>
  <c r="AW14" i="59"/>
  <c r="AG15" i="59"/>
  <c r="AW15" i="59"/>
  <c r="AG14" i="59"/>
  <c r="AV10" i="58"/>
  <c r="AG18" i="58"/>
  <c r="AV13" i="58"/>
  <c r="AV15" i="58"/>
  <c r="AV4" i="58"/>
  <c r="AG4" i="58"/>
  <c r="AV17" i="58"/>
  <c r="AG13" i="58"/>
  <c r="AV18" i="58"/>
  <c r="AG17" i="58"/>
  <c r="AV11" i="58"/>
  <c r="AU18" i="57"/>
  <c r="AU14" i="57"/>
  <c r="AU9" i="57"/>
  <c r="AG17" i="57"/>
  <c r="AU12" i="57"/>
  <c r="AU8" i="57"/>
  <c r="AG6" i="57"/>
  <c r="AG16" i="57"/>
  <c r="AU17" i="57"/>
  <c r="AU10" i="57"/>
  <c r="AG18" i="57"/>
  <c r="AG12" i="57"/>
  <c r="AU13" i="57"/>
  <c r="AG13" i="56"/>
  <c r="AT15" i="56"/>
  <c r="AG9" i="56"/>
  <c r="AT10" i="56"/>
  <c r="AT11" i="56"/>
  <c r="AG11" i="56"/>
  <c r="AT7" i="56"/>
  <c r="AG15" i="56"/>
  <c r="AG12" i="56"/>
  <c r="AH88" i="56"/>
  <c r="AT4" i="56"/>
  <c r="AG16" i="56"/>
  <c r="AG5" i="59"/>
  <c r="BD8" i="60" s="1"/>
  <c r="AW6" i="59"/>
  <c r="AW5" i="59"/>
  <c r="AW11" i="59"/>
  <c r="AW10" i="60"/>
  <c r="AW7" i="59"/>
  <c r="AG7" i="59"/>
  <c r="AG6" i="58"/>
  <c r="AU6" i="57"/>
  <c r="AU15" i="57"/>
  <c r="AT18" i="56"/>
  <c r="AX8" i="60"/>
  <c r="BE5" i="60"/>
  <c r="AX5" i="60"/>
  <c r="BE10" i="60"/>
  <c r="AX4" i="60"/>
  <c r="BE9" i="60"/>
  <c r="AG5" i="60"/>
  <c r="AG6" i="60"/>
  <c r="AG10" i="60"/>
  <c r="AX10" i="60"/>
  <c r="AG15" i="57"/>
  <c r="AU7" i="57"/>
  <c r="AH98" i="56"/>
  <c r="AH99" i="56"/>
  <c r="AH84" i="56"/>
  <c r="AH95" i="56"/>
  <c r="AH80" i="56"/>
  <c r="AH76" i="56"/>
  <c r="AH92" i="56"/>
  <c r="AH79" i="56"/>
  <c r="AH97" i="56"/>
  <c r="AH87" i="56"/>
  <c r="AH93" i="56"/>
  <c r="AH91" i="56"/>
  <c r="AH85" i="56"/>
  <c r="AH100" i="56"/>
  <c r="AH96" i="56"/>
  <c r="AH90" i="56"/>
  <c r="AH75" i="56"/>
  <c r="AH78" i="56"/>
  <c r="AH101" i="56"/>
  <c r="AH82" i="56"/>
  <c r="AH81" i="56"/>
  <c r="AH89" i="56"/>
  <c r="AH83" i="56"/>
  <c r="AH77" i="56"/>
  <c r="AH86" i="56"/>
  <c r="AH94" i="56"/>
  <c r="AG17" i="56"/>
  <c r="AT13" i="56"/>
  <c r="AT5" i="56"/>
  <c r="AG4" i="56"/>
  <c r="AT8" i="56"/>
  <c r="AG8" i="56"/>
  <c r="AG14" i="56"/>
  <c r="AT17" i="56"/>
  <c r="AC13" i="55"/>
  <c r="C9" i="55"/>
  <c r="C65" i="55"/>
  <c r="C63" i="55"/>
  <c r="AC29" i="55"/>
  <c r="AC31" i="55"/>
  <c r="C25" i="55"/>
  <c r="AC19" i="55"/>
  <c r="AC99" i="55"/>
  <c r="AC75" i="55"/>
  <c r="AC93" i="55"/>
  <c r="C107" i="55"/>
  <c r="AG93" i="55" s="1"/>
  <c r="AC83" i="55"/>
  <c r="AC59" i="55"/>
  <c r="AC45" i="55"/>
  <c r="AC33" i="55"/>
  <c r="AC61" i="55"/>
  <c r="C41" i="55"/>
  <c r="AC63" i="55"/>
  <c r="C21" i="55"/>
  <c r="AC27" i="55"/>
  <c r="AG104" i="55"/>
  <c r="C99" i="55"/>
  <c r="AG86" i="55" s="1"/>
  <c r="C83" i="55"/>
  <c r="AG74" i="55" s="1"/>
  <c r="AC15" i="55"/>
  <c r="AC65" i="55"/>
  <c r="C113" i="55"/>
  <c r="C93" i="55"/>
  <c r="AG84" i="55" s="1"/>
  <c r="C127" i="55"/>
  <c r="C11" i="55"/>
  <c r="C35" i="55"/>
  <c r="AC55" i="55"/>
  <c r="AC43" i="55"/>
  <c r="C23" i="55"/>
  <c r="AC81" i="55"/>
  <c r="AG34" i="55"/>
  <c r="C59" i="55"/>
  <c r="AC17" i="55"/>
  <c r="C77" i="55"/>
  <c r="AG81" i="55" s="1"/>
  <c r="AC41" i="55"/>
  <c r="C27" i="55"/>
  <c r="AC47" i="55"/>
  <c r="C115" i="55"/>
  <c r="AC39" i="55"/>
  <c r="AC9" i="55"/>
  <c r="C29" i="55"/>
  <c r="C53" i="55"/>
  <c r="AC125" i="55"/>
  <c r="C45" i="55"/>
  <c r="C75" i="55"/>
  <c r="AG80" i="55" s="1"/>
  <c r="AC7" i="55"/>
  <c r="AC21" i="55"/>
  <c r="AC107" i="55"/>
  <c r="AC117" i="55"/>
  <c r="C43" i="55"/>
  <c r="C17" i="55"/>
  <c r="AC25" i="55"/>
  <c r="C111" i="55"/>
  <c r="AG92" i="55" s="1"/>
  <c r="AC111" i="55"/>
  <c r="AC23" i="55"/>
  <c r="C125" i="55"/>
  <c r="AC113" i="55"/>
  <c r="C61" i="55"/>
  <c r="C87" i="55"/>
  <c r="AG78" i="55" s="1"/>
  <c r="AC87" i="55"/>
  <c r="C7" i="55"/>
  <c r="C55" i="55"/>
  <c r="AC115" i="55"/>
  <c r="AC37" i="55"/>
  <c r="C37" i="55"/>
  <c r="AC101" i="55"/>
  <c r="C101" i="55"/>
  <c r="AG87" i="55" s="1"/>
  <c r="C47" i="55"/>
  <c r="C15" i="55"/>
  <c r="AC103" i="55"/>
  <c r="C103" i="55"/>
  <c r="AG91" i="55" s="1"/>
  <c r="AC11" i="55"/>
  <c r="C39" i="55"/>
  <c r="AC53" i="55"/>
  <c r="AC57" i="55"/>
  <c r="C117" i="55"/>
  <c r="C91" i="55"/>
  <c r="AG83" i="55" s="1"/>
  <c r="AC91" i="55"/>
  <c r="C123" i="55"/>
  <c r="AC123" i="55"/>
  <c r="C57" i="55"/>
  <c r="AC77" i="55"/>
  <c r="AC49" i="55"/>
  <c r="C49" i="55"/>
  <c r="AC79" i="55"/>
  <c r="C79" i="55"/>
  <c r="AG77" i="55" s="1"/>
  <c r="AC97" i="55"/>
  <c r="C97" i="55"/>
  <c r="AG88" i="55" s="1"/>
  <c r="C33" i="55"/>
  <c r="AC119" i="55"/>
  <c r="C119" i="55"/>
  <c r="AC89" i="55"/>
  <c r="C89" i="55"/>
  <c r="AG82" i="55" s="1"/>
  <c r="AC51" i="55"/>
  <c r="C51" i="55"/>
  <c r="AC127" i="55"/>
  <c r="C81" i="55"/>
  <c r="AG75" i="55" s="1"/>
  <c r="AC85" i="55"/>
  <c r="C85" i="55"/>
  <c r="AG76" i="55" s="1"/>
  <c r="C13" i="55"/>
  <c r="AC73" i="55"/>
  <c r="C73" i="55"/>
  <c r="AG79" i="55" s="1"/>
  <c r="AC35" i="55"/>
  <c r="AC67" i="55"/>
  <c r="C67" i="55"/>
  <c r="AC121" i="55"/>
  <c r="C121" i="55"/>
  <c r="AC5" i="55"/>
  <c r="C5" i="55"/>
  <c r="AC95" i="55"/>
  <c r="C95" i="55"/>
  <c r="AG85" i="55" s="1"/>
  <c r="AC109" i="55"/>
  <c r="C109" i="55"/>
  <c r="AG90" i="55" s="1"/>
  <c r="AC105" i="55"/>
  <c r="C105" i="55"/>
  <c r="AG89" i="55" s="1"/>
  <c r="C19" i="55"/>
  <c r="C31" i="55"/>
  <c r="AS9" i="55" l="1"/>
  <c r="AG7" i="55"/>
  <c r="AG5" i="55"/>
  <c r="AS6" i="55"/>
  <c r="AG18" i="55"/>
  <c r="AS18" i="55"/>
  <c r="BF8" i="60"/>
  <c r="AH9" i="60"/>
  <c r="AV6" i="59"/>
  <c r="AH88" i="59"/>
  <c r="AH100" i="59"/>
  <c r="AH87" i="59"/>
  <c r="AH82" i="59"/>
  <c r="AH94" i="59"/>
  <c r="AH84" i="59"/>
  <c r="AH80" i="59"/>
  <c r="AH92" i="59"/>
  <c r="AH75" i="59"/>
  <c r="AH76" i="59"/>
  <c r="AH93" i="59"/>
  <c r="AH89" i="59"/>
  <c r="AH97" i="59"/>
  <c r="AH85" i="59"/>
  <c r="AH91" i="59"/>
  <c r="AH78" i="59"/>
  <c r="AH83" i="59"/>
  <c r="AH99" i="59"/>
  <c r="AH90" i="59"/>
  <c r="AH81" i="59"/>
  <c r="AH95" i="59"/>
  <c r="AH77" i="59"/>
  <c r="AH96" i="59"/>
  <c r="AH98" i="59"/>
  <c r="AH79" i="59"/>
  <c r="AH86" i="59"/>
  <c r="AH101" i="59"/>
  <c r="AH96" i="58"/>
  <c r="AH86" i="58"/>
  <c r="AH91" i="58"/>
  <c r="AH101" i="58"/>
  <c r="AH93" i="58"/>
  <c r="AH92" i="58"/>
  <c r="AH80" i="58"/>
  <c r="AH94" i="58"/>
  <c r="AH78" i="58"/>
  <c r="AH95" i="58"/>
  <c r="AH100" i="58"/>
  <c r="AH77" i="58"/>
  <c r="AH98" i="58"/>
  <c r="AH87" i="58"/>
  <c r="AH99" i="58"/>
  <c r="AH97" i="58"/>
  <c r="AH81" i="58"/>
  <c r="AH84" i="58"/>
  <c r="AH79" i="58"/>
  <c r="AH88" i="58"/>
  <c r="AH90" i="58"/>
  <c r="AH85" i="58"/>
  <c r="AH75" i="58"/>
  <c r="AH76" i="58"/>
  <c r="AH89" i="58"/>
  <c r="AH83" i="58"/>
  <c r="AH82" i="58"/>
  <c r="AH99" i="57"/>
  <c r="AH98" i="57"/>
  <c r="AH97" i="57"/>
  <c r="AH101" i="57"/>
  <c r="AH96" i="57"/>
  <c r="AH100" i="57"/>
  <c r="AH94" i="57"/>
  <c r="AH89" i="57"/>
  <c r="AH85" i="57"/>
  <c r="AH76" i="57"/>
  <c r="AH84" i="57"/>
  <c r="AH95" i="57"/>
  <c r="AH86" i="57"/>
  <c r="AH83" i="57"/>
  <c r="AH75" i="57"/>
  <c r="AH87" i="57"/>
  <c r="AH79" i="57"/>
  <c r="AH90" i="57"/>
  <c r="AH88" i="57"/>
  <c r="AH93" i="57"/>
  <c r="AH91" i="57"/>
  <c r="AH80" i="57"/>
  <c r="AH82" i="57"/>
  <c r="AH92" i="57"/>
  <c r="AH77" i="57"/>
  <c r="AH81" i="57"/>
  <c r="AH78" i="57"/>
  <c r="BD6" i="60"/>
  <c r="BF6" i="60" s="1"/>
  <c r="BD5" i="60"/>
  <c r="BF5" i="60" s="1"/>
  <c r="BD9" i="60"/>
  <c r="BF9" i="60" s="1"/>
  <c r="AW12" i="60"/>
  <c r="AW17" i="60"/>
  <c r="BD18" i="60"/>
  <c r="BF18" i="60" s="1"/>
  <c r="AS14" i="55"/>
  <c r="AG15" i="55"/>
  <c r="AH31" i="59"/>
  <c r="AU25" i="58"/>
  <c r="AU20" i="58"/>
  <c r="AU13" i="59"/>
  <c r="AU21" i="59"/>
  <c r="AU30" i="60"/>
  <c r="AU19" i="60"/>
  <c r="AU24" i="60"/>
  <c r="AU23" i="58"/>
  <c r="AU19" i="59"/>
  <c r="AU24" i="58"/>
  <c r="AU22" i="60"/>
  <c r="AU27" i="59"/>
  <c r="AU16" i="60"/>
  <c r="AU26" i="59"/>
  <c r="AU16" i="58"/>
  <c r="AU20" i="59"/>
  <c r="AU29" i="60"/>
  <c r="AU26" i="60"/>
  <c r="AU30" i="59"/>
  <c r="AU25" i="59"/>
  <c r="AU17" i="59"/>
  <c r="AU22" i="59"/>
  <c r="AU26" i="58"/>
  <c r="AU21" i="60"/>
  <c r="AU18" i="60"/>
  <c r="AU27" i="58"/>
  <c r="AU6" i="58"/>
  <c r="AU22" i="58"/>
  <c r="AU19" i="58"/>
  <c r="AU28" i="60"/>
  <c r="AU28" i="59"/>
  <c r="AU28" i="58"/>
  <c r="AU21" i="58"/>
  <c r="AU16" i="59"/>
  <c r="AU31" i="60"/>
  <c r="AU20" i="60"/>
  <c r="AU25" i="60"/>
  <c r="AU29" i="58"/>
  <c r="AU18" i="59"/>
  <c r="AU9" i="58"/>
  <c r="AU23" i="60"/>
  <c r="AU31" i="59"/>
  <c r="AU17" i="60"/>
  <c r="AU30" i="58"/>
  <c r="AU7" i="58"/>
  <c r="AU23" i="59"/>
  <c r="AU15" i="60"/>
  <c r="AU27" i="60"/>
  <c r="AU29" i="59"/>
  <c r="AU31" i="58"/>
  <c r="AU24" i="59"/>
  <c r="AU8" i="58"/>
  <c r="AU9" i="59"/>
  <c r="AU7" i="60"/>
  <c r="AU15" i="58"/>
  <c r="AU14" i="58"/>
  <c r="AU10" i="60"/>
  <c r="AU11" i="59"/>
  <c r="AU5" i="59"/>
  <c r="AU5" i="60"/>
  <c r="AU17" i="58"/>
  <c r="AU7" i="59"/>
  <c r="AU8" i="60"/>
  <c r="AU10" i="58"/>
  <c r="AU4" i="59"/>
  <c r="AU9" i="60"/>
  <c r="AU4" i="60"/>
  <c r="AU6" i="59"/>
  <c r="AU5" i="58"/>
  <c r="AU6" i="60"/>
  <c r="AU10" i="59"/>
  <c r="AU12" i="58"/>
  <c r="AU14" i="60"/>
  <c r="AU13" i="58"/>
  <c r="AU12" i="59"/>
  <c r="AU12" i="60"/>
  <c r="AU11" i="58"/>
  <c r="AU15" i="59"/>
  <c r="AU13" i="60"/>
  <c r="AU4" i="58"/>
  <c r="AU8" i="59"/>
  <c r="AU11" i="60"/>
  <c r="AU18" i="58"/>
  <c r="AU14" i="59"/>
  <c r="AH27" i="59"/>
  <c r="AH17" i="59"/>
  <c r="AH24" i="59"/>
  <c r="AH23" i="59"/>
  <c r="AH18" i="59"/>
  <c r="AH25" i="59"/>
  <c r="AH26" i="59"/>
  <c r="AH13" i="59"/>
  <c r="AH14" i="59"/>
  <c r="AH29" i="59"/>
  <c r="AH12" i="59"/>
  <c r="AH30" i="59"/>
  <c r="AH15" i="59"/>
  <c r="AH7" i="59"/>
  <c r="AH19" i="59"/>
  <c r="AH22" i="59"/>
  <c r="AH8" i="59"/>
  <c r="AH21" i="59"/>
  <c r="AH28" i="59"/>
  <c r="AH20" i="59"/>
  <c r="AH16" i="59"/>
  <c r="BD13" i="60"/>
  <c r="BF13" i="60" s="1"/>
  <c r="AH9" i="59"/>
  <c r="AH9" i="58"/>
  <c r="BD4" i="60"/>
  <c r="BF4" i="60" s="1"/>
  <c r="AH10" i="59"/>
  <c r="AH11" i="59"/>
  <c r="AG6" i="55"/>
  <c r="AS5" i="55"/>
  <c r="AG14" i="55"/>
  <c r="AS15" i="55"/>
  <c r="AG9" i="55"/>
  <c r="AS10" i="55"/>
  <c r="AS4" i="55"/>
  <c r="AG4" i="55"/>
  <c r="AS11" i="55"/>
  <c r="AG17" i="55"/>
  <c r="AH11" i="58"/>
  <c r="AH5" i="58"/>
  <c r="AW13" i="60"/>
  <c r="AW8" i="60"/>
  <c r="BD11" i="60"/>
  <c r="BF11" i="60" s="1"/>
  <c r="AW19" i="60"/>
  <c r="BD23" i="60"/>
  <c r="BF23" i="60" s="1"/>
  <c r="BD14" i="60"/>
  <c r="BF14" i="60" s="1"/>
  <c r="AW11" i="60"/>
  <c r="AW23" i="60"/>
  <c r="BD27" i="60"/>
  <c r="BF27" i="60" s="1"/>
  <c r="AW31" i="60"/>
  <c r="BD29" i="60"/>
  <c r="BF29" i="60" s="1"/>
  <c r="BD10" i="60"/>
  <c r="BF10" i="60" s="1"/>
  <c r="AW24" i="60"/>
  <c r="BD25" i="60"/>
  <c r="BF25" i="60" s="1"/>
  <c r="BD15" i="60"/>
  <c r="BF15" i="60" s="1"/>
  <c r="AW22" i="60"/>
  <c r="BD24" i="60"/>
  <c r="BF24" i="60" s="1"/>
  <c r="AW6" i="60"/>
  <c r="AW5" i="60"/>
  <c r="AW26" i="60"/>
  <c r="AW27" i="60"/>
  <c r="AW25" i="60"/>
  <c r="AW20" i="60"/>
  <c r="AW18" i="60"/>
  <c r="BD21" i="60"/>
  <c r="BF21" i="60" s="1"/>
  <c r="AW15" i="60"/>
  <c r="BD26" i="60"/>
  <c r="BF26" i="60" s="1"/>
  <c r="BD19" i="60"/>
  <c r="BF19" i="60" s="1"/>
  <c r="AW29" i="60"/>
  <c r="BD28" i="60"/>
  <c r="BF28" i="60" s="1"/>
  <c r="AW14" i="60"/>
  <c r="AW21" i="60"/>
  <c r="BD30" i="60"/>
  <c r="BF30" i="60" s="1"/>
  <c r="BD31" i="60"/>
  <c r="BF31" i="60" s="1"/>
  <c r="AW16" i="60"/>
  <c r="BD20" i="60"/>
  <c r="BF20" i="60" s="1"/>
  <c r="BD12" i="60"/>
  <c r="BF12" i="60" s="1"/>
  <c r="AW28" i="60"/>
  <c r="BD17" i="60"/>
  <c r="BF17" i="60" s="1"/>
  <c r="BD22" i="60"/>
  <c r="BF22" i="60" s="1"/>
  <c r="AW30" i="60"/>
  <c r="BD16" i="60"/>
  <c r="BF16" i="60" s="1"/>
  <c r="AH30" i="58"/>
  <c r="AH14" i="58"/>
  <c r="AH18" i="58"/>
  <c r="AH25" i="58"/>
  <c r="AV7" i="59"/>
  <c r="AH10" i="58"/>
  <c r="AH7" i="58"/>
  <c r="AH21" i="58"/>
  <c r="AH12" i="58"/>
  <c r="AH13" i="58"/>
  <c r="AH16" i="58"/>
  <c r="AH28" i="58"/>
  <c r="AH27" i="58"/>
  <c r="AH26" i="58"/>
  <c r="AH20" i="58"/>
  <c r="AH19" i="58"/>
  <c r="AH8" i="58"/>
  <c r="AH15" i="58"/>
  <c r="AH6" i="58"/>
  <c r="AH29" i="58"/>
  <c r="AH23" i="58"/>
  <c r="AH17" i="58"/>
  <c r="AH22" i="58"/>
  <c r="AV8" i="60"/>
  <c r="AH24" i="58"/>
  <c r="AH31" i="58"/>
  <c r="AV5" i="60"/>
  <c r="AT25" i="59"/>
  <c r="AT30" i="60"/>
  <c r="AT29" i="57"/>
  <c r="AT17" i="59"/>
  <c r="AT8" i="57"/>
  <c r="AT12" i="58"/>
  <c r="AT29" i="58"/>
  <c r="AT27" i="58"/>
  <c r="AT22" i="60"/>
  <c r="AT26" i="59"/>
  <c r="AT30" i="58"/>
  <c r="AT19" i="60"/>
  <c r="AT8" i="59"/>
  <c r="AT18" i="60"/>
  <c r="AT25" i="58"/>
  <c r="AT16" i="57"/>
  <c r="AT19" i="57"/>
  <c r="AT4" i="57"/>
  <c r="AT29" i="59"/>
  <c r="AT21" i="59"/>
  <c r="AT31" i="59"/>
  <c r="AT12" i="59"/>
  <c r="AT6" i="60"/>
  <c r="AT19" i="58"/>
  <c r="AT24" i="57"/>
  <c r="AT27" i="57"/>
  <c r="AT20" i="57"/>
  <c r="AT11" i="60"/>
  <c r="AT18" i="58"/>
  <c r="AT24" i="59"/>
  <c r="AT11" i="58"/>
  <c r="AT24" i="60"/>
  <c r="AT16" i="58"/>
  <c r="AT21" i="58"/>
  <c r="AT28" i="57"/>
  <c r="AT22" i="57"/>
  <c r="AT25" i="60"/>
  <c r="AT27" i="59"/>
  <c r="AT18" i="59"/>
  <c r="AT15" i="59"/>
  <c r="AT13" i="59"/>
  <c r="AT31" i="60"/>
  <c r="AT28" i="60"/>
  <c r="AT11" i="57"/>
  <c r="AT9" i="58"/>
  <c r="AT30" i="57"/>
  <c r="AT4" i="58"/>
  <c r="AT12" i="60"/>
  <c r="AT23" i="59"/>
  <c r="AT6" i="58"/>
  <c r="AT10" i="59"/>
  <c r="AT28" i="59"/>
  <c r="AT29" i="60"/>
  <c r="AT24" i="58"/>
  <c r="AT13" i="58"/>
  <c r="AT14" i="59"/>
  <c r="AT23" i="57"/>
  <c r="AT13" i="57"/>
  <c r="AT17" i="57"/>
  <c r="AT25" i="57"/>
  <c r="AT26" i="60"/>
  <c r="AT23" i="60"/>
  <c r="AT28" i="58"/>
  <c r="AT15" i="60"/>
  <c r="AT13" i="60"/>
  <c r="AT17" i="60"/>
  <c r="AT20" i="58"/>
  <c r="AT31" i="58"/>
  <c r="AT10" i="57"/>
  <c r="AT31" i="57"/>
  <c r="AT5" i="57"/>
  <c r="AT9" i="57"/>
  <c r="AT27" i="60"/>
  <c r="AT14" i="60"/>
  <c r="AT30" i="59"/>
  <c r="AT26" i="58"/>
  <c r="AT20" i="60"/>
  <c r="AT22" i="58"/>
  <c r="AT21" i="60"/>
  <c r="AT16" i="59"/>
  <c r="AT21" i="57"/>
  <c r="AT22" i="59"/>
  <c r="AT26" i="57"/>
  <c r="AT19" i="59"/>
  <c r="AT23" i="58"/>
  <c r="AT7" i="58"/>
  <c r="AT16" i="60"/>
  <c r="AT20" i="59"/>
  <c r="AT5" i="59"/>
  <c r="AV11" i="59"/>
  <c r="AT17" i="58"/>
  <c r="AT8" i="60"/>
  <c r="AV9" i="60"/>
  <c r="AT15" i="57"/>
  <c r="AV10" i="60"/>
  <c r="AT5" i="60"/>
  <c r="AV5" i="59"/>
  <c r="AV9" i="59"/>
  <c r="AT14" i="58"/>
  <c r="AV7" i="60"/>
  <c r="AV4" i="60"/>
  <c r="AT11" i="59"/>
  <c r="AV4" i="59"/>
  <c r="AT14" i="57"/>
  <c r="AV28" i="60"/>
  <c r="AV17" i="59"/>
  <c r="AV14" i="59"/>
  <c r="AV30" i="59"/>
  <c r="AV12" i="60"/>
  <c r="AV13" i="60"/>
  <c r="AV18" i="60"/>
  <c r="AV19" i="60"/>
  <c r="AV25" i="59"/>
  <c r="AV20" i="59"/>
  <c r="AV23" i="60"/>
  <c r="AV21" i="60"/>
  <c r="AV22" i="60"/>
  <c r="AV24" i="60"/>
  <c r="AV17" i="60"/>
  <c r="AV10" i="59"/>
  <c r="AV28" i="59"/>
  <c r="AV11" i="60"/>
  <c r="AV26" i="60"/>
  <c r="AV20" i="60"/>
  <c r="AV16" i="60"/>
  <c r="AV13" i="59"/>
  <c r="AV18" i="59"/>
  <c r="AV15" i="59"/>
  <c r="AV25" i="60"/>
  <c r="AV6" i="60"/>
  <c r="AV27" i="60"/>
  <c r="AV29" i="60"/>
  <c r="AV23" i="59"/>
  <c r="AV26" i="59"/>
  <c r="AV21" i="59"/>
  <c r="AV15" i="60"/>
  <c r="AV31" i="60"/>
  <c r="AV31" i="59"/>
  <c r="AV8" i="59"/>
  <c r="AV29" i="59"/>
  <c r="AV16" i="59"/>
  <c r="AV19" i="59"/>
  <c r="AV12" i="59"/>
  <c r="AV24" i="59"/>
  <c r="AV27" i="59"/>
  <c r="AV22" i="59"/>
  <c r="AV14" i="60"/>
  <c r="AV30" i="60"/>
  <c r="AH6" i="59"/>
  <c r="AW7" i="60"/>
  <c r="BD7" i="60"/>
  <c r="BF7" i="60" s="1"/>
  <c r="AW9" i="60"/>
  <c r="AH5" i="59"/>
  <c r="AH24" i="60"/>
  <c r="AT6" i="57"/>
  <c r="AT4" i="59"/>
  <c r="AT8" i="58"/>
  <c r="AT7" i="60"/>
  <c r="AT7" i="57"/>
  <c r="AT5" i="58"/>
  <c r="AT6" i="59"/>
  <c r="AT4" i="60"/>
  <c r="AT18" i="57"/>
  <c r="AT10" i="60"/>
  <c r="AT15" i="58"/>
  <c r="AT9" i="59"/>
  <c r="AT7" i="59"/>
  <c r="AT12" i="57"/>
  <c r="AT10" i="58"/>
  <c r="AT9" i="60"/>
  <c r="AH29" i="60"/>
  <c r="AH20" i="60"/>
  <c r="AH23" i="60"/>
  <c r="AH25" i="60"/>
  <c r="AH21" i="60"/>
  <c r="AH6" i="60"/>
  <c r="AH8" i="60"/>
  <c r="AH26" i="60"/>
  <c r="AH27" i="60"/>
  <c r="AH5" i="60"/>
  <c r="AH22" i="60"/>
  <c r="AH7" i="60"/>
  <c r="AH28" i="60"/>
  <c r="AH13" i="60"/>
  <c r="AH11" i="60"/>
  <c r="AH17" i="60"/>
  <c r="AH19" i="60"/>
  <c r="AH12" i="60"/>
  <c r="AH18" i="60"/>
  <c r="AH15" i="60"/>
  <c r="AH10" i="60"/>
  <c r="AH30" i="60"/>
  <c r="AH16" i="60"/>
  <c r="AH14" i="60"/>
  <c r="AH31" i="60"/>
  <c r="AH31" i="57"/>
  <c r="AH16" i="57"/>
  <c r="AH15" i="57"/>
  <c r="AH26" i="57"/>
  <c r="AH25" i="57"/>
  <c r="AH10" i="57"/>
  <c r="AH9" i="57"/>
  <c r="AH20" i="57"/>
  <c r="AH19" i="57"/>
  <c r="AH8" i="57"/>
  <c r="AH30" i="57"/>
  <c r="AH29" i="57"/>
  <c r="AH14" i="57"/>
  <c r="AH13" i="57"/>
  <c r="AH7" i="57"/>
  <c r="AH24" i="57"/>
  <c r="AH23" i="57"/>
  <c r="AH18" i="57"/>
  <c r="AH17" i="57"/>
  <c r="AH28" i="57"/>
  <c r="AH27" i="57"/>
  <c r="AH12" i="57"/>
  <c r="AH11" i="57"/>
  <c r="AH21" i="57"/>
  <c r="AH22" i="57"/>
  <c r="AH5" i="57"/>
  <c r="AH6" i="57"/>
  <c r="AH75" i="55"/>
  <c r="AG8" i="55"/>
  <c r="AS7" i="55"/>
  <c r="AG13" i="55"/>
  <c r="AS17" i="55"/>
  <c r="AG10" i="55"/>
  <c r="AS16" i="55"/>
  <c r="AG12" i="55"/>
  <c r="AS13" i="55"/>
  <c r="AG11" i="55"/>
  <c r="AS12" i="55"/>
  <c r="AG16" i="55"/>
  <c r="AS8" i="55"/>
  <c r="AH24" i="56"/>
  <c r="AH21" i="56"/>
  <c r="AH22" i="56"/>
  <c r="AH19" i="56"/>
  <c r="AH30" i="56"/>
  <c r="AH31" i="56"/>
  <c r="AH20" i="56"/>
  <c r="AH18" i="56"/>
  <c r="AH26" i="56"/>
  <c r="AH29" i="56"/>
  <c r="AH16" i="56"/>
  <c r="AH23" i="56"/>
  <c r="AH11" i="56"/>
  <c r="AH9" i="56"/>
  <c r="AH5" i="56"/>
  <c r="AH17" i="56"/>
  <c r="AH13" i="56"/>
  <c r="AH10" i="56"/>
  <c r="AH7" i="56"/>
  <c r="AH12" i="56"/>
  <c r="AH8" i="56"/>
  <c r="AH28" i="56"/>
  <c r="AH27" i="56"/>
  <c r="AH15" i="56"/>
  <c r="AH14" i="56"/>
  <c r="AH25" i="56"/>
  <c r="AH6" i="56"/>
  <c r="AH99" i="55"/>
  <c r="AH88" i="55"/>
  <c r="AH84" i="55"/>
  <c r="AH101" i="55"/>
  <c r="AH92" i="55"/>
  <c r="AH94" i="55"/>
  <c r="AH89" i="55"/>
  <c r="AH79" i="55"/>
  <c r="AH96" i="55"/>
  <c r="AH91" i="55"/>
  <c r="AH81" i="55"/>
  <c r="AH100" i="55"/>
  <c r="AH95" i="55"/>
  <c r="AH85" i="55"/>
  <c r="AH80" i="55"/>
  <c r="AH93" i="55"/>
  <c r="AH87" i="55"/>
  <c r="AH98" i="55"/>
  <c r="AH97" i="55"/>
  <c r="AH86" i="55"/>
  <c r="AH82" i="55"/>
  <c r="AH78" i="55"/>
  <c r="AH76" i="55"/>
  <c r="AH90" i="55"/>
  <c r="AH77" i="55"/>
  <c r="AH83" i="55"/>
  <c r="BG17" i="60" l="1"/>
  <c r="BG15" i="60"/>
  <c r="BG13" i="60"/>
  <c r="BG31" i="60"/>
  <c r="BG18" i="60"/>
  <c r="BG30" i="60"/>
  <c r="BG21" i="60"/>
  <c r="BG24" i="60"/>
  <c r="BG27" i="60"/>
  <c r="BG16" i="60"/>
  <c r="BG10" i="60"/>
  <c r="BG28" i="60"/>
  <c r="BG14" i="60"/>
  <c r="BG9" i="60"/>
  <c r="BG12" i="60"/>
  <c r="BG7" i="60"/>
  <c r="BG25" i="60"/>
  <c r="BG22" i="60"/>
  <c r="BG6" i="60"/>
  <c r="BG23" i="60"/>
  <c r="BG5" i="60"/>
  <c r="BG20" i="60"/>
  <c r="BG19" i="60"/>
  <c r="BG8" i="60"/>
  <c r="BG26" i="60"/>
  <c r="BG29" i="60"/>
  <c r="BG11" i="60"/>
  <c r="AS19" i="56"/>
  <c r="AS14" i="56"/>
  <c r="AS20" i="60"/>
  <c r="AS12" i="58"/>
  <c r="AS18" i="59"/>
  <c r="AS28" i="56"/>
  <c r="AS6" i="58"/>
  <c r="AS25" i="57"/>
  <c r="AS9" i="58"/>
  <c r="AS14" i="60"/>
  <c r="AS16" i="57"/>
  <c r="AS13" i="59"/>
  <c r="AS23" i="57"/>
  <c r="AS21" i="58"/>
  <c r="AS28" i="57"/>
  <c r="AS24" i="58"/>
  <c r="AS16" i="60"/>
  <c r="AS19" i="58"/>
  <c r="AS7" i="56"/>
  <c r="AS14" i="59"/>
  <c r="AS25" i="56"/>
  <c r="AS9" i="56"/>
  <c r="AS4" i="57"/>
  <c r="AS13" i="57"/>
  <c r="AS30" i="59"/>
  <c r="AS20" i="57"/>
  <c r="AS8" i="59"/>
  <c r="AS10" i="57"/>
  <c r="AS22" i="56"/>
  <c r="AS9" i="57"/>
  <c r="AS27" i="58"/>
  <c r="AS18" i="60"/>
  <c r="AS15" i="59"/>
  <c r="AS28" i="58"/>
  <c r="AS28" i="59"/>
  <c r="AS11" i="56"/>
  <c r="AS27" i="56"/>
  <c r="AS7" i="58"/>
  <c r="AS21" i="56"/>
  <c r="AS16" i="59"/>
  <c r="AS30" i="57"/>
  <c r="AS27" i="60"/>
  <c r="AS30" i="56"/>
  <c r="AS24" i="57"/>
  <c r="AS25" i="60"/>
  <c r="AS13" i="58"/>
  <c r="AS24" i="59"/>
  <c r="AS22" i="58"/>
  <c r="AS10" i="56"/>
  <c r="AS25" i="58"/>
  <c r="AS12" i="59"/>
  <c r="AS12" i="56"/>
  <c r="AS6" i="60"/>
  <c r="AS29" i="58"/>
  <c r="AS6" i="56"/>
  <c r="AS31" i="58"/>
  <c r="AS20" i="58"/>
  <c r="AS17" i="59"/>
  <c r="AS27" i="57"/>
  <c r="AS21" i="59"/>
  <c r="AS31" i="60"/>
  <c r="AS23" i="56"/>
  <c r="AS29" i="57"/>
  <c r="AS30" i="60"/>
  <c r="AS27" i="59"/>
  <c r="AS19" i="60"/>
  <c r="AS17" i="60"/>
  <c r="AS16" i="58"/>
  <c r="AS19" i="57"/>
  <c r="AS8" i="57"/>
  <c r="AS20" i="56"/>
  <c r="AS22" i="60"/>
  <c r="AS11" i="58"/>
  <c r="AS11" i="57"/>
  <c r="AS22" i="59"/>
  <c r="AS26" i="56"/>
  <c r="AS31" i="56"/>
  <c r="AS26" i="60"/>
  <c r="AS18" i="58"/>
  <c r="AS29" i="59"/>
  <c r="AS29" i="60"/>
  <c r="AS28" i="60"/>
  <c r="AS20" i="59"/>
  <c r="AS29" i="56"/>
  <c r="AS5" i="57"/>
  <c r="AS11" i="60"/>
  <c r="AS23" i="58"/>
  <c r="AS10" i="59"/>
  <c r="AS26" i="58"/>
  <c r="AS4" i="58"/>
  <c r="AS13" i="60"/>
  <c r="AS24" i="60"/>
  <c r="AS30" i="58"/>
  <c r="AS17" i="57"/>
  <c r="AS21" i="60"/>
  <c r="AS23" i="60"/>
  <c r="AS4" i="56"/>
  <c r="AS26" i="57"/>
  <c r="AS21" i="57"/>
  <c r="AS26" i="59"/>
  <c r="AS24" i="56"/>
  <c r="AS31" i="57"/>
  <c r="AS15" i="60"/>
  <c r="AS22" i="57"/>
  <c r="AS23" i="59"/>
  <c r="AS19" i="59"/>
  <c r="AS31" i="59"/>
  <c r="AS25" i="59"/>
  <c r="AS15" i="56"/>
  <c r="AS12" i="60"/>
  <c r="AS17" i="58"/>
  <c r="AS5" i="59"/>
  <c r="AS15" i="57"/>
  <c r="AS18" i="56"/>
  <c r="AS8" i="60"/>
  <c r="AS10" i="58"/>
  <c r="AS13" i="56"/>
  <c r="AS9" i="60"/>
  <c r="AS7" i="59"/>
  <c r="AS12" i="57"/>
  <c r="AS7" i="57"/>
  <c r="AS5" i="58"/>
  <c r="AS4" i="60"/>
  <c r="AS5" i="56"/>
  <c r="AS6" i="59"/>
  <c r="AS5" i="60"/>
  <c r="AS11" i="59"/>
  <c r="AS14" i="58"/>
  <c r="AS14" i="57"/>
  <c r="AS16" i="56"/>
  <c r="AS4" i="59"/>
  <c r="AS6" i="57"/>
  <c r="AS8" i="56"/>
  <c r="AS7" i="60"/>
  <c r="AS8" i="58"/>
  <c r="AS15" i="58"/>
  <c r="AS9" i="59"/>
  <c r="AS17" i="56"/>
  <c r="AS18" i="57"/>
  <c r="AS10" i="60"/>
  <c r="AH26" i="55"/>
  <c r="AH13" i="55"/>
  <c r="AH6" i="55"/>
  <c r="AH15" i="55"/>
  <c r="AH29" i="55"/>
  <c r="AH7" i="55"/>
  <c r="AH11" i="55"/>
  <c r="AH28" i="55"/>
  <c r="AH27" i="55"/>
  <c r="AH16" i="55"/>
  <c r="AH23" i="55"/>
  <c r="AH5" i="55"/>
  <c r="AH18" i="55"/>
  <c r="AH25" i="55"/>
  <c r="AH21" i="55"/>
  <c r="AH22" i="55"/>
  <c r="AH30" i="55"/>
  <c r="AH14" i="55"/>
  <c r="AH17" i="55"/>
  <c r="AH24" i="55"/>
  <c r="AH19" i="55"/>
  <c r="AH12" i="55"/>
  <c r="AH10" i="55"/>
  <c r="AH20" i="55"/>
  <c r="AH9" i="55"/>
  <c r="AH31" i="55"/>
  <c r="AH8" i="55"/>
  <c r="AF33" i="26" l="1"/>
  <c r="AM73" i="26"/>
  <c r="AK73" i="26"/>
  <c r="AI73" i="26"/>
  <c r="AM3" i="26"/>
  <c r="AK3" i="26"/>
  <c r="AI3" i="26"/>
  <c r="AB167" i="26" l="1"/>
  <c r="AB166" i="26" s="1"/>
  <c r="AC167" i="26"/>
  <c r="AC166" i="26" s="1"/>
  <c r="X173" i="26" l="1"/>
  <c r="X172" i="26" s="1"/>
  <c r="W173" i="26"/>
  <c r="W172" i="26" s="1"/>
  <c r="X178" i="26"/>
  <c r="X177" i="26" s="1"/>
  <c r="W178" i="26"/>
  <c r="W177" i="26" s="1"/>
  <c r="W167" i="26"/>
  <c r="W166" i="26" s="1"/>
  <c r="X167" i="26"/>
  <c r="X166" i="26" s="1"/>
  <c r="AB172" i="26"/>
  <c r="AB177" i="26"/>
  <c r="D167" i="26"/>
  <c r="D166" i="26" s="1"/>
  <c r="E167" i="26"/>
  <c r="E166" i="26" s="1"/>
  <c r="F167" i="26"/>
  <c r="F166" i="26" s="1"/>
  <c r="G167" i="26"/>
  <c r="G166" i="26" s="1"/>
  <c r="H167" i="26"/>
  <c r="H166" i="26" s="1"/>
  <c r="I167" i="26"/>
  <c r="I166" i="26" s="1"/>
  <c r="J167" i="26"/>
  <c r="J166" i="26" s="1"/>
  <c r="K167" i="26"/>
  <c r="K166" i="26" s="1"/>
  <c r="L167" i="26"/>
  <c r="L166" i="26" s="1"/>
  <c r="M167" i="26"/>
  <c r="M166" i="26" s="1"/>
  <c r="N167" i="26"/>
  <c r="N166" i="26" s="1"/>
  <c r="O167" i="26"/>
  <c r="O166" i="26" s="1"/>
  <c r="P167" i="26"/>
  <c r="P166" i="26" s="1"/>
  <c r="Q167" i="26"/>
  <c r="Q166" i="26" s="1"/>
  <c r="R167" i="26"/>
  <c r="R166" i="26" s="1"/>
  <c r="S167" i="26"/>
  <c r="S166" i="26" s="1"/>
  <c r="T167" i="26"/>
  <c r="T166" i="26" s="1"/>
  <c r="U167" i="26"/>
  <c r="U166" i="26" s="1"/>
  <c r="V167" i="26"/>
  <c r="V166" i="26" s="1"/>
  <c r="Y54" i="26"/>
  <c r="Z54" i="26"/>
  <c r="AA54" i="26"/>
  <c r="AB54" i="26"/>
  <c r="Y50" i="26"/>
  <c r="Z50" i="26"/>
  <c r="AA50" i="26"/>
  <c r="AB50" i="26"/>
  <c r="Y16" i="26"/>
  <c r="Z16" i="26"/>
  <c r="AA16" i="26"/>
  <c r="AB16" i="26"/>
  <c r="Y24" i="26"/>
  <c r="Z24" i="26"/>
  <c r="AA24" i="26"/>
  <c r="AB24" i="26"/>
  <c r="Y8" i="26"/>
  <c r="Z8" i="26"/>
  <c r="AA8" i="26"/>
  <c r="AB8" i="26"/>
  <c r="Y10" i="26"/>
  <c r="Z10" i="26"/>
  <c r="AA10" i="26"/>
  <c r="AB10" i="26"/>
  <c r="Y6" i="26"/>
  <c r="Z6" i="26"/>
  <c r="AA6" i="26"/>
  <c r="AB6" i="26"/>
  <c r="Y64" i="26"/>
  <c r="Z64" i="26"/>
  <c r="AA64" i="26"/>
  <c r="AB64" i="26"/>
  <c r="Y20" i="26"/>
  <c r="Z20" i="26"/>
  <c r="AA20" i="26"/>
  <c r="AB20" i="26"/>
  <c r="Y48" i="26"/>
  <c r="Z48" i="26"/>
  <c r="AA48" i="26"/>
  <c r="AB48" i="26"/>
  <c r="Y42" i="26"/>
  <c r="Z42" i="26"/>
  <c r="AA42" i="26"/>
  <c r="AB42" i="26"/>
  <c r="Y36" i="26"/>
  <c r="Z36" i="26"/>
  <c r="AA36" i="26"/>
  <c r="AB36" i="26"/>
  <c r="B101" i="26"/>
  <c r="Y102" i="26"/>
  <c r="Z102" i="26"/>
  <c r="AA102" i="26"/>
  <c r="AB102" i="26"/>
  <c r="B99" i="26"/>
  <c r="Y100" i="26"/>
  <c r="Z100" i="26"/>
  <c r="AA100" i="26"/>
  <c r="AB100" i="26"/>
  <c r="B93" i="26"/>
  <c r="Y94" i="26"/>
  <c r="Z94" i="26"/>
  <c r="AA94" i="26"/>
  <c r="AB94" i="26"/>
  <c r="B91" i="26"/>
  <c r="Y92" i="26"/>
  <c r="Z92" i="26"/>
  <c r="AA92" i="26"/>
  <c r="AB92" i="26"/>
  <c r="B85" i="26"/>
  <c r="Y86" i="26"/>
  <c r="Z86" i="26"/>
  <c r="AA86" i="26"/>
  <c r="AB86" i="26"/>
  <c r="B83" i="26"/>
  <c r="Y84" i="26"/>
  <c r="Z84" i="26"/>
  <c r="AA84" i="26"/>
  <c r="AB84" i="26"/>
  <c r="B77" i="26"/>
  <c r="Y78" i="26"/>
  <c r="Z78" i="26"/>
  <c r="AA78" i="26"/>
  <c r="AB78" i="26"/>
  <c r="B75" i="26"/>
  <c r="Y76" i="26"/>
  <c r="Z76" i="26"/>
  <c r="AA76" i="26"/>
  <c r="AB76" i="26"/>
  <c r="B87" i="26"/>
  <c r="Y88" i="26"/>
  <c r="Z88" i="26"/>
  <c r="AA88" i="26"/>
  <c r="AB88" i="26"/>
  <c r="B81" i="26"/>
  <c r="Y82" i="26"/>
  <c r="Z82" i="26"/>
  <c r="AA82" i="26"/>
  <c r="AB82" i="26"/>
  <c r="B79" i="26"/>
  <c r="Y80" i="26"/>
  <c r="Z80" i="26"/>
  <c r="AA80" i="26"/>
  <c r="AB80" i="26"/>
  <c r="Y52" i="26"/>
  <c r="Z52" i="26"/>
  <c r="AA52" i="26"/>
  <c r="AB52" i="26"/>
  <c r="Y68" i="26"/>
  <c r="Z68" i="26"/>
  <c r="AA68" i="26"/>
  <c r="AB68" i="26"/>
  <c r="Y66" i="26"/>
  <c r="Z66" i="26"/>
  <c r="AA66" i="26"/>
  <c r="AB66" i="26"/>
  <c r="Y62" i="26"/>
  <c r="Z62" i="26"/>
  <c r="AA62" i="26"/>
  <c r="AB62" i="26"/>
  <c r="Y60" i="26"/>
  <c r="Z60" i="26"/>
  <c r="AA60" i="26"/>
  <c r="AB60" i="26"/>
  <c r="Y58" i="26"/>
  <c r="Z58" i="26"/>
  <c r="AA58" i="26"/>
  <c r="AB58" i="26"/>
  <c r="Y56" i="26"/>
  <c r="Z56" i="26"/>
  <c r="AA56" i="26"/>
  <c r="AB56" i="26"/>
  <c r="Y46" i="26"/>
  <c r="Z46" i="26"/>
  <c r="AA46" i="26"/>
  <c r="AB46" i="26"/>
  <c r="Y44" i="26"/>
  <c r="Z44" i="26"/>
  <c r="AA44" i="26"/>
  <c r="AB44" i="26"/>
  <c r="Y40" i="26"/>
  <c r="Z40" i="26"/>
  <c r="AA40" i="26"/>
  <c r="AB40" i="26"/>
  <c r="Y38" i="26"/>
  <c r="Z38" i="26"/>
  <c r="AA38" i="26"/>
  <c r="AB38" i="26"/>
  <c r="Y34" i="26"/>
  <c r="Z34" i="26"/>
  <c r="AA34" i="26"/>
  <c r="AB34" i="26"/>
  <c r="Y32" i="26"/>
  <c r="Z32" i="26"/>
  <c r="AA32" i="26"/>
  <c r="AB32" i="26"/>
  <c r="Y30" i="26"/>
  <c r="Z30" i="26"/>
  <c r="AA30" i="26"/>
  <c r="AB30" i="26"/>
  <c r="Y28" i="26"/>
  <c r="Z28" i="26"/>
  <c r="AA28" i="26"/>
  <c r="AB28" i="26"/>
  <c r="Y26" i="26"/>
  <c r="Z26" i="26"/>
  <c r="AA26" i="26"/>
  <c r="AB26" i="26"/>
  <c r="Y22" i="26"/>
  <c r="Z22" i="26"/>
  <c r="AA22" i="26"/>
  <c r="AB22" i="26"/>
  <c r="Y18" i="26"/>
  <c r="Z18" i="26"/>
  <c r="AA18" i="26"/>
  <c r="AB18" i="26"/>
  <c r="Y14" i="26"/>
  <c r="Z14" i="26"/>
  <c r="AA14" i="26"/>
  <c r="AB14" i="26"/>
  <c r="Y12" i="26"/>
  <c r="Z12" i="26"/>
  <c r="AA12" i="26"/>
  <c r="AB12" i="26"/>
  <c r="B127" i="26"/>
  <c r="B125" i="26"/>
  <c r="B123" i="26"/>
  <c r="B121" i="26"/>
  <c r="B119" i="26"/>
  <c r="B117" i="26"/>
  <c r="B115" i="26"/>
  <c r="B113" i="26"/>
  <c r="B111" i="26"/>
  <c r="B109" i="26"/>
  <c r="B107" i="26"/>
  <c r="B105" i="26"/>
  <c r="B103" i="26"/>
  <c r="B97" i="26"/>
  <c r="Y98" i="26"/>
  <c r="Z98" i="26"/>
  <c r="AA98" i="26"/>
  <c r="AB98" i="26"/>
  <c r="B95" i="26"/>
  <c r="Y96" i="26"/>
  <c r="Z96" i="26"/>
  <c r="AA96" i="26"/>
  <c r="AB96" i="26"/>
  <c r="B89" i="26"/>
  <c r="Y90" i="26"/>
  <c r="Z90" i="26"/>
  <c r="AA90" i="26"/>
  <c r="AB90" i="26"/>
  <c r="B73" i="26"/>
  <c r="Y74" i="26"/>
  <c r="Z74" i="26"/>
  <c r="AA74" i="26"/>
  <c r="AB74" i="26"/>
  <c r="B67" i="26"/>
  <c r="B65" i="26"/>
  <c r="B63" i="26"/>
  <c r="B61" i="26"/>
  <c r="B59" i="26"/>
  <c r="B57" i="26"/>
  <c r="B55" i="26"/>
  <c r="B53" i="26"/>
  <c r="B51" i="26"/>
  <c r="E178" i="26"/>
  <c r="E177" i="26" s="1"/>
  <c r="E140" i="26" s="1"/>
  <c r="F178" i="26"/>
  <c r="F177" i="26" s="1"/>
  <c r="G178" i="26"/>
  <c r="G177" i="26" s="1"/>
  <c r="H178" i="26"/>
  <c r="H177" i="26" s="1"/>
  <c r="I178" i="26"/>
  <c r="I177" i="26" s="1"/>
  <c r="J178" i="26"/>
  <c r="J177" i="26" s="1"/>
  <c r="K178" i="26"/>
  <c r="K177" i="26" s="1"/>
  <c r="L178" i="26"/>
  <c r="L177" i="26" s="1"/>
  <c r="M178" i="26"/>
  <c r="M177" i="26" s="1"/>
  <c r="N178" i="26"/>
  <c r="N177" i="26" s="1"/>
  <c r="O178" i="26"/>
  <c r="O177" i="26" s="1"/>
  <c r="P178" i="26"/>
  <c r="P177" i="26" s="1"/>
  <c r="Q178" i="26"/>
  <c r="Q177" i="26" s="1"/>
  <c r="R178" i="26"/>
  <c r="R177" i="26" s="1"/>
  <c r="S178" i="26"/>
  <c r="S177" i="26" s="1"/>
  <c r="T178" i="26"/>
  <c r="T177" i="26" s="1"/>
  <c r="U178" i="26"/>
  <c r="U177" i="26" s="1"/>
  <c r="V178" i="26"/>
  <c r="V177" i="26" s="1"/>
  <c r="D178" i="26"/>
  <c r="D177" i="26" s="1"/>
  <c r="E173" i="26"/>
  <c r="E172" i="26" s="1"/>
  <c r="E134" i="26" s="1"/>
  <c r="C133" i="26" s="1"/>
  <c r="F173" i="26"/>
  <c r="F172" i="26" s="1"/>
  <c r="G173" i="26"/>
  <c r="G172" i="26" s="1"/>
  <c r="H173" i="26"/>
  <c r="H172" i="26" s="1"/>
  <c r="I173" i="26"/>
  <c r="I172" i="26" s="1"/>
  <c r="J173" i="26"/>
  <c r="J172" i="26" s="1"/>
  <c r="K173" i="26"/>
  <c r="K172" i="26" s="1"/>
  <c r="L173" i="26"/>
  <c r="L172" i="26" s="1"/>
  <c r="M173" i="26"/>
  <c r="M172" i="26" s="1"/>
  <c r="N173" i="26"/>
  <c r="N172" i="26" s="1"/>
  <c r="O173" i="26"/>
  <c r="O172" i="26" s="1"/>
  <c r="P173" i="26"/>
  <c r="P172" i="26" s="1"/>
  <c r="Q173" i="26"/>
  <c r="Q172" i="26" s="1"/>
  <c r="R173" i="26"/>
  <c r="R172" i="26" s="1"/>
  <c r="S173" i="26"/>
  <c r="S172" i="26" s="1"/>
  <c r="T173" i="26"/>
  <c r="T172" i="26" s="1"/>
  <c r="U173" i="26"/>
  <c r="U172" i="26" s="1"/>
  <c r="V173" i="26"/>
  <c r="V172" i="26" s="1"/>
  <c r="D173" i="26"/>
  <c r="D172" i="26" s="1"/>
  <c r="AB128" i="26"/>
  <c r="AA128" i="26"/>
  <c r="Z128" i="26"/>
  <c r="Y128" i="26"/>
  <c r="AB126" i="26"/>
  <c r="AA126" i="26"/>
  <c r="Z126" i="26"/>
  <c r="Y126" i="26"/>
  <c r="AB124" i="26"/>
  <c r="AA124" i="26"/>
  <c r="Z124" i="26"/>
  <c r="Y124" i="26"/>
  <c r="AB122" i="26"/>
  <c r="AA122" i="26"/>
  <c r="Z122" i="26"/>
  <c r="Y122" i="26"/>
  <c r="AB120" i="26"/>
  <c r="AA120" i="26"/>
  <c r="Z120" i="26"/>
  <c r="Y120" i="26"/>
  <c r="AB118" i="26"/>
  <c r="AA118" i="26"/>
  <c r="Z118" i="26"/>
  <c r="Y118" i="26"/>
  <c r="AB116" i="26"/>
  <c r="AA116" i="26"/>
  <c r="Z116" i="26"/>
  <c r="Y116" i="26"/>
  <c r="AB114" i="26"/>
  <c r="AA114" i="26"/>
  <c r="Z114" i="26"/>
  <c r="Y114" i="26"/>
  <c r="AB112" i="26"/>
  <c r="AA112" i="26"/>
  <c r="Z112" i="26"/>
  <c r="Y112" i="26"/>
  <c r="AB110" i="26"/>
  <c r="AA110" i="26"/>
  <c r="Z110" i="26"/>
  <c r="Y110" i="26"/>
  <c r="AB108" i="26"/>
  <c r="AA108" i="26"/>
  <c r="Z108" i="26"/>
  <c r="Y108" i="26"/>
  <c r="AB106" i="26"/>
  <c r="AA106" i="26"/>
  <c r="Z106" i="26"/>
  <c r="Y106" i="26"/>
  <c r="AB104" i="26"/>
  <c r="AA104" i="26"/>
  <c r="Z104" i="26"/>
  <c r="Y104" i="26"/>
  <c r="B49" i="26"/>
  <c r="B47" i="26"/>
  <c r="B45" i="26"/>
  <c r="B43" i="26"/>
  <c r="B41" i="26"/>
  <c r="B39" i="26"/>
  <c r="B37" i="26"/>
  <c r="B35" i="26"/>
  <c r="B33" i="26"/>
  <c r="B31" i="26"/>
  <c r="B29" i="26"/>
  <c r="B27" i="26"/>
  <c r="B25" i="26"/>
  <c r="B23" i="26"/>
  <c r="B21" i="26"/>
  <c r="B19" i="26"/>
  <c r="B17" i="26"/>
  <c r="B15" i="26"/>
  <c r="B13" i="26"/>
  <c r="B11" i="26"/>
  <c r="B9" i="26"/>
  <c r="B7" i="26"/>
  <c r="A7" i="26"/>
  <c r="A9" i="26" s="1"/>
  <c r="A11" i="26" s="1"/>
  <c r="A13" i="26" s="1"/>
  <c r="A15" i="26" s="1"/>
  <c r="A17" i="26" s="1"/>
  <c r="A19" i="26" s="1"/>
  <c r="A21" i="26" s="1"/>
  <c r="A23" i="26" s="1"/>
  <c r="A25" i="26" s="1"/>
  <c r="A27" i="26" s="1"/>
  <c r="A29" i="26" s="1"/>
  <c r="A31" i="26" s="1"/>
  <c r="A33" i="26" s="1"/>
  <c r="A35" i="26" s="1"/>
  <c r="A37" i="26" s="1"/>
  <c r="A39" i="26" s="1"/>
  <c r="A41" i="26" s="1"/>
  <c r="A43" i="26" s="1"/>
  <c r="A45" i="26" s="1"/>
  <c r="A47" i="26" s="1"/>
  <c r="A49" i="26" s="1"/>
  <c r="A51" i="26" s="1"/>
  <c r="A53" i="26" s="1"/>
  <c r="A55" i="26" s="1"/>
  <c r="A57" i="26" s="1"/>
  <c r="A59" i="26" s="1"/>
  <c r="A61" i="26" s="1"/>
  <c r="A63" i="26" s="1"/>
  <c r="A65" i="26" s="1"/>
  <c r="A67" i="26" s="1"/>
  <c r="A75" i="26"/>
  <c r="A77" i="26" s="1"/>
  <c r="A79" i="26" s="1"/>
  <c r="A81" i="26" s="1"/>
  <c r="A83" i="26" s="1"/>
  <c r="A85" i="26" s="1"/>
  <c r="A87" i="26" s="1"/>
  <c r="A89" i="26" s="1"/>
  <c r="A91" i="26" s="1"/>
  <c r="A93" i="26" s="1"/>
  <c r="A95" i="26" s="1"/>
  <c r="A97" i="26" s="1"/>
  <c r="A99" i="26" s="1"/>
  <c r="A101" i="26" s="1"/>
  <c r="A103" i="26" s="1"/>
  <c r="A105" i="26" s="1"/>
  <c r="A107" i="26" s="1"/>
  <c r="A109" i="26" s="1"/>
  <c r="A111" i="26" s="1"/>
  <c r="A113" i="26" s="1"/>
  <c r="A115" i="26" s="1"/>
  <c r="A117" i="26" s="1"/>
  <c r="A119" i="26" s="1"/>
  <c r="A121" i="26" s="1"/>
  <c r="A123" i="26" s="1"/>
  <c r="A125" i="26" s="1"/>
  <c r="A127" i="26" s="1"/>
  <c r="A129" i="26" s="1"/>
  <c r="A131" i="26" s="1"/>
  <c r="A133" i="26" s="1"/>
  <c r="A135" i="26" s="1"/>
  <c r="A137" i="26" s="1"/>
  <c r="A139" i="26" s="1"/>
  <c r="A141" i="26" s="1"/>
  <c r="A143" i="26" s="1"/>
  <c r="A145" i="26" s="1"/>
  <c r="A147" i="26" s="1"/>
  <c r="A149" i="26" s="1"/>
  <c r="A151" i="26" s="1"/>
  <c r="A153" i="26" s="1"/>
  <c r="A155" i="26" s="1"/>
  <c r="A157" i="26" s="1"/>
  <c r="B5" i="26"/>
  <c r="S150" i="26" l="1"/>
  <c r="S152" i="26"/>
  <c r="S154" i="26"/>
  <c r="S156" i="26"/>
  <c r="S158" i="26"/>
  <c r="K54" i="26"/>
  <c r="K150" i="26"/>
  <c r="K152" i="26"/>
  <c r="K154" i="26"/>
  <c r="K156" i="26"/>
  <c r="K158" i="26"/>
  <c r="R150" i="26"/>
  <c r="R152" i="26"/>
  <c r="R154" i="26"/>
  <c r="R156" i="26"/>
  <c r="R158" i="26"/>
  <c r="J54" i="26"/>
  <c r="J150" i="26"/>
  <c r="J152" i="26"/>
  <c r="J154" i="26"/>
  <c r="J156" i="26"/>
  <c r="J158" i="26"/>
  <c r="Q152" i="26"/>
  <c r="Q158" i="26"/>
  <c r="Q156" i="26"/>
  <c r="Q150" i="26"/>
  <c r="Q154" i="26"/>
  <c r="I54" i="26"/>
  <c r="I150" i="26"/>
  <c r="I156" i="26"/>
  <c r="I154" i="26"/>
  <c r="I158" i="26"/>
  <c r="I152" i="26"/>
  <c r="X20" i="26"/>
  <c r="X150" i="26"/>
  <c r="X152" i="26"/>
  <c r="X154" i="26"/>
  <c r="X156" i="26"/>
  <c r="X158" i="26"/>
  <c r="P64" i="26"/>
  <c r="P150" i="26"/>
  <c r="P152" i="26"/>
  <c r="P154" i="26"/>
  <c r="P156" i="26"/>
  <c r="P158" i="26"/>
  <c r="H150" i="26"/>
  <c r="H152" i="26"/>
  <c r="H154" i="26"/>
  <c r="H156" i="26"/>
  <c r="H158" i="26"/>
  <c r="W104" i="26"/>
  <c r="W150" i="26"/>
  <c r="W152" i="26"/>
  <c r="W154" i="26"/>
  <c r="W156" i="26"/>
  <c r="W158" i="26"/>
  <c r="O150" i="26"/>
  <c r="O152" i="26"/>
  <c r="O154" i="26"/>
  <c r="O156" i="26"/>
  <c r="O158" i="26"/>
  <c r="G122" i="26"/>
  <c r="G150" i="26"/>
  <c r="G152" i="26"/>
  <c r="G154" i="26"/>
  <c r="G156" i="26"/>
  <c r="G158" i="26"/>
  <c r="V150" i="26"/>
  <c r="V152" i="26"/>
  <c r="V154" i="26"/>
  <c r="V156" i="26"/>
  <c r="V158" i="26"/>
  <c r="N54" i="26"/>
  <c r="N150" i="26"/>
  <c r="N152" i="26"/>
  <c r="N154" i="26"/>
  <c r="N156" i="26"/>
  <c r="N158" i="26"/>
  <c r="F150" i="26"/>
  <c r="F152" i="26"/>
  <c r="F154" i="26"/>
  <c r="F156" i="26"/>
  <c r="F158" i="26"/>
  <c r="C157" i="26" s="1"/>
  <c r="U150" i="26"/>
  <c r="U152" i="26"/>
  <c r="U154" i="26"/>
  <c r="U156" i="26"/>
  <c r="U158" i="26"/>
  <c r="M54" i="26"/>
  <c r="M150" i="26"/>
  <c r="M152" i="26"/>
  <c r="M154" i="26"/>
  <c r="M156" i="26"/>
  <c r="M158" i="26"/>
  <c r="T54" i="26"/>
  <c r="T150" i="26"/>
  <c r="T152" i="26"/>
  <c r="T154" i="26"/>
  <c r="T156" i="26"/>
  <c r="T158" i="26"/>
  <c r="L150" i="26"/>
  <c r="L152" i="26"/>
  <c r="L154" i="26"/>
  <c r="L156" i="26"/>
  <c r="L158" i="26"/>
  <c r="E136" i="26"/>
  <c r="E146" i="26"/>
  <c r="C145" i="26" s="1"/>
  <c r="D136" i="26"/>
  <c r="D144" i="26"/>
  <c r="C143" i="26" s="1"/>
  <c r="D6" i="26"/>
  <c r="D140" i="26"/>
  <c r="C139" i="26" s="1"/>
  <c r="D130" i="26"/>
  <c r="C129" i="26" s="1"/>
  <c r="D142" i="26"/>
  <c r="C141" i="26" s="1"/>
  <c r="O54" i="26"/>
  <c r="O74" i="26"/>
  <c r="M110" i="26"/>
  <c r="X88" i="26"/>
  <c r="D12" i="26"/>
  <c r="S116" i="26"/>
  <c r="L108" i="26"/>
  <c r="O104" i="26"/>
  <c r="X108" i="26"/>
  <c r="X104" i="26"/>
  <c r="AI21" i="26"/>
  <c r="AJ21" i="26" s="1"/>
  <c r="AI29" i="26"/>
  <c r="AJ29" i="26" s="1"/>
  <c r="AI30" i="26"/>
  <c r="AJ30" i="26" s="1"/>
  <c r="AI22" i="26"/>
  <c r="AJ22" i="26" s="1"/>
  <c r="AI15" i="26"/>
  <c r="AJ15" i="26" s="1"/>
  <c r="AI23" i="26"/>
  <c r="AJ23" i="26" s="1"/>
  <c r="AI31" i="26"/>
  <c r="AJ31" i="26" s="1"/>
  <c r="AI16" i="26"/>
  <c r="AJ16" i="26" s="1"/>
  <c r="AI24" i="26"/>
  <c r="AJ24" i="26" s="1"/>
  <c r="AI17" i="26"/>
  <c r="AJ17" i="26" s="1"/>
  <c r="AI25" i="26"/>
  <c r="AJ25" i="26" s="1"/>
  <c r="AI28" i="26"/>
  <c r="AJ28" i="26" s="1"/>
  <c r="AI18" i="26"/>
  <c r="AJ18" i="26" s="1"/>
  <c r="AI26" i="26"/>
  <c r="AJ26" i="26" s="1"/>
  <c r="AI20" i="26"/>
  <c r="AJ20" i="26" s="1"/>
  <c r="AI19" i="26"/>
  <c r="AJ19" i="26" s="1"/>
  <c r="AI27" i="26"/>
  <c r="AJ27" i="26" s="1"/>
  <c r="AI12" i="26"/>
  <c r="AJ12" i="26" s="1"/>
  <c r="AI5" i="26"/>
  <c r="AJ5" i="26" s="1"/>
  <c r="AI8" i="26"/>
  <c r="AJ8" i="26" s="1"/>
  <c r="AI6" i="26"/>
  <c r="AJ6" i="26" s="1"/>
  <c r="AI9" i="26"/>
  <c r="AJ9" i="26" s="1"/>
  <c r="AI11" i="26"/>
  <c r="AJ11" i="26" s="1"/>
  <c r="AI10" i="26"/>
  <c r="AJ10" i="26" s="1"/>
  <c r="AI13" i="26"/>
  <c r="AJ13" i="26" s="1"/>
  <c r="AI14" i="26"/>
  <c r="AJ14" i="26" s="1"/>
  <c r="AI7" i="26"/>
  <c r="AJ7" i="26" s="1"/>
  <c r="AM96" i="26"/>
  <c r="AN96" i="26" s="1"/>
  <c r="AI101" i="26"/>
  <c r="AJ101" i="26" s="1"/>
  <c r="AM89" i="26"/>
  <c r="AN89" i="26" s="1"/>
  <c r="AM97" i="26"/>
  <c r="AN97" i="26" s="1"/>
  <c r="AI86" i="26"/>
  <c r="AJ86" i="26" s="1"/>
  <c r="AI94" i="26"/>
  <c r="AJ94" i="26" s="1"/>
  <c r="AI98" i="26"/>
  <c r="AJ98" i="26" s="1"/>
  <c r="AM90" i="26"/>
  <c r="AN90" i="26" s="1"/>
  <c r="AM98" i="26"/>
  <c r="AN98" i="26" s="1"/>
  <c r="AI95" i="26"/>
  <c r="AJ95" i="26" s="1"/>
  <c r="AI90" i="26"/>
  <c r="AJ90" i="26" s="1"/>
  <c r="AM99" i="26"/>
  <c r="AN99" i="26" s="1"/>
  <c r="AI96" i="26"/>
  <c r="AJ96" i="26" s="1"/>
  <c r="AM101" i="26"/>
  <c r="AN101" i="26" s="1"/>
  <c r="AM100" i="26"/>
  <c r="AN100" i="26" s="1"/>
  <c r="AI89" i="26"/>
  <c r="AJ89" i="26" s="1"/>
  <c r="AI97" i="26"/>
  <c r="AJ97" i="26" s="1"/>
  <c r="AM86" i="26"/>
  <c r="AN86" i="26" s="1"/>
  <c r="AM94" i="26"/>
  <c r="AN94" i="26" s="1"/>
  <c r="AI99" i="26"/>
  <c r="AJ99" i="26" s="1"/>
  <c r="AM95" i="26"/>
  <c r="AN95" i="26" s="1"/>
  <c r="AI100" i="26"/>
  <c r="AJ100" i="26" s="1"/>
  <c r="AI77" i="26"/>
  <c r="AJ77" i="26" s="1"/>
  <c r="AM82" i="26"/>
  <c r="AN82" i="26" s="1"/>
  <c r="AI78" i="26"/>
  <c r="AJ78" i="26" s="1"/>
  <c r="AI79" i="26"/>
  <c r="AJ79" i="26" s="1"/>
  <c r="AM77" i="26"/>
  <c r="AN77" i="26" s="1"/>
  <c r="AI82" i="26"/>
  <c r="AJ82" i="26" s="1"/>
  <c r="AM78" i="26"/>
  <c r="AN78" i="26" s="1"/>
  <c r="AI85" i="26"/>
  <c r="AJ85" i="26" s="1"/>
  <c r="AI93" i="26"/>
  <c r="AJ93" i="26" s="1"/>
  <c r="AM91" i="26"/>
  <c r="AN91" i="26" s="1"/>
  <c r="AM88" i="26"/>
  <c r="AN88" i="26" s="1"/>
  <c r="AM74" i="26"/>
  <c r="AN74" i="26" s="1"/>
  <c r="AM85" i="26"/>
  <c r="AN85" i="26" s="1"/>
  <c r="AM93" i="26"/>
  <c r="AN93" i="26" s="1"/>
  <c r="AI91" i="26"/>
  <c r="AJ91" i="26" s="1"/>
  <c r="AI88" i="26"/>
  <c r="AJ88" i="26" s="1"/>
  <c r="AM83" i="26"/>
  <c r="AN83" i="26" s="1"/>
  <c r="AN81" i="26"/>
  <c r="AM80" i="26"/>
  <c r="AN80" i="26" s="1"/>
  <c r="AI92" i="26"/>
  <c r="AJ92" i="26" s="1"/>
  <c r="AI83" i="26"/>
  <c r="AJ83" i="26" s="1"/>
  <c r="AI81" i="26"/>
  <c r="AJ81" i="26" s="1"/>
  <c r="AI80" i="26"/>
  <c r="AJ80" i="26" s="1"/>
  <c r="AM92" i="26"/>
  <c r="AN92" i="26" s="1"/>
  <c r="AI87" i="26"/>
  <c r="AJ87" i="26" s="1"/>
  <c r="AI76" i="26"/>
  <c r="AJ76" i="26" s="1"/>
  <c r="AM84" i="26"/>
  <c r="AN84" i="26" s="1"/>
  <c r="AM75" i="26"/>
  <c r="AN75" i="26" s="1"/>
  <c r="AN87" i="26"/>
  <c r="AM76" i="26"/>
  <c r="AN76" i="26" s="1"/>
  <c r="AI84" i="26"/>
  <c r="AJ84" i="26" s="1"/>
  <c r="AI75" i="26"/>
  <c r="AJ75" i="26" s="1"/>
  <c r="P126" i="26"/>
  <c r="P120" i="26"/>
  <c r="AK89" i="26"/>
  <c r="AL89" i="26" s="1"/>
  <c r="AK79" i="26"/>
  <c r="AL79" i="26" s="1"/>
  <c r="AK81" i="26"/>
  <c r="AL81" i="26" s="1"/>
  <c r="AK98" i="26"/>
  <c r="AL98" i="26" s="1"/>
  <c r="AK87" i="26"/>
  <c r="AL87" i="26" s="1"/>
  <c r="AK83" i="26"/>
  <c r="AL83" i="26" s="1"/>
  <c r="AK82" i="26"/>
  <c r="AL82" i="26" s="1"/>
  <c r="AK97" i="26"/>
  <c r="AL97" i="26" s="1"/>
  <c r="AK80" i="26"/>
  <c r="AL80" i="26" s="1"/>
  <c r="AK93" i="26"/>
  <c r="AL93" i="26" s="1"/>
  <c r="AK86" i="26"/>
  <c r="AL86" i="26" s="1"/>
  <c r="AK96" i="26"/>
  <c r="AL96" i="26" s="1"/>
  <c r="AK84" i="26"/>
  <c r="AL84" i="26" s="1"/>
  <c r="AK76" i="26"/>
  <c r="AL76" i="26" s="1"/>
  <c r="AK95" i="26"/>
  <c r="AL95" i="26" s="1"/>
  <c r="AK78" i="26"/>
  <c r="AL78" i="26" s="1"/>
  <c r="AK85" i="26"/>
  <c r="AL85" i="26" s="1"/>
  <c r="AK94" i="26"/>
  <c r="AL94" i="26" s="1"/>
  <c r="AK90" i="26"/>
  <c r="AL90" i="26" s="1"/>
  <c r="AK88" i="26"/>
  <c r="AL88" i="26" s="1"/>
  <c r="AK101" i="26"/>
  <c r="AL101" i="26" s="1"/>
  <c r="AK92" i="26"/>
  <c r="AL92" i="26" s="1"/>
  <c r="AK75" i="26"/>
  <c r="AL75" i="26" s="1"/>
  <c r="AK99" i="26"/>
  <c r="AL99" i="26" s="1"/>
  <c r="AK91" i="26"/>
  <c r="AL91" i="26" s="1"/>
  <c r="AK77" i="26"/>
  <c r="AL77" i="26" s="1"/>
  <c r="AK100" i="26"/>
  <c r="AL100" i="26" s="1"/>
  <c r="AK74" i="26"/>
  <c r="AL74" i="26" s="1"/>
  <c r="AN79" i="26"/>
  <c r="AG26" i="26"/>
  <c r="AG24" i="26"/>
  <c r="AG23" i="26"/>
  <c r="AG22" i="26"/>
  <c r="AG29" i="26"/>
  <c r="AG27" i="26"/>
  <c r="AG21" i="26"/>
  <c r="AG19" i="26"/>
  <c r="AG28" i="26"/>
  <c r="AG25" i="26"/>
  <c r="AG31" i="26"/>
  <c r="AG30" i="26"/>
  <c r="AG20" i="26"/>
  <c r="AI74" i="26"/>
  <c r="AJ74" i="26" s="1"/>
  <c r="P114" i="26"/>
  <c r="P124" i="26"/>
  <c r="I22" i="26"/>
  <c r="P112" i="26"/>
  <c r="P118" i="26"/>
  <c r="X106" i="26"/>
  <c r="P122" i="26"/>
  <c r="P56" i="26"/>
  <c r="P106" i="26"/>
  <c r="P104" i="26"/>
  <c r="X112" i="26"/>
  <c r="P128" i="26"/>
  <c r="I104" i="26"/>
  <c r="P110" i="26"/>
  <c r="P116" i="26"/>
  <c r="M104" i="26"/>
  <c r="U108" i="26"/>
  <c r="R106" i="26"/>
  <c r="AM11" i="26"/>
  <c r="AN11" i="26" s="1"/>
  <c r="AK5" i="26"/>
  <c r="AL5" i="26" s="1"/>
  <c r="AK7" i="26"/>
  <c r="AL7" i="26" s="1"/>
  <c r="AK14" i="26"/>
  <c r="AL14" i="26" s="1"/>
  <c r="AM16" i="26"/>
  <c r="AN16" i="26" s="1"/>
  <c r="AK21" i="26"/>
  <c r="AL21" i="26" s="1"/>
  <c r="AK23" i="26"/>
  <c r="AL23" i="26" s="1"/>
  <c r="AK30" i="26"/>
  <c r="AL30" i="26" s="1"/>
  <c r="AK4" i="26"/>
  <c r="AL4" i="26" s="1"/>
  <c r="AM5" i="26"/>
  <c r="AN5" i="26" s="1"/>
  <c r="AM7" i="26"/>
  <c r="AN7" i="26" s="1"/>
  <c r="AK12" i="26"/>
  <c r="AL12" i="26" s="1"/>
  <c r="AM14" i="26"/>
  <c r="AN14" i="26" s="1"/>
  <c r="AM21" i="26"/>
  <c r="AN21" i="26" s="1"/>
  <c r="AM23" i="26"/>
  <c r="AN23" i="26" s="1"/>
  <c r="AK28" i="26"/>
  <c r="AL28" i="26" s="1"/>
  <c r="AM30" i="26"/>
  <c r="AN30" i="26" s="1"/>
  <c r="AK6" i="26"/>
  <c r="AL6" i="26" s="1"/>
  <c r="AK15" i="26"/>
  <c r="AL15" i="26" s="1"/>
  <c r="AM24" i="26"/>
  <c r="AN24" i="26" s="1"/>
  <c r="AK16" i="26"/>
  <c r="AL16" i="26" s="1"/>
  <c r="AM27" i="26"/>
  <c r="AN27" i="26" s="1"/>
  <c r="AK10" i="26"/>
  <c r="AL10" i="26" s="1"/>
  <c r="AM12" i="26"/>
  <c r="AN12" i="26" s="1"/>
  <c r="AK17" i="26"/>
  <c r="AL17" i="26" s="1"/>
  <c r="AK19" i="26"/>
  <c r="AL19" i="26" s="1"/>
  <c r="AK26" i="26"/>
  <c r="AL26" i="26" s="1"/>
  <c r="AM28" i="26"/>
  <c r="AN28" i="26" s="1"/>
  <c r="AM8" i="26"/>
  <c r="AN8" i="26" s="1"/>
  <c r="AK13" i="26"/>
  <c r="AL13" i="26" s="1"/>
  <c r="AK22" i="26"/>
  <c r="AL22" i="26" s="1"/>
  <c r="AK31" i="26"/>
  <c r="AL31" i="26" s="1"/>
  <c r="AK27" i="26"/>
  <c r="AL27" i="26" s="1"/>
  <c r="AM4" i="26"/>
  <c r="AN4" i="26" s="1"/>
  <c r="AK8" i="26"/>
  <c r="AL8" i="26" s="1"/>
  <c r="AM10" i="26"/>
  <c r="AN10" i="26" s="1"/>
  <c r="AM17" i="26"/>
  <c r="AN17" i="26" s="1"/>
  <c r="AM19" i="26"/>
  <c r="AN19" i="26" s="1"/>
  <c r="AK24" i="26"/>
  <c r="AL24" i="26" s="1"/>
  <c r="AM26" i="26"/>
  <c r="AN26" i="26" s="1"/>
  <c r="AK29" i="26"/>
  <c r="AL29" i="26" s="1"/>
  <c r="AM9" i="26"/>
  <c r="AN9" i="26" s="1"/>
  <c r="AM25" i="26"/>
  <c r="AN25" i="26" s="1"/>
  <c r="AM6" i="26"/>
  <c r="AN6" i="26" s="1"/>
  <c r="AM13" i="26"/>
  <c r="AN13" i="26" s="1"/>
  <c r="AM15" i="26"/>
  <c r="AN15" i="26" s="1"/>
  <c r="AK20" i="26"/>
  <c r="AL20" i="26" s="1"/>
  <c r="AM22" i="26"/>
  <c r="AN22" i="26" s="1"/>
  <c r="AM29" i="26"/>
  <c r="AN29" i="26" s="1"/>
  <c r="AM31" i="26"/>
  <c r="AN31" i="26" s="1"/>
  <c r="AK9" i="26"/>
  <c r="AL9" i="26" s="1"/>
  <c r="AK11" i="26"/>
  <c r="AL11" i="26" s="1"/>
  <c r="AK18" i="26"/>
  <c r="AL18" i="26" s="1"/>
  <c r="AM20" i="26"/>
  <c r="AN20" i="26" s="1"/>
  <c r="AK25" i="26"/>
  <c r="AL25" i="26" s="1"/>
  <c r="AM18" i="26"/>
  <c r="AN18" i="26" s="1"/>
  <c r="AI4" i="26"/>
  <c r="AJ4" i="26" s="1"/>
  <c r="M114" i="26"/>
  <c r="U118" i="26"/>
  <c r="X52" i="26"/>
  <c r="M126" i="26"/>
  <c r="M118" i="26"/>
  <c r="M124" i="26"/>
  <c r="M122" i="26"/>
  <c r="X34" i="26"/>
  <c r="M128" i="26"/>
  <c r="U116" i="26"/>
  <c r="M116" i="26"/>
  <c r="U128" i="26"/>
  <c r="X22" i="26"/>
  <c r="X126" i="26"/>
  <c r="X16" i="26"/>
  <c r="X116" i="26"/>
  <c r="X28" i="26"/>
  <c r="X40" i="26"/>
  <c r="X48" i="26"/>
  <c r="X68" i="26"/>
  <c r="X124" i="26"/>
  <c r="X114" i="26"/>
  <c r="X46" i="26"/>
  <c r="X60" i="26"/>
  <c r="X64" i="26"/>
  <c r="X122" i="26"/>
  <c r="X26" i="26"/>
  <c r="X38" i="26"/>
  <c r="X42" i="26"/>
  <c r="X118" i="26"/>
  <c r="X56" i="26"/>
  <c r="X62" i="26"/>
  <c r="X66" i="26"/>
  <c r="X120" i="26"/>
  <c r="X128" i="26"/>
  <c r="X14" i="26"/>
  <c r="X30" i="26"/>
  <c r="X44" i="26"/>
  <c r="X58" i="26"/>
  <c r="M56" i="26"/>
  <c r="M38" i="26"/>
  <c r="M68" i="26"/>
  <c r="G126" i="26"/>
  <c r="G62" i="26"/>
  <c r="O126" i="26"/>
  <c r="G100" i="26"/>
  <c r="G64" i="26"/>
  <c r="W108" i="26"/>
  <c r="W106" i="26"/>
  <c r="X110" i="26"/>
  <c r="X102" i="26"/>
  <c r="W80" i="26"/>
  <c r="W74" i="26"/>
  <c r="S122" i="26"/>
  <c r="K104" i="26"/>
  <c r="K58" i="26"/>
  <c r="S120" i="26"/>
  <c r="K128" i="26"/>
  <c r="W50" i="26"/>
  <c r="W6" i="26"/>
  <c r="D10" i="26"/>
  <c r="Q112" i="26"/>
  <c r="Q12" i="26"/>
  <c r="P46" i="26"/>
  <c r="G54" i="26"/>
  <c r="G10" i="26"/>
  <c r="F54" i="26"/>
  <c r="F10" i="26"/>
  <c r="S114" i="26"/>
  <c r="L104" i="26"/>
  <c r="K112" i="26"/>
  <c r="K126" i="26"/>
  <c r="K100" i="26"/>
  <c r="K34" i="26"/>
  <c r="K118" i="26"/>
  <c r="K46" i="26"/>
  <c r="K56" i="26"/>
  <c r="K124" i="26"/>
  <c r="K116" i="26"/>
  <c r="K122" i="26"/>
  <c r="K44" i="26"/>
  <c r="K108" i="26"/>
  <c r="K62" i="26"/>
  <c r="K114" i="26"/>
  <c r="K110" i="26"/>
  <c r="K40" i="26"/>
  <c r="K120" i="26"/>
  <c r="K28" i="26"/>
  <c r="K60" i="26"/>
  <c r="J122" i="26"/>
  <c r="P52" i="26"/>
  <c r="P20" i="26"/>
  <c r="L106" i="26"/>
  <c r="V118" i="26"/>
  <c r="V32" i="26"/>
  <c r="T66" i="26"/>
  <c r="T60" i="26"/>
  <c r="T52" i="26"/>
  <c r="T48" i="26"/>
  <c r="T116" i="26"/>
  <c r="I114" i="26"/>
  <c r="I60" i="26"/>
  <c r="I126" i="26"/>
  <c r="X32" i="26"/>
  <c r="J104" i="26"/>
  <c r="I90" i="26"/>
  <c r="J94" i="26"/>
  <c r="J128" i="26"/>
  <c r="J44" i="26"/>
  <c r="J46" i="26"/>
  <c r="J58" i="26"/>
  <c r="J60" i="26"/>
  <c r="J124" i="26"/>
  <c r="J56" i="26"/>
  <c r="J106" i="26"/>
  <c r="J108" i="26"/>
  <c r="J112" i="26"/>
  <c r="J120" i="26"/>
  <c r="J118" i="26"/>
  <c r="J110" i="26"/>
  <c r="J114" i="26"/>
  <c r="J116" i="26"/>
  <c r="J126" i="26"/>
  <c r="G50" i="26"/>
  <c r="Q20" i="26"/>
  <c r="O48" i="26"/>
  <c r="G48" i="26"/>
  <c r="I78" i="26"/>
  <c r="I102" i="26"/>
  <c r="K42" i="26"/>
  <c r="K64" i="26"/>
  <c r="F112" i="26"/>
  <c r="J68" i="26"/>
  <c r="J42" i="26"/>
  <c r="J62" i="26"/>
  <c r="J90" i="26"/>
  <c r="P66" i="26"/>
  <c r="P32" i="26"/>
  <c r="P60" i="26"/>
  <c r="P108" i="26"/>
  <c r="M106" i="26"/>
  <c r="N38" i="26"/>
  <c r="T40" i="26"/>
  <c r="T64" i="26"/>
  <c r="V110" i="26"/>
  <c r="F58" i="26"/>
  <c r="F38" i="26"/>
  <c r="K106" i="26"/>
  <c r="K66" i="26"/>
  <c r="K68" i="26"/>
  <c r="X36" i="26"/>
  <c r="K48" i="26"/>
  <c r="S10" i="26"/>
  <c r="F66" i="26"/>
  <c r="K52" i="26"/>
  <c r="K36" i="26"/>
  <c r="V92" i="26"/>
  <c r="X50" i="26"/>
  <c r="K50" i="26"/>
  <c r="X54" i="26"/>
  <c r="N114" i="26"/>
  <c r="N66" i="26"/>
  <c r="U114" i="26"/>
  <c r="U122" i="26"/>
  <c r="U120" i="26"/>
  <c r="U106" i="26"/>
  <c r="U126" i="26"/>
  <c r="U112" i="26"/>
  <c r="U124" i="26"/>
  <c r="U32" i="26"/>
  <c r="N120" i="26"/>
  <c r="N118" i="26"/>
  <c r="G118" i="26"/>
  <c r="G120" i="26"/>
  <c r="G124" i="26"/>
  <c r="N44" i="26"/>
  <c r="G56" i="26"/>
  <c r="N68" i="26"/>
  <c r="N106" i="26"/>
  <c r="N112" i="26"/>
  <c r="G114" i="26"/>
  <c r="G116" i="26"/>
  <c r="G128" i="26"/>
  <c r="G34" i="26"/>
  <c r="G38" i="26"/>
  <c r="G58" i="26"/>
  <c r="G66" i="26"/>
  <c r="N110" i="26"/>
  <c r="N122" i="26"/>
  <c r="G112" i="26"/>
  <c r="G40" i="26"/>
  <c r="N46" i="26"/>
  <c r="N60" i="26"/>
  <c r="N42" i="26"/>
  <c r="D82" i="26"/>
  <c r="D104" i="26"/>
  <c r="N124" i="26"/>
  <c r="N126" i="26"/>
  <c r="G110" i="26"/>
  <c r="N30" i="26"/>
  <c r="G44" i="26"/>
  <c r="N36" i="26"/>
  <c r="N116" i="26"/>
  <c r="G108" i="26"/>
  <c r="G30" i="26"/>
  <c r="N56" i="26"/>
  <c r="N62" i="26"/>
  <c r="G68" i="26"/>
  <c r="N52" i="26"/>
  <c r="N128" i="26"/>
  <c r="G106" i="26"/>
  <c r="N22" i="26"/>
  <c r="G46" i="26"/>
  <c r="G42" i="26"/>
  <c r="N48" i="26"/>
  <c r="N64" i="26"/>
  <c r="N108" i="26"/>
  <c r="G104" i="26"/>
  <c r="N58" i="26"/>
  <c r="G60" i="26"/>
  <c r="G52" i="26"/>
  <c r="G94" i="26"/>
  <c r="T114" i="26"/>
  <c r="W114" i="26"/>
  <c r="W120" i="26"/>
  <c r="T128" i="26"/>
  <c r="W90" i="26"/>
  <c r="W56" i="26"/>
  <c r="T36" i="26"/>
  <c r="T42" i="26"/>
  <c r="W44" i="26"/>
  <c r="T104" i="26"/>
  <c r="W110" i="26"/>
  <c r="W112" i="26"/>
  <c r="W118" i="26"/>
  <c r="W128" i="26"/>
  <c r="W40" i="26"/>
  <c r="T56" i="26"/>
  <c r="W60" i="26"/>
  <c r="W66" i="26"/>
  <c r="W52" i="26"/>
  <c r="W92" i="26"/>
  <c r="T124" i="26"/>
  <c r="T108" i="26"/>
  <c r="T44" i="26"/>
  <c r="T24" i="26"/>
  <c r="T118" i="26"/>
  <c r="W98" i="26"/>
  <c r="W18" i="26"/>
  <c r="W30" i="26"/>
  <c r="T106" i="26"/>
  <c r="W28" i="26"/>
  <c r="T30" i="26"/>
  <c r="W32" i="26"/>
  <c r="W34" i="26"/>
  <c r="W46" i="26"/>
  <c r="W58" i="26"/>
  <c r="W68" i="26"/>
  <c r="W126" i="26"/>
  <c r="T112" i="26"/>
  <c r="W116" i="26"/>
  <c r="T122" i="26"/>
  <c r="W96" i="26"/>
  <c r="W14" i="26"/>
  <c r="T28" i="26"/>
  <c r="T32" i="26"/>
  <c r="T34" i="26"/>
  <c r="W38" i="26"/>
  <c r="T58" i="26"/>
  <c r="W62" i="26"/>
  <c r="T68" i="26"/>
  <c r="W86" i="26"/>
  <c r="T126" i="26"/>
  <c r="W122" i="26"/>
  <c r="W124" i="26"/>
  <c r="T120" i="26"/>
  <c r="T82" i="26"/>
  <c r="T14" i="26"/>
  <c r="W26" i="26"/>
  <c r="T38" i="26"/>
  <c r="T62" i="26"/>
  <c r="W88" i="26"/>
  <c r="W102" i="26"/>
  <c r="W36" i="26"/>
  <c r="L52" i="26"/>
  <c r="L56" i="26"/>
  <c r="L112" i="26"/>
  <c r="L40" i="26"/>
  <c r="L110" i="26"/>
  <c r="L48" i="26"/>
  <c r="L114" i="26"/>
  <c r="R118" i="26"/>
  <c r="R120" i="26"/>
  <c r="R124" i="26"/>
  <c r="R126" i="26"/>
  <c r="R112" i="26"/>
  <c r="U104" i="26"/>
  <c r="U110" i="26"/>
  <c r="T110" i="26"/>
  <c r="R24" i="26"/>
  <c r="R110" i="26"/>
  <c r="N104" i="26"/>
  <c r="T50" i="26"/>
  <c r="S108" i="26"/>
  <c r="M120" i="26"/>
  <c r="S124" i="26"/>
  <c r="R128" i="26"/>
  <c r="R108" i="26"/>
  <c r="L128" i="26"/>
  <c r="Q118" i="26"/>
  <c r="L122" i="26"/>
  <c r="R22" i="26"/>
  <c r="Q26" i="26"/>
  <c r="S28" i="26"/>
  <c r="M40" i="26"/>
  <c r="M46" i="26"/>
  <c r="M60" i="26"/>
  <c r="M48" i="26"/>
  <c r="L54" i="26"/>
  <c r="S106" i="26"/>
  <c r="S22" i="26"/>
  <c r="M112" i="26"/>
  <c r="R114" i="26"/>
  <c r="R104" i="26"/>
  <c r="L118" i="26"/>
  <c r="L124" i="26"/>
  <c r="M32" i="26"/>
  <c r="M34" i="26"/>
  <c r="M58" i="26"/>
  <c r="M66" i="26"/>
  <c r="M64" i="26"/>
  <c r="S24" i="26"/>
  <c r="S118" i="26"/>
  <c r="S112" i="26"/>
  <c r="S126" i="26"/>
  <c r="M108" i="26"/>
  <c r="S104" i="26"/>
  <c r="S110" i="26"/>
  <c r="S128" i="26"/>
  <c r="R122" i="26"/>
  <c r="R116" i="26"/>
  <c r="L126" i="26"/>
  <c r="L116" i="26"/>
  <c r="L120" i="26"/>
  <c r="L34" i="26"/>
  <c r="M52" i="26"/>
  <c r="M42" i="26"/>
  <c r="L64" i="26"/>
  <c r="M50" i="26"/>
  <c r="Q124" i="26"/>
  <c r="M44" i="26"/>
  <c r="L42" i="26"/>
  <c r="L50" i="26"/>
  <c r="M62" i="26"/>
  <c r="P54" i="26"/>
  <c r="P100" i="26"/>
  <c r="O96" i="26"/>
  <c r="V114" i="26"/>
  <c r="V116" i="26"/>
  <c r="V124" i="26"/>
  <c r="Q114" i="26"/>
  <c r="Q116" i="26"/>
  <c r="V122" i="26"/>
  <c r="W48" i="26"/>
  <c r="W54" i="26"/>
  <c r="V128" i="26"/>
  <c r="Q120" i="26"/>
  <c r="J66" i="26"/>
  <c r="W8" i="26"/>
  <c r="V104" i="26"/>
  <c r="Q106" i="26"/>
  <c r="V120" i="26"/>
  <c r="W42" i="26"/>
  <c r="J64" i="26"/>
  <c r="J50" i="26"/>
  <c r="V126" i="26"/>
  <c r="Q104" i="26"/>
  <c r="Q126" i="26"/>
  <c r="Q128" i="26"/>
  <c r="J52" i="26"/>
  <c r="W64" i="26"/>
  <c r="V112" i="26"/>
  <c r="V106" i="26"/>
  <c r="Q108" i="26"/>
  <c r="Q122" i="26"/>
  <c r="J36" i="26"/>
  <c r="W20" i="26"/>
  <c r="V108" i="26"/>
  <c r="Q110" i="26"/>
  <c r="W24" i="26"/>
  <c r="H102" i="26"/>
  <c r="H126" i="26"/>
  <c r="H114" i="26"/>
  <c r="H36" i="26"/>
  <c r="H66" i="26"/>
  <c r="H58" i="26"/>
  <c r="H120" i="26"/>
  <c r="H108" i="26"/>
  <c r="H50" i="26"/>
  <c r="H64" i="26"/>
  <c r="H122" i="26"/>
  <c r="H118" i="26"/>
  <c r="H106" i="26"/>
  <c r="H42" i="26"/>
  <c r="H56" i="26"/>
  <c r="H124" i="26"/>
  <c r="H112" i="26"/>
  <c r="H52" i="26"/>
  <c r="H62" i="26"/>
  <c r="H34" i="26"/>
  <c r="H128" i="26"/>
  <c r="H104" i="26"/>
  <c r="H54" i="26"/>
  <c r="H46" i="26"/>
  <c r="H44" i="26"/>
  <c r="H68" i="26"/>
  <c r="H60" i="26"/>
  <c r="H116" i="26"/>
  <c r="H110" i="26"/>
  <c r="E56" i="26"/>
  <c r="E112" i="26"/>
  <c r="E108" i="26"/>
  <c r="E48" i="26"/>
  <c r="E52" i="26"/>
  <c r="E62" i="26"/>
  <c r="E124" i="26"/>
  <c r="E104" i="26"/>
  <c r="E34" i="26"/>
  <c r="E110" i="26"/>
  <c r="E120" i="26"/>
  <c r="E60" i="26"/>
  <c r="E46" i="26"/>
  <c r="E44" i="26"/>
  <c r="E68" i="26"/>
  <c r="E122" i="26"/>
  <c r="E118" i="26"/>
  <c r="E106" i="26"/>
  <c r="E128" i="26"/>
  <c r="E126" i="26"/>
  <c r="E114" i="26"/>
  <c r="E64" i="26"/>
  <c r="E116" i="26"/>
  <c r="E54" i="26"/>
  <c r="E66" i="26"/>
  <c r="E58" i="26"/>
  <c r="D48" i="26"/>
  <c r="D52" i="26"/>
  <c r="D62" i="26"/>
  <c r="D116" i="26"/>
  <c r="D42" i="26"/>
  <c r="D108" i="26"/>
  <c r="D50" i="26"/>
  <c r="D110" i="26"/>
  <c r="D60" i="26"/>
  <c r="D46" i="26"/>
  <c r="D44" i="26"/>
  <c r="D40" i="26"/>
  <c r="D30" i="26"/>
  <c r="D126" i="26"/>
  <c r="D54" i="26"/>
  <c r="D68" i="26"/>
  <c r="D118" i="26"/>
  <c r="D112" i="26"/>
  <c r="D106" i="26"/>
  <c r="D56" i="26"/>
  <c r="D28" i="26"/>
  <c r="D114" i="26"/>
  <c r="D128" i="26"/>
  <c r="D66" i="26"/>
  <c r="D58" i="26"/>
  <c r="D122" i="26"/>
  <c r="D32" i="26"/>
  <c r="D64" i="26"/>
  <c r="D124" i="26"/>
  <c r="I120" i="26"/>
  <c r="I44" i="26"/>
  <c r="F118" i="26"/>
  <c r="I110" i="26"/>
  <c r="I116" i="26"/>
  <c r="F28" i="26"/>
  <c r="L58" i="26"/>
  <c r="I62" i="26"/>
  <c r="L66" i="26"/>
  <c r="F68" i="26"/>
  <c r="I52" i="26"/>
  <c r="I40" i="26"/>
  <c r="I56" i="26"/>
  <c r="F60" i="26"/>
  <c r="I42" i="26"/>
  <c r="I48" i="26"/>
  <c r="F126" i="26"/>
  <c r="F128" i="26"/>
  <c r="I128" i="26"/>
  <c r="L68" i="26"/>
  <c r="I64" i="26"/>
  <c r="I50" i="26"/>
  <c r="F114" i="26"/>
  <c r="I112" i="26"/>
  <c r="I124" i="26"/>
  <c r="F98" i="26"/>
  <c r="I58" i="26"/>
  <c r="L60" i="26"/>
  <c r="F62" i="26"/>
  <c r="I66" i="26"/>
  <c r="F52" i="26"/>
  <c r="F48" i="26"/>
  <c r="F116" i="26"/>
  <c r="F110" i="26"/>
  <c r="F122" i="26"/>
  <c r="F106" i="26"/>
  <c r="F104" i="26"/>
  <c r="I118" i="26"/>
  <c r="I122" i="26"/>
  <c r="E102" i="26"/>
  <c r="F56" i="26"/>
  <c r="F124" i="26"/>
  <c r="F120" i="26"/>
  <c r="F108" i="26"/>
  <c r="I106" i="26"/>
  <c r="I108" i="26"/>
  <c r="L32" i="26"/>
  <c r="L46" i="26"/>
  <c r="L62" i="26"/>
  <c r="I68" i="26"/>
  <c r="F64" i="26"/>
  <c r="F50" i="26"/>
  <c r="O108" i="26"/>
  <c r="O102" i="26"/>
  <c r="O44" i="26"/>
  <c r="O42" i="26"/>
  <c r="P14" i="26"/>
  <c r="O40" i="26"/>
  <c r="O46" i="26"/>
  <c r="O100" i="26"/>
  <c r="P48" i="26"/>
  <c r="O114" i="26"/>
  <c r="O118" i="26"/>
  <c r="O32" i="26"/>
  <c r="O56" i="26"/>
  <c r="O60" i="26"/>
  <c r="O66" i="26"/>
  <c r="O52" i="26"/>
  <c r="P36" i="26"/>
  <c r="O64" i="26"/>
  <c r="O106" i="26"/>
  <c r="O110" i="26"/>
  <c r="P26" i="26"/>
  <c r="P38" i="26"/>
  <c r="O36" i="26"/>
  <c r="O128" i="26"/>
  <c r="O28" i="26"/>
  <c r="O38" i="26"/>
  <c r="P50" i="26"/>
  <c r="O116" i="26"/>
  <c r="O124" i="26"/>
  <c r="O34" i="26"/>
  <c r="P58" i="26"/>
  <c r="P62" i="26"/>
  <c r="P68" i="26"/>
  <c r="O50" i="26"/>
  <c r="O112" i="26"/>
  <c r="O120" i="26"/>
  <c r="O122" i="26"/>
  <c r="P30" i="26"/>
  <c r="P44" i="26"/>
  <c r="O58" i="26"/>
  <c r="O62" i="26"/>
  <c r="O68" i="26"/>
  <c r="H88" i="26"/>
  <c r="H76" i="26"/>
  <c r="T102" i="26"/>
  <c r="T18" i="26"/>
  <c r="Q22" i="26"/>
  <c r="Q24" i="26"/>
  <c r="N102" i="26"/>
  <c r="N10" i="26"/>
  <c r="L102" i="26"/>
  <c r="K18" i="26"/>
  <c r="H30" i="26"/>
  <c r="H24" i="26"/>
  <c r="E100" i="26"/>
  <c r="M100" i="26"/>
  <c r="M98" i="26"/>
  <c r="L28" i="26"/>
  <c r="L92" i="26"/>
  <c r="P94" i="26"/>
  <c r="P12" i="26"/>
  <c r="L94" i="26"/>
  <c r="L98" i="26"/>
  <c r="I32" i="26"/>
  <c r="O16" i="26"/>
  <c r="O24" i="26"/>
  <c r="D24" i="26"/>
  <c r="D26" i="26"/>
  <c r="G92" i="26"/>
  <c r="G22" i="26"/>
  <c r="D94" i="26"/>
  <c r="D18" i="26"/>
  <c r="T100" i="26"/>
  <c r="T98" i="26"/>
  <c r="M18" i="26"/>
  <c r="M96" i="26"/>
  <c r="P74" i="26"/>
  <c r="P98" i="26"/>
  <c r="G24" i="26"/>
  <c r="G98" i="26"/>
  <c r="U96" i="26"/>
  <c r="U54" i="26"/>
  <c r="U50" i="26"/>
  <c r="U64" i="26"/>
  <c r="U48" i="26"/>
  <c r="U42" i="26"/>
  <c r="U36" i="26"/>
  <c r="U102" i="26"/>
  <c r="U100" i="26"/>
  <c r="U52" i="26"/>
  <c r="U68" i="26"/>
  <c r="U66" i="26"/>
  <c r="U62" i="26"/>
  <c r="U60" i="26"/>
  <c r="U58" i="26"/>
  <c r="U56" i="26"/>
  <c r="U46" i="26"/>
  <c r="U44" i="26"/>
  <c r="U40" i="26"/>
  <c r="U38" i="26"/>
  <c r="U34" i="26"/>
  <c r="U98" i="26"/>
  <c r="S8" i="26"/>
  <c r="S18" i="26"/>
  <c r="S74" i="26"/>
  <c r="K38" i="26"/>
  <c r="K30" i="26"/>
  <c r="I92" i="26"/>
  <c r="F32" i="26"/>
  <c r="F26" i="26"/>
  <c r="E32" i="26"/>
  <c r="E18" i="26"/>
  <c r="V14" i="26"/>
  <c r="V94" i="26"/>
  <c r="N18" i="26"/>
  <c r="N96" i="26"/>
  <c r="H38" i="26"/>
  <c r="H10" i="26"/>
  <c r="H94" i="26"/>
  <c r="H22" i="26"/>
  <c r="G18" i="26"/>
  <c r="G96" i="26"/>
  <c r="E10" i="26"/>
  <c r="E94" i="26"/>
  <c r="D102" i="26"/>
  <c r="D36" i="26"/>
  <c r="K8" i="26"/>
  <c r="X78" i="26"/>
  <c r="X82" i="26"/>
  <c r="V12" i="26"/>
  <c r="V10" i="26"/>
  <c r="L100" i="26"/>
  <c r="L90" i="26"/>
  <c r="X84" i="26"/>
  <c r="X92" i="26"/>
  <c r="S90" i="26"/>
  <c r="S6" i="26"/>
  <c r="Q18" i="26"/>
  <c r="Q14" i="26"/>
  <c r="O26" i="26"/>
  <c r="O94" i="26"/>
  <c r="L38" i="26"/>
  <c r="L96" i="26"/>
  <c r="L6" i="26"/>
  <c r="K22" i="26"/>
  <c r="K14" i="26"/>
  <c r="K98" i="26"/>
  <c r="O92" i="26"/>
  <c r="O22" i="26"/>
  <c r="O18" i="26"/>
  <c r="N86" i="26"/>
  <c r="N34" i="26"/>
  <c r="N32" i="26"/>
  <c r="M12" i="26"/>
  <c r="M22" i="26"/>
  <c r="M74" i="26"/>
  <c r="M30" i="26"/>
  <c r="J8" i="26"/>
  <c r="J38" i="26"/>
  <c r="J18" i="26"/>
  <c r="I6" i="26"/>
  <c r="I20" i="26"/>
  <c r="I30" i="26"/>
  <c r="I28" i="26"/>
  <c r="I14" i="26"/>
  <c r="I36" i="26"/>
  <c r="I38" i="26"/>
  <c r="I34" i="26"/>
  <c r="I26" i="26"/>
  <c r="G12" i="26"/>
  <c r="G26" i="26"/>
  <c r="U90" i="26"/>
  <c r="U80" i="26"/>
  <c r="Q82" i="26"/>
  <c r="Q88" i="26"/>
  <c r="X6" i="26"/>
  <c r="X74" i="26"/>
  <c r="Q10" i="26"/>
  <c r="Q74" i="26"/>
  <c r="O12" i="26"/>
  <c r="O78" i="26"/>
  <c r="X94" i="26"/>
  <c r="X8" i="26"/>
  <c r="S78" i="26"/>
  <c r="S12" i="26"/>
  <c r="K92" i="26"/>
  <c r="K10" i="26"/>
  <c r="K86" i="26"/>
  <c r="K74" i="26"/>
  <c r="G76" i="26"/>
  <c r="G88" i="26"/>
  <c r="I16" i="26"/>
  <c r="I24" i="26"/>
  <c r="I8" i="26"/>
  <c r="I98" i="26"/>
  <c r="I96" i="26"/>
  <c r="I74" i="26"/>
  <c r="V80" i="26"/>
  <c r="V90" i="26"/>
  <c r="T76" i="26"/>
  <c r="Q86" i="26"/>
  <c r="Q78" i="26"/>
  <c r="P88" i="26"/>
  <c r="O98" i="26"/>
  <c r="O90" i="26"/>
  <c r="N100" i="26"/>
  <c r="N94" i="26"/>
  <c r="J74" i="26"/>
  <c r="J92" i="26"/>
  <c r="F18" i="26"/>
  <c r="F88" i="26"/>
  <c r="D92" i="26"/>
  <c r="D84" i="26"/>
  <c r="D78" i="26"/>
  <c r="X98" i="26"/>
  <c r="V8" i="26"/>
  <c r="V84" i="26"/>
  <c r="V96" i="26"/>
  <c r="N80" i="26"/>
  <c r="N84" i="26"/>
  <c r="L88" i="26"/>
  <c r="K94" i="26"/>
  <c r="K96" i="26"/>
  <c r="J102" i="26"/>
  <c r="J100" i="26"/>
  <c r="J88" i="26"/>
  <c r="G86" i="26"/>
  <c r="G102" i="26"/>
  <c r="H100" i="26"/>
  <c r="H92" i="26"/>
  <c r="H90" i="26"/>
  <c r="E84" i="26"/>
  <c r="E92" i="26"/>
  <c r="D16" i="26"/>
  <c r="D100" i="26"/>
  <c r="U78" i="26"/>
  <c r="U84" i="26"/>
  <c r="T84" i="26"/>
  <c r="T88" i="26"/>
  <c r="S76" i="26"/>
  <c r="P16" i="26"/>
  <c r="P86" i="26"/>
  <c r="P84" i="26"/>
  <c r="O76" i="26"/>
  <c r="O80" i="26"/>
  <c r="O88" i="26"/>
  <c r="K88" i="26"/>
  <c r="K78" i="26"/>
  <c r="X90" i="26"/>
  <c r="X18" i="26"/>
  <c r="T26" i="26"/>
  <c r="T20" i="26"/>
  <c r="T74" i="26"/>
  <c r="V86" i="26"/>
  <c r="V78" i="26"/>
  <c r="W10" i="26"/>
  <c r="W78" i="26"/>
  <c r="W82" i="26"/>
  <c r="S54" i="26"/>
  <c r="S50" i="26"/>
  <c r="S64" i="26"/>
  <c r="S42" i="26"/>
  <c r="S36" i="26"/>
  <c r="S102" i="26"/>
  <c r="S100" i="26"/>
  <c r="S94" i="26"/>
  <c r="S52" i="26"/>
  <c r="S68" i="26"/>
  <c r="S66" i="26"/>
  <c r="S62" i="26"/>
  <c r="S60" i="26"/>
  <c r="S58" i="26"/>
  <c r="S56" i="26"/>
  <c r="S46" i="26"/>
  <c r="S44" i="26"/>
  <c r="S40" i="26"/>
  <c r="S34" i="26"/>
  <c r="S30" i="26"/>
  <c r="S98" i="26"/>
  <c r="R78" i="26"/>
  <c r="R54" i="26"/>
  <c r="R50" i="26"/>
  <c r="R64" i="26"/>
  <c r="R48" i="26"/>
  <c r="R42" i="26"/>
  <c r="R36" i="26"/>
  <c r="R102" i="26"/>
  <c r="R94" i="26"/>
  <c r="R52" i="26"/>
  <c r="R68" i="26"/>
  <c r="R66" i="26"/>
  <c r="R62" i="26"/>
  <c r="R60" i="26"/>
  <c r="R58" i="26"/>
  <c r="R56" i="26"/>
  <c r="R46" i="26"/>
  <c r="R40" i="26"/>
  <c r="R38" i="26"/>
  <c r="R34" i="26"/>
  <c r="R32" i="26"/>
  <c r="R30" i="26"/>
  <c r="R96" i="26"/>
  <c r="Q54" i="26"/>
  <c r="Q50" i="26"/>
  <c r="Q64" i="26"/>
  <c r="Q36" i="26"/>
  <c r="Q102" i="26"/>
  <c r="Q100" i="26"/>
  <c r="Q94" i="26"/>
  <c r="Q52" i="26"/>
  <c r="Q68" i="26"/>
  <c r="Q66" i="26"/>
  <c r="Q62" i="26"/>
  <c r="Q60" i="26"/>
  <c r="Q58" i="26"/>
  <c r="Q56" i="26"/>
  <c r="Q46" i="26"/>
  <c r="Q44" i="26"/>
  <c r="Q40" i="26"/>
  <c r="Q38" i="26"/>
  <c r="Q30" i="26"/>
  <c r="S86" i="26"/>
  <c r="S16" i="26"/>
  <c r="P10" i="26"/>
  <c r="P28" i="26"/>
  <c r="J78" i="26"/>
  <c r="J24" i="26"/>
  <c r="I84" i="26"/>
  <c r="I82" i="26"/>
  <c r="I80" i="26"/>
  <c r="H74" i="26"/>
  <c r="H80" i="26"/>
  <c r="H8" i="26"/>
  <c r="H20" i="26"/>
  <c r="H86" i="26"/>
  <c r="H28" i="26"/>
  <c r="G90" i="26"/>
  <c r="G82" i="26"/>
  <c r="E6" i="26"/>
  <c r="E90" i="26"/>
  <c r="W94" i="26"/>
  <c r="W76" i="26"/>
  <c r="W16" i="26"/>
  <c r="W12" i="26"/>
  <c r="U88" i="26"/>
  <c r="U22" i="26"/>
  <c r="T16" i="26"/>
  <c r="T6" i="26"/>
  <c r="R28" i="26"/>
  <c r="R12" i="26"/>
  <c r="Q96" i="26"/>
  <c r="Q80" i="26"/>
  <c r="O8" i="26"/>
  <c r="N76" i="26"/>
  <c r="N90" i="26"/>
  <c r="K76" i="26"/>
  <c r="K82" i="26"/>
  <c r="K26" i="26"/>
  <c r="H82" i="26"/>
  <c r="H26" i="26"/>
  <c r="V20" i="26"/>
  <c r="V6" i="26"/>
  <c r="V82" i="26"/>
  <c r="U18" i="26"/>
  <c r="U12" i="26"/>
  <c r="S26" i="26"/>
  <c r="S88" i="26"/>
  <c r="S96" i="26"/>
  <c r="S92" i="26"/>
  <c r="S84" i="26"/>
  <c r="S80" i="26"/>
  <c r="T96" i="26"/>
  <c r="T78" i="26"/>
  <c r="T12" i="26"/>
  <c r="T94" i="26"/>
  <c r="N8" i="26"/>
  <c r="N78" i="26"/>
  <c r="M26" i="26"/>
  <c r="M90" i="26"/>
  <c r="M94" i="26"/>
  <c r="M92" i="26"/>
  <c r="M88" i="26"/>
  <c r="L8" i="26"/>
  <c r="L22" i="26"/>
  <c r="L18" i="26"/>
  <c r="J98" i="26"/>
  <c r="J6" i="26"/>
  <c r="H84" i="26"/>
  <c r="H96" i="26"/>
  <c r="E98" i="26"/>
  <c r="E86" i="26"/>
  <c r="E76" i="26"/>
  <c r="E80" i="26"/>
  <c r="E96" i="26"/>
  <c r="D98" i="26"/>
  <c r="D96" i="26"/>
  <c r="D20" i="26"/>
  <c r="D88" i="26"/>
  <c r="D90" i="26"/>
  <c r="X76" i="26"/>
  <c r="X24" i="26"/>
  <c r="X100" i="26"/>
  <c r="X12" i="26"/>
  <c r="X96" i="26"/>
  <c r="W100" i="26"/>
  <c r="W84" i="26"/>
  <c r="W22" i="26"/>
  <c r="V88" i="26"/>
  <c r="V18" i="26"/>
  <c r="U24" i="26"/>
  <c r="U92" i="26"/>
  <c r="U76" i="26"/>
  <c r="U82" i="26"/>
  <c r="U14" i="26"/>
  <c r="R100" i="26"/>
  <c r="R76" i="26"/>
  <c r="R16" i="26"/>
  <c r="R92" i="26"/>
  <c r="R14" i="26"/>
  <c r="R98" i="26"/>
  <c r="R74" i="26"/>
  <c r="Q6" i="26"/>
  <c r="Q92" i="26"/>
  <c r="Q84" i="26"/>
  <c r="Q8" i="26"/>
  <c r="Q98" i="26"/>
  <c r="Q90" i="26"/>
  <c r="P102" i="26"/>
  <c r="P92" i="26"/>
  <c r="P78" i="26"/>
  <c r="P80" i="26"/>
  <c r="P18" i="26"/>
  <c r="P96" i="26"/>
  <c r="P24" i="26"/>
  <c r="P8" i="26"/>
  <c r="P90" i="26"/>
  <c r="O30" i="26"/>
  <c r="O10" i="26"/>
  <c r="O86" i="26"/>
  <c r="N6" i="26"/>
  <c r="N92" i="26"/>
  <c r="N88" i="26"/>
  <c r="N28" i="26"/>
  <c r="N26" i="26"/>
  <c r="N12" i="26"/>
  <c r="N98" i="26"/>
  <c r="M16" i="26"/>
  <c r="M24" i="26"/>
  <c r="M86" i="26"/>
  <c r="M76" i="26"/>
  <c r="M20" i="26"/>
  <c r="M102" i="26"/>
  <c r="M80" i="26"/>
  <c r="L84" i="26"/>
  <c r="L82" i="26"/>
  <c r="L26" i="26"/>
  <c r="L10" i="26"/>
  <c r="L86" i="26"/>
  <c r="K102" i="26"/>
  <c r="K80" i="26"/>
  <c r="J84" i="26"/>
  <c r="J82" i="26"/>
  <c r="J26" i="26"/>
  <c r="J22" i="26"/>
  <c r="I100" i="26"/>
  <c r="I76" i="26"/>
  <c r="I10" i="26"/>
  <c r="I86" i="26"/>
  <c r="H48" i="26"/>
  <c r="H16" i="26"/>
  <c r="H78" i="26"/>
  <c r="H98" i="26"/>
  <c r="F102" i="26"/>
  <c r="F100" i="26"/>
  <c r="E88" i="26"/>
  <c r="E28" i="26"/>
  <c r="U20" i="26"/>
  <c r="U30" i="26"/>
  <c r="U28" i="26"/>
  <c r="U26" i="26"/>
  <c r="U8" i="26"/>
  <c r="U6" i="26"/>
  <c r="T46" i="26"/>
  <c r="T22" i="26"/>
  <c r="S14" i="26"/>
  <c r="S38" i="26"/>
  <c r="S20" i="26"/>
  <c r="S48" i="26"/>
  <c r="S82" i="26"/>
  <c r="S32" i="26"/>
  <c r="R8" i="26"/>
  <c r="R20" i="26"/>
  <c r="R80" i="26"/>
  <c r="R44" i="26"/>
  <c r="R26" i="26"/>
  <c r="Q16" i="26"/>
  <c r="Q48" i="26"/>
  <c r="Q42" i="26"/>
  <c r="Q32" i="26"/>
  <c r="Q28" i="26"/>
  <c r="Q76" i="26"/>
  <c r="Q34" i="26"/>
  <c r="P82" i="26"/>
  <c r="P42" i="26"/>
  <c r="P76" i="26"/>
  <c r="P40" i="26"/>
  <c r="P34" i="26"/>
  <c r="P6" i="26"/>
  <c r="P22" i="26"/>
  <c r="N14" i="26"/>
  <c r="N16" i="26"/>
  <c r="N82" i="26"/>
  <c r="N50" i="26"/>
  <c r="N24" i="26"/>
  <c r="N20" i="26"/>
  <c r="N40" i="26"/>
  <c r="N74" i="26"/>
  <c r="M8" i="26"/>
  <c r="M10" i="26"/>
  <c r="M36" i="26"/>
  <c r="M78" i="26"/>
  <c r="M28" i="26"/>
  <c r="M14" i="26"/>
  <c r="L76" i="26"/>
  <c r="L24" i="26"/>
  <c r="L36" i="26"/>
  <c r="L78" i="26"/>
  <c r="L80" i="26"/>
  <c r="L44" i="26"/>
  <c r="L30" i="26"/>
  <c r="L14" i="26"/>
  <c r="L12" i="26"/>
  <c r="K16" i="26"/>
  <c r="K24" i="26"/>
  <c r="K20" i="26"/>
  <c r="K32" i="26"/>
  <c r="K12" i="26"/>
  <c r="J16" i="26"/>
  <c r="J20" i="26"/>
  <c r="J76" i="26"/>
  <c r="J40" i="26"/>
  <c r="J34" i="26"/>
  <c r="J30" i="26"/>
  <c r="J48" i="26"/>
  <c r="J32" i="26"/>
  <c r="J28" i="26"/>
  <c r="I46" i="26"/>
  <c r="I12" i="26"/>
  <c r="H14" i="26"/>
  <c r="H6" i="26"/>
  <c r="H40" i="26"/>
  <c r="H32" i="26"/>
  <c r="H12" i="26"/>
  <c r="G16" i="26"/>
  <c r="G36" i="26"/>
  <c r="G78" i="26"/>
  <c r="G32" i="26"/>
  <c r="G74" i="26"/>
  <c r="G8" i="26"/>
  <c r="G20" i="26"/>
  <c r="G28" i="26"/>
  <c r="F42" i="26"/>
  <c r="F36" i="26"/>
  <c r="F78" i="26"/>
  <c r="F44" i="26"/>
  <c r="F24" i="26"/>
  <c r="F76" i="26"/>
  <c r="F46" i="26"/>
  <c r="F40" i="26"/>
  <c r="F34" i="26"/>
  <c r="F30" i="26"/>
  <c r="F22" i="26"/>
  <c r="F14" i="26"/>
  <c r="E50" i="26"/>
  <c r="E8" i="26"/>
  <c r="E36" i="26"/>
  <c r="E78" i="26"/>
  <c r="E12" i="26"/>
  <c r="E16" i="26"/>
  <c r="E24" i="26"/>
  <c r="E20" i="26"/>
  <c r="E42" i="26"/>
  <c r="E40" i="26"/>
  <c r="E38" i="26"/>
  <c r="E30" i="26"/>
  <c r="E26" i="26"/>
  <c r="E22" i="26"/>
  <c r="E74" i="26"/>
  <c r="D8" i="26"/>
  <c r="D38" i="26"/>
  <c r="D34" i="26"/>
  <c r="D22" i="26"/>
  <c r="D74" i="26"/>
  <c r="X10" i="26"/>
  <c r="X86" i="26"/>
  <c r="X80" i="26"/>
  <c r="V16" i="26"/>
  <c r="V76" i="26"/>
  <c r="V74" i="26"/>
  <c r="V54" i="26"/>
  <c r="V50" i="26"/>
  <c r="V24" i="26"/>
  <c r="V64" i="26"/>
  <c r="V48" i="26"/>
  <c r="V42" i="26"/>
  <c r="V36" i="26"/>
  <c r="V102" i="26"/>
  <c r="V100" i="26"/>
  <c r="V52" i="26"/>
  <c r="V68" i="26"/>
  <c r="V66" i="26"/>
  <c r="V62" i="26"/>
  <c r="V60" i="26"/>
  <c r="V58" i="26"/>
  <c r="V56" i="26"/>
  <c r="V46" i="26"/>
  <c r="V44" i="26"/>
  <c r="V40" i="26"/>
  <c r="V38" i="26"/>
  <c r="V34" i="26"/>
  <c r="V30" i="26"/>
  <c r="V28" i="26"/>
  <c r="V26" i="26"/>
  <c r="V22" i="26"/>
  <c r="V98" i="26"/>
  <c r="U10" i="26"/>
  <c r="U86" i="26"/>
  <c r="U16" i="26"/>
  <c r="U94" i="26"/>
  <c r="U74" i="26"/>
  <c r="T8" i="26"/>
  <c r="T92" i="26"/>
  <c r="T80" i="26"/>
  <c r="T90" i="26"/>
  <c r="T10" i="26"/>
  <c r="T86" i="26"/>
  <c r="R10" i="26"/>
  <c r="R6" i="26"/>
  <c r="R86" i="26"/>
  <c r="R84" i="26"/>
  <c r="R82" i="26"/>
  <c r="R88" i="26"/>
  <c r="R18" i="26"/>
  <c r="R90" i="26"/>
  <c r="O6" i="26"/>
  <c r="O20" i="26"/>
  <c r="O84" i="26"/>
  <c r="O82" i="26"/>
  <c r="O14" i="26"/>
  <c r="M6" i="26"/>
  <c r="M84" i="26"/>
  <c r="M82" i="26"/>
  <c r="L16" i="26"/>
  <c r="L20" i="26"/>
  <c r="L74" i="26"/>
  <c r="K6" i="26"/>
  <c r="K84" i="26"/>
  <c r="K90" i="26"/>
  <c r="J12" i="26"/>
  <c r="J96" i="26"/>
  <c r="J10" i="26"/>
  <c r="J86" i="26"/>
  <c r="J80" i="26"/>
  <c r="J14" i="26"/>
  <c r="I94" i="26"/>
  <c r="I88" i="26"/>
  <c r="I18" i="26"/>
  <c r="H18" i="26"/>
  <c r="G80" i="26"/>
  <c r="G14" i="26"/>
  <c r="G6" i="26"/>
  <c r="G84" i="26"/>
  <c r="F16" i="26"/>
  <c r="F8" i="26"/>
  <c r="F94" i="26"/>
  <c r="F92" i="26"/>
  <c r="F86" i="26"/>
  <c r="F90" i="26"/>
  <c r="F74" i="26"/>
  <c r="F6" i="26"/>
  <c r="F20" i="26"/>
  <c r="F84" i="26"/>
  <c r="F82" i="26"/>
  <c r="F80" i="26"/>
  <c r="F12" i="26"/>
  <c r="F96" i="26"/>
  <c r="E82" i="26"/>
  <c r="E14" i="26"/>
  <c r="D86" i="26"/>
  <c r="D76" i="26"/>
  <c r="D80" i="26"/>
  <c r="D14" i="26"/>
  <c r="C155" i="26" l="1"/>
  <c r="C153" i="26"/>
  <c r="C151" i="26"/>
  <c r="C149" i="26"/>
  <c r="C135" i="26"/>
  <c r="AC121" i="26"/>
  <c r="C113" i="26"/>
  <c r="AC115" i="26"/>
  <c r="AC103" i="26"/>
  <c r="AC125" i="26"/>
  <c r="C103" i="26"/>
  <c r="AC113" i="26"/>
  <c r="C125" i="26"/>
  <c r="C105" i="26"/>
  <c r="AC117" i="26"/>
  <c r="AC123" i="26"/>
  <c r="C115" i="26"/>
  <c r="C109" i="26"/>
  <c r="AC105" i="26"/>
  <c r="C111" i="26"/>
  <c r="AC111" i="26"/>
  <c r="C127" i="26"/>
  <c r="AC107" i="26"/>
  <c r="AC109" i="26"/>
  <c r="C119" i="26"/>
  <c r="AG111" i="26" s="1"/>
  <c r="C117" i="26"/>
  <c r="C121" i="26"/>
  <c r="C123" i="26"/>
  <c r="AC119" i="26"/>
  <c r="C107" i="26"/>
  <c r="AC127" i="26"/>
  <c r="C5" i="26"/>
  <c r="AG8" i="26" s="1"/>
  <c r="AC5" i="26"/>
  <c r="C77" i="26"/>
  <c r="AC77" i="26"/>
  <c r="C97" i="26"/>
  <c r="AC97" i="26"/>
  <c r="C21" i="26"/>
  <c r="AG7" i="26" s="1"/>
  <c r="AC21" i="26"/>
  <c r="C25" i="26"/>
  <c r="AG14" i="26" s="1"/>
  <c r="AC25" i="26"/>
  <c r="C27" i="26"/>
  <c r="AG17" i="26" s="1"/>
  <c r="AC27" i="26"/>
  <c r="C29" i="26"/>
  <c r="AG18" i="26" s="1"/>
  <c r="AC29" i="26"/>
  <c r="C31" i="26"/>
  <c r="AG15" i="26" s="1"/>
  <c r="AC31" i="26"/>
  <c r="C33" i="26"/>
  <c r="AG16" i="26" s="1"/>
  <c r="AC33" i="26"/>
  <c r="C37" i="26"/>
  <c r="AC37" i="26"/>
  <c r="C39" i="26"/>
  <c r="AC39" i="26"/>
  <c r="C43" i="26"/>
  <c r="AC43" i="26"/>
  <c r="C45" i="26"/>
  <c r="AC45" i="26"/>
  <c r="C55" i="26"/>
  <c r="AC55" i="26"/>
  <c r="C57" i="26"/>
  <c r="AC57" i="26"/>
  <c r="C59" i="26"/>
  <c r="AC59" i="26"/>
  <c r="C61" i="26"/>
  <c r="AC61" i="26"/>
  <c r="C65" i="26"/>
  <c r="AC65" i="26"/>
  <c r="C67" i="26"/>
  <c r="AC67" i="26"/>
  <c r="C51" i="26"/>
  <c r="AC51" i="26"/>
  <c r="C99" i="26"/>
  <c r="AC99" i="26"/>
  <c r="C101" i="26"/>
  <c r="AC101" i="26"/>
  <c r="C35" i="26"/>
  <c r="AC35" i="26"/>
  <c r="C41" i="26"/>
  <c r="AC41" i="26"/>
  <c r="C47" i="26"/>
  <c r="AC47" i="26"/>
  <c r="C63" i="26"/>
  <c r="AC63" i="26"/>
  <c r="C23" i="26"/>
  <c r="AG9" i="26" s="1"/>
  <c r="AC23" i="26"/>
  <c r="C49" i="26"/>
  <c r="AC49" i="26"/>
  <c r="C53" i="26"/>
  <c r="AC53" i="26"/>
  <c r="C17" i="26"/>
  <c r="AG6" i="26" s="1"/>
  <c r="AC17" i="26"/>
  <c r="C87" i="26"/>
  <c r="AC87" i="26"/>
  <c r="C73" i="26"/>
  <c r="AC73" i="26"/>
  <c r="C89" i="26"/>
  <c r="AC89" i="26"/>
  <c r="C91" i="26"/>
  <c r="AC91" i="26"/>
  <c r="C93" i="26"/>
  <c r="AC93" i="26"/>
  <c r="C7" i="26"/>
  <c r="AG10" i="26" s="1"/>
  <c r="AC7" i="26"/>
  <c r="C15" i="26"/>
  <c r="AG11" i="26" s="1"/>
  <c r="AC15" i="26"/>
  <c r="C95" i="26"/>
  <c r="AC95" i="26"/>
  <c r="C11" i="26"/>
  <c r="AG5" i="26" s="1"/>
  <c r="AC11" i="26"/>
  <c r="C83" i="26"/>
  <c r="AC83" i="26"/>
  <c r="C19" i="26"/>
  <c r="AG4" i="26" s="1"/>
  <c r="AC19" i="26"/>
  <c r="C81" i="26"/>
  <c r="AC81" i="26"/>
  <c r="C75" i="26"/>
  <c r="AC75" i="26"/>
  <c r="C85" i="26"/>
  <c r="AC85" i="26"/>
  <c r="C9" i="26"/>
  <c r="AG13" i="26" s="1"/>
  <c r="AC9" i="26"/>
  <c r="C13" i="26"/>
  <c r="AG12" i="26" s="1"/>
  <c r="AC13" i="26"/>
  <c r="C79" i="26"/>
  <c r="AC79" i="26"/>
  <c r="AH107" i="26" l="1"/>
  <c r="AH106" i="26"/>
  <c r="AH112" i="26"/>
  <c r="AH109" i="26"/>
  <c r="AH103" i="26"/>
  <c r="AH102" i="26"/>
  <c r="AH110" i="26"/>
  <c r="AH104" i="26"/>
  <c r="AH108" i="26"/>
  <c r="AH105" i="26"/>
  <c r="AH111" i="26"/>
  <c r="AH113" i="26"/>
  <c r="AH97" i="26"/>
  <c r="AH89" i="26"/>
  <c r="AH81" i="26"/>
  <c r="AH80" i="26"/>
  <c r="AH96" i="26"/>
  <c r="AH88" i="26"/>
  <c r="AH78" i="26"/>
  <c r="AH95" i="26"/>
  <c r="AH87" i="26"/>
  <c r="AH94" i="26"/>
  <c r="AH86" i="26"/>
  <c r="AH79" i="26"/>
  <c r="AH92" i="26"/>
  <c r="AH75" i="26"/>
  <c r="AH101" i="26"/>
  <c r="AH93" i="26"/>
  <c r="AH85" i="26"/>
  <c r="AH77" i="26"/>
  <c r="AH100" i="26"/>
  <c r="AH84" i="26"/>
  <c r="AH99" i="26"/>
  <c r="AH91" i="26"/>
  <c r="AH83" i="26"/>
  <c r="AH98" i="26"/>
  <c r="AH90" i="26"/>
  <c r="AH82" i="26"/>
  <c r="AR16" i="57"/>
  <c r="AV16" i="57" s="1"/>
  <c r="AR16" i="59"/>
  <c r="AX16" i="59" s="1"/>
  <c r="AR12" i="58"/>
  <c r="AW12" i="58" s="1"/>
  <c r="AR20" i="57"/>
  <c r="AV20" i="57" s="1"/>
  <c r="AR24" i="60"/>
  <c r="AY24" i="60" s="1"/>
  <c r="AR17" i="59"/>
  <c r="AX17" i="59" s="1"/>
  <c r="AR21" i="57"/>
  <c r="AV21" i="57" s="1"/>
  <c r="AR23" i="58"/>
  <c r="AW23" i="58" s="1"/>
  <c r="AR24" i="58"/>
  <c r="AW24" i="58" s="1"/>
  <c r="AR31" i="59"/>
  <c r="AX31" i="59" s="1"/>
  <c r="AR25" i="60"/>
  <c r="AY25" i="60" s="1"/>
  <c r="AR15" i="55"/>
  <c r="AT15" i="55" s="1"/>
  <c r="AR29" i="55"/>
  <c r="AT29" i="55" s="1"/>
  <c r="AR30" i="56"/>
  <c r="AU30" i="56" s="1"/>
  <c r="AR14" i="55"/>
  <c r="AT14" i="55" s="1"/>
  <c r="AR25" i="55"/>
  <c r="AT25" i="55" s="1"/>
  <c r="AR28" i="58"/>
  <c r="AW28" i="58" s="1"/>
  <c r="AR27" i="58"/>
  <c r="AW27" i="58" s="1"/>
  <c r="AR11" i="57"/>
  <c r="AV11" i="57" s="1"/>
  <c r="AR9" i="57"/>
  <c r="AV9" i="57" s="1"/>
  <c r="AR29" i="60"/>
  <c r="AY29" i="60" s="1"/>
  <c r="AR19" i="57"/>
  <c r="AV19" i="57" s="1"/>
  <c r="AR22" i="58"/>
  <c r="AW22" i="58" s="1"/>
  <c r="AR25" i="57"/>
  <c r="AV25" i="57" s="1"/>
  <c r="AR23" i="59"/>
  <c r="AX23" i="59" s="1"/>
  <c r="AR14" i="59"/>
  <c r="AX14" i="59" s="1"/>
  <c r="AR17" i="60"/>
  <c r="AY17" i="60" s="1"/>
  <c r="AR4" i="56"/>
  <c r="AU4" i="56" s="1"/>
  <c r="AR11" i="55"/>
  <c r="AT11" i="55" s="1"/>
  <c r="AR23" i="55"/>
  <c r="AT23" i="55" s="1"/>
  <c r="AR31" i="56"/>
  <c r="AU31" i="56" s="1"/>
  <c r="AR21" i="56"/>
  <c r="AU21" i="56" s="1"/>
  <c r="AR29" i="56"/>
  <c r="AU29" i="56" s="1"/>
  <c r="AR12" i="60"/>
  <c r="AY12" i="60" s="1"/>
  <c r="AR4" i="58"/>
  <c r="AW4" i="58" s="1"/>
  <c r="AR15" i="59"/>
  <c r="AX15" i="59" s="1"/>
  <c r="AR17" i="57"/>
  <c r="AV17" i="57" s="1"/>
  <c r="AR27" i="57"/>
  <c r="AV27" i="57" s="1"/>
  <c r="AR30" i="57"/>
  <c r="AV30" i="57" s="1"/>
  <c r="AR21" i="59"/>
  <c r="AX21" i="59" s="1"/>
  <c r="AR29" i="57"/>
  <c r="AV29" i="57" s="1"/>
  <c r="AR30" i="59"/>
  <c r="AX30" i="59" s="1"/>
  <c r="AR29" i="59"/>
  <c r="AX29" i="59" s="1"/>
  <c r="AR13" i="57"/>
  <c r="AV13" i="57" s="1"/>
  <c r="AR24" i="56"/>
  <c r="AU24" i="56" s="1"/>
  <c r="AR9" i="55"/>
  <c r="AT9" i="55" s="1"/>
  <c r="AR26" i="55"/>
  <c r="AT26" i="55" s="1"/>
  <c r="AR23" i="56"/>
  <c r="AU23" i="56" s="1"/>
  <c r="AR30" i="55"/>
  <c r="AT30" i="55" s="1"/>
  <c r="AR30" i="60"/>
  <c r="AY30" i="60" s="1"/>
  <c r="AR20" i="60"/>
  <c r="AY20" i="60" s="1"/>
  <c r="AR24" i="59"/>
  <c r="AX24" i="59" s="1"/>
  <c r="AR26" i="58"/>
  <c r="AW26" i="58" s="1"/>
  <c r="AR19" i="58"/>
  <c r="AW19" i="58" s="1"/>
  <c r="AR21" i="58"/>
  <c r="AW21" i="58" s="1"/>
  <c r="AR10" i="57"/>
  <c r="AV10" i="57" s="1"/>
  <c r="AR28" i="59"/>
  <c r="AX28" i="59" s="1"/>
  <c r="AR11" i="58"/>
  <c r="AW11" i="58" s="1"/>
  <c r="AR27" i="60"/>
  <c r="AY27" i="60" s="1"/>
  <c r="AR22" i="60"/>
  <c r="AY22" i="60" s="1"/>
  <c r="AR22" i="59"/>
  <c r="AX22" i="59" s="1"/>
  <c r="AR27" i="56"/>
  <c r="AU27" i="56" s="1"/>
  <c r="AR21" i="55"/>
  <c r="AT21" i="55" s="1"/>
  <c r="AR28" i="55"/>
  <c r="AT28" i="55" s="1"/>
  <c r="AR18" i="55"/>
  <c r="AT18" i="55" s="1"/>
  <c r="AR22" i="56"/>
  <c r="AU22" i="56" s="1"/>
  <c r="AR20" i="56"/>
  <c r="AU20" i="56" s="1"/>
  <c r="AR19" i="55"/>
  <c r="AT19" i="55" s="1"/>
  <c r="AR23" i="57"/>
  <c r="AV23" i="57" s="1"/>
  <c r="AR31" i="57"/>
  <c r="AV31" i="57" s="1"/>
  <c r="AR16" i="58"/>
  <c r="AW16" i="58" s="1"/>
  <c r="AR18" i="59"/>
  <c r="AX18" i="59" s="1"/>
  <c r="AR18" i="58"/>
  <c r="AW18" i="58" s="1"/>
  <c r="AR8" i="57"/>
  <c r="AV8" i="57" s="1"/>
  <c r="AR11" i="60"/>
  <c r="AY11" i="60" s="1"/>
  <c r="AR21" i="60"/>
  <c r="AY21" i="60" s="1"/>
  <c r="AR6" i="60"/>
  <c r="AY6" i="60" s="1"/>
  <c r="AR18" i="60"/>
  <c r="AY18" i="60" s="1"/>
  <c r="AR10" i="56"/>
  <c r="AU10" i="56" s="1"/>
  <c r="AR20" i="55"/>
  <c r="AT20" i="55" s="1"/>
  <c r="AR14" i="56"/>
  <c r="AU14" i="56" s="1"/>
  <c r="AR28" i="56"/>
  <c r="AU28" i="56" s="1"/>
  <c r="AR25" i="56"/>
  <c r="AU25" i="56" s="1"/>
  <c r="AR31" i="55"/>
  <c r="AT31" i="55" s="1"/>
  <c r="AR20" i="59"/>
  <c r="AX20" i="59" s="1"/>
  <c r="AR9" i="58"/>
  <c r="AW9" i="58" s="1"/>
  <c r="AR30" i="58"/>
  <c r="AW30" i="58" s="1"/>
  <c r="AR5" i="57"/>
  <c r="AV5" i="57" s="1"/>
  <c r="AR13" i="59"/>
  <c r="AX13" i="59" s="1"/>
  <c r="AR26" i="59"/>
  <c r="AX26" i="59" s="1"/>
  <c r="AR7" i="58"/>
  <c r="AW7" i="58" s="1"/>
  <c r="AR31" i="60"/>
  <c r="AY31" i="60" s="1"/>
  <c r="AR24" i="57"/>
  <c r="AV24" i="57" s="1"/>
  <c r="AR22" i="57"/>
  <c r="AV22" i="57" s="1"/>
  <c r="AR16" i="60"/>
  <c r="AY16" i="60" s="1"/>
  <c r="AR4" i="55"/>
  <c r="AT4" i="55" s="1"/>
  <c r="AR11" i="56"/>
  <c r="AU11" i="56" s="1"/>
  <c r="AR24" i="55"/>
  <c r="AT24" i="55" s="1"/>
  <c r="AR26" i="56"/>
  <c r="AU26" i="56" s="1"/>
  <c r="AR22" i="55"/>
  <c r="AT22" i="55" s="1"/>
  <c r="AR25" i="59"/>
  <c r="AX25" i="59" s="1"/>
  <c r="AR28" i="57"/>
  <c r="AV28" i="57" s="1"/>
  <c r="AR19" i="59"/>
  <c r="AX19" i="59" s="1"/>
  <c r="AR25" i="58"/>
  <c r="AW25" i="58" s="1"/>
  <c r="AR13" i="60"/>
  <c r="AY13" i="60" s="1"/>
  <c r="AR8" i="59"/>
  <c r="AX8" i="59" s="1"/>
  <c r="AR23" i="60"/>
  <c r="AY23" i="60" s="1"/>
  <c r="AR26" i="60"/>
  <c r="AY26" i="60" s="1"/>
  <c r="AR26" i="57"/>
  <c r="AV26" i="57" s="1"/>
  <c r="AR13" i="58"/>
  <c r="AW13" i="58" s="1"/>
  <c r="AR28" i="60"/>
  <c r="AY28" i="60" s="1"/>
  <c r="AR15" i="56"/>
  <c r="AU15" i="56" s="1"/>
  <c r="AR19" i="56"/>
  <c r="AU19" i="56" s="1"/>
  <c r="AR7" i="56"/>
  <c r="AU7" i="56" s="1"/>
  <c r="AR6" i="56"/>
  <c r="AU6" i="56" s="1"/>
  <c r="AR12" i="56"/>
  <c r="AU12" i="56" s="1"/>
  <c r="AR6" i="58"/>
  <c r="AW6" i="58" s="1"/>
  <c r="AR12" i="59"/>
  <c r="AX12" i="59" s="1"/>
  <c r="AR29" i="58"/>
  <c r="AW29" i="58" s="1"/>
  <c r="AR4" i="57"/>
  <c r="AV4" i="57" s="1"/>
  <c r="AR19" i="60"/>
  <c r="AY19" i="60" s="1"/>
  <c r="AR15" i="60"/>
  <c r="AY15" i="60" s="1"/>
  <c r="AR20" i="58"/>
  <c r="AW20" i="58" s="1"/>
  <c r="AR27" i="59"/>
  <c r="AX27" i="59" s="1"/>
  <c r="AR10" i="59"/>
  <c r="AX10" i="59" s="1"/>
  <c r="AR31" i="58"/>
  <c r="AW31" i="58" s="1"/>
  <c r="AR14" i="60"/>
  <c r="AY14" i="60" s="1"/>
  <c r="AR6" i="55"/>
  <c r="AT6" i="55" s="1"/>
  <c r="AR10" i="55"/>
  <c r="AT10" i="55" s="1"/>
  <c r="AR9" i="56"/>
  <c r="AU9" i="56" s="1"/>
  <c r="AR5" i="55"/>
  <c r="AT5" i="55" s="1"/>
  <c r="AR27" i="55"/>
  <c r="AT27" i="55" s="1"/>
  <c r="AH5" i="26"/>
  <c r="AH29" i="26"/>
  <c r="AH20" i="26"/>
  <c r="AH15" i="26"/>
  <c r="AH14" i="26"/>
  <c r="AH9" i="26"/>
  <c r="AH11" i="26"/>
  <c r="AH28" i="26"/>
  <c r="AH13" i="26"/>
  <c r="AR12" i="57"/>
  <c r="AV12" i="57" s="1"/>
  <c r="AR7" i="59"/>
  <c r="AX7" i="59" s="1"/>
  <c r="AR9" i="60"/>
  <c r="AY9" i="60" s="1"/>
  <c r="AR10" i="58"/>
  <c r="AW10" i="58" s="1"/>
  <c r="AR7" i="55"/>
  <c r="AT7" i="55" s="1"/>
  <c r="AR13" i="56"/>
  <c r="AU13" i="56" s="1"/>
  <c r="AH27" i="26"/>
  <c r="AH8" i="26"/>
  <c r="AR8" i="60"/>
  <c r="AY8" i="60" s="1"/>
  <c r="AR15" i="57"/>
  <c r="AV15" i="57" s="1"/>
  <c r="AR17" i="58"/>
  <c r="AW17" i="58" s="1"/>
  <c r="AR5" i="59"/>
  <c r="AX5" i="59" s="1"/>
  <c r="AR18" i="56"/>
  <c r="AU18" i="56" s="1"/>
  <c r="AR13" i="55"/>
  <c r="AT13" i="55" s="1"/>
  <c r="AH6" i="26"/>
  <c r="AR14" i="57"/>
  <c r="AV14" i="57" s="1"/>
  <c r="AR5" i="60"/>
  <c r="AY5" i="60" s="1"/>
  <c r="AR14" i="58"/>
  <c r="AW14" i="58" s="1"/>
  <c r="AR11" i="59"/>
  <c r="AX11" i="59" s="1"/>
  <c r="AR16" i="55"/>
  <c r="AT16" i="55" s="1"/>
  <c r="AR16" i="56"/>
  <c r="AU16" i="56" s="1"/>
  <c r="AR12" i="55"/>
  <c r="AT12" i="55" s="1"/>
  <c r="AR5" i="58"/>
  <c r="AW5" i="58" s="1"/>
  <c r="AR7" i="57"/>
  <c r="AV7" i="57" s="1"/>
  <c r="AR6" i="59"/>
  <c r="AX6" i="59" s="1"/>
  <c r="AR4" i="60"/>
  <c r="AY4" i="60" s="1"/>
  <c r="AR5" i="56"/>
  <c r="AU5" i="56" s="1"/>
  <c r="AH12" i="26"/>
  <c r="AH7" i="26"/>
  <c r="AH23" i="26"/>
  <c r="AH26" i="26"/>
  <c r="AH24" i="26"/>
  <c r="AH25" i="26"/>
  <c r="AH19" i="26"/>
  <c r="AH16" i="26"/>
  <c r="AH22" i="26"/>
  <c r="AH30" i="26"/>
  <c r="AH21" i="26"/>
  <c r="AR6" i="57"/>
  <c r="AV6" i="57" s="1"/>
  <c r="AR8" i="58"/>
  <c r="AW8" i="58" s="1"/>
  <c r="AR4" i="59"/>
  <c r="AX4" i="59" s="1"/>
  <c r="AR7" i="60"/>
  <c r="AY7" i="60" s="1"/>
  <c r="AR8" i="56"/>
  <c r="AU8" i="56" s="1"/>
  <c r="AR8" i="55"/>
  <c r="AT8" i="55" s="1"/>
  <c r="AH31" i="26"/>
  <c r="AH10" i="26"/>
  <c r="AR10" i="60"/>
  <c r="AY10" i="60" s="1"/>
  <c r="AR9" i="59"/>
  <c r="AX9" i="59" s="1"/>
  <c r="AR15" i="58"/>
  <c r="AW15" i="58" s="1"/>
  <c r="AR18" i="57"/>
  <c r="AV18" i="57" s="1"/>
  <c r="AR17" i="56"/>
  <c r="AU17" i="56" s="1"/>
  <c r="AR17" i="55"/>
  <c r="AT17" i="55" s="1"/>
  <c r="AH76" i="26"/>
  <c r="AH18" i="26"/>
  <c r="AH17" i="26"/>
  <c r="AH33" i="26"/>
  <c r="AG36" i="26" s="1"/>
  <c r="AX8" i="58" l="1"/>
  <c r="AY21" i="59"/>
  <c r="AY25" i="59"/>
  <c r="AY11" i="59"/>
  <c r="AY16" i="59"/>
  <c r="AY27" i="59"/>
  <c r="AY18" i="59"/>
  <c r="AY20" i="59"/>
  <c r="AY8" i="59"/>
  <c r="AY30" i="59"/>
  <c r="AY9" i="59"/>
  <c r="AY29" i="59"/>
  <c r="AY7" i="59"/>
  <c r="AY13" i="59"/>
  <c r="AY6" i="59"/>
  <c r="AY19" i="59"/>
  <c r="AY24" i="59"/>
  <c r="AY15" i="59"/>
  <c r="AY22" i="59"/>
  <c r="AY28" i="59"/>
  <c r="AY23" i="59"/>
  <c r="AY17" i="59"/>
  <c r="AY10" i="59"/>
  <c r="AY14" i="59"/>
  <c r="AY31" i="59"/>
  <c r="AY12" i="59"/>
  <c r="AY5" i="59"/>
  <c r="AY26" i="59"/>
  <c r="AW24" i="57"/>
  <c r="AW14" i="57"/>
  <c r="AW12" i="57"/>
  <c r="AW6" i="57"/>
  <c r="AW9" i="57"/>
  <c r="AW30" i="57"/>
  <c r="AW31" i="57"/>
  <c r="AW25" i="57"/>
  <c r="AW21" i="57"/>
  <c r="AW28" i="57"/>
  <c r="AW16" i="57"/>
  <c r="AW8" i="57"/>
  <c r="AW18" i="57"/>
  <c r="AW29" i="57"/>
  <c r="AW15" i="57"/>
  <c r="AW7" i="57"/>
  <c r="AW19" i="57"/>
  <c r="AW27" i="57"/>
  <c r="AW11" i="57"/>
  <c r="AW20" i="57"/>
  <c r="AW26" i="57"/>
  <c r="AW10" i="57"/>
  <c r="AW5" i="57"/>
  <c r="AW23" i="57"/>
  <c r="AW13" i="57"/>
  <c r="AW17" i="57"/>
  <c r="AW22" i="57"/>
  <c r="AZ5" i="60"/>
  <c r="AX11" i="58"/>
  <c r="AX27" i="58"/>
  <c r="AX24" i="58"/>
  <c r="AX20" i="58"/>
  <c r="AX13" i="58"/>
  <c r="AX7" i="58"/>
  <c r="AX9" i="58"/>
  <c r="AX10" i="58"/>
  <c r="AX6" i="58"/>
  <c r="AX12" i="58"/>
  <c r="AX31" i="58"/>
  <c r="AX5" i="58"/>
  <c r="AX16" i="58"/>
  <c r="AX30" i="58"/>
  <c r="AX18" i="58"/>
  <c r="AX15" i="58"/>
  <c r="AX29" i="58"/>
  <c r="AX19" i="58"/>
  <c r="AX22" i="58"/>
  <c r="AX17" i="58"/>
  <c r="AX21" i="58"/>
  <c r="AX23" i="58"/>
  <c r="AX14" i="58"/>
  <c r="AX26" i="58"/>
  <c r="AX28" i="58"/>
  <c r="AX25" i="58"/>
  <c r="AZ22" i="60"/>
  <c r="AZ12" i="60"/>
  <c r="AZ30" i="60"/>
  <c r="AZ15" i="60"/>
  <c r="AZ27" i="60"/>
  <c r="AZ31" i="60"/>
  <c r="AZ24" i="60"/>
  <c r="AZ21" i="60"/>
  <c r="AZ29" i="60"/>
  <c r="AZ25" i="60"/>
  <c r="AZ28" i="60"/>
  <c r="AZ10" i="60"/>
  <c r="AZ23" i="60"/>
  <c r="AZ7" i="60"/>
  <c r="AZ14" i="60"/>
  <c r="AZ26" i="60"/>
  <c r="AZ13" i="60"/>
  <c r="AZ6" i="60"/>
  <c r="AZ11" i="60"/>
  <c r="AZ20" i="60"/>
  <c r="AZ16" i="60"/>
  <c r="AZ19" i="60"/>
  <c r="AZ8" i="60"/>
  <c r="AZ9" i="60"/>
  <c r="AZ18" i="60"/>
  <c r="AZ17" i="60"/>
  <c r="AU13" i="55"/>
  <c r="AU7" i="55"/>
  <c r="AU21" i="55"/>
  <c r="AU19" i="55"/>
  <c r="AU27" i="55"/>
  <c r="AU17" i="55"/>
  <c r="AU15" i="55"/>
  <c r="AU14" i="55"/>
  <c r="AU22" i="55"/>
  <c r="AU10" i="55"/>
  <c r="AU11" i="55"/>
  <c r="AU12" i="55"/>
  <c r="AU24" i="55"/>
  <c r="AU5" i="55"/>
  <c r="AU26" i="55"/>
  <c r="AU16" i="55"/>
  <c r="AU23" i="55"/>
  <c r="AU25" i="55"/>
  <c r="AU31" i="55"/>
  <c r="AU30" i="55"/>
  <c r="AU20" i="55"/>
  <c r="AU18" i="55"/>
  <c r="AU29" i="55"/>
  <c r="AU8" i="55"/>
  <c r="AU28" i="55"/>
  <c r="AU6" i="55"/>
  <c r="AU9" i="55"/>
  <c r="AV7" i="56"/>
  <c r="AV6" i="56"/>
  <c r="AV31" i="56"/>
  <c r="AV30" i="56"/>
  <c r="AV18" i="56"/>
  <c r="AV24" i="56"/>
  <c r="AV27" i="56"/>
  <c r="AV22" i="56"/>
  <c r="AV19" i="56"/>
  <c r="AV29" i="56"/>
  <c r="AV14" i="56"/>
  <c r="AV20" i="56"/>
  <c r="AV17" i="56"/>
  <c r="AV10" i="56"/>
  <c r="AV13" i="56"/>
  <c r="AV26" i="56"/>
  <c r="AV25" i="56"/>
  <c r="AV28" i="56"/>
  <c r="AV8" i="56"/>
  <c r="AV23" i="56"/>
  <c r="AV11" i="56"/>
  <c r="AV21" i="56"/>
  <c r="AV15" i="56"/>
  <c r="AV12" i="56"/>
  <c r="AV5" i="56"/>
  <c r="AV9" i="56"/>
  <c r="AV16" i="56"/>
  <c r="AG34" i="26"/>
  <c r="AG35" i="26"/>
</calcChain>
</file>

<file path=xl/sharedStrings.xml><?xml version="1.0" encoding="utf-8"?>
<sst xmlns="http://schemas.openxmlformats.org/spreadsheetml/2006/main" count="925" uniqueCount="472">
  <si>
    <t>N°</t>
  </si>
  <si>
    <t>DIARIA DIA 1</t>
  </si>
  <si>
    <t>DIARIA DIA 2</t>
  </si>
  <si>
    <t>DIARIA DIA 3</t>
  </si>
  <si>
    <t>DIARIA DIA 4</t>
  </si>
  <si>
    <t>DIARIA DIA 5</t>
  </si>
  <si>
    <t>DIARIA DIA 6</t>
  </si>
  <si>
    <t>DIARIA DIA 7</t>
  </si>
  <si>
    <t>DIARIA DIA 8</t>
  </si>
  <si>
    <t>DIARIA DIA 9</t>
  </si>
  <si>
    <t>DIARIA DIA 10</t>
  </si>
  <si>
    <t>DIARIA DIA 11</t>
  </si>
  <si>
    <t>DIARIA DIA 12</t>
  </si>
  <si>
    <t>DIARIA DIA 13</t>
  </si>
  <si>
    <t>STUD</t>
  </si>
  <si>
    <t>TOTAL</t>
  </si>
  <si>
    <t>Pozo Premios</t>
  </si>
  <si>
    <t>POLLA SEMANAL ENCUENTRO HIPICO 
DIA 1</t>
  </si>
  <si>
    <t>PUNTOS</t>
  </si>
  <si>
    <t>Puntos</t>
  </si>
  <si>
    <t>POLLA DIARIA: ENCUENTRO HIPICO
VALOR: $ 5.000</t>
  </si>
  <si>
    <t>Carrera</t>
  </si>
  <si>
    <t>Primero</t>
  </si>
  <si>
    <t>GANADOR</t>
  </si>
  <si>
    <t>SEGUNDO</t>
  </si>
  <si>
    <t>TERCERO</t>
  </si>
  <si>
    <t>Suma 1°</t>
  </si>
  <si>
    <t>Segundo</t>
  </si>
  <si>
    <t>Suma 2°</t>
  </si>
  <si>
    <t>Tercero</t>
  </si>
  <si>
    <t>Suma 3°</t>
  </si>
  <si>
    <t>Favorito</t>
  </si>
  <si>
    <t>Retiro 1</t>
  </si>
  <si>
    <t>Retiro 2</t>
  </si>
  <si>
    <t>Retiro 3</t>
  </si>
  <si>
    <t>Retiro 4</t>
  </si>
  <si>
    <t>Retiro 5</t>
  </si>
  <si>
    <t>L</t>
  </si>
  <si>
    <t>1er lugar</t>
  </si>
  <si>
    <t>2do lugar</t>
  </si>
  <si>
    <t>Administracion %</t>
  </si>
  <si>
    <t>Nº</t>
  </si>
  <si>
    <t>Ejemplar</t>
  </si>
  <si>
    <t>Jinete</t>
  </si>
  <si>
    <t>Lunes</t>
  </si>
  <si>
    <t>Martes</t>
  </si>
  <si>
    <t>Miercoles</t>
  </si>
  <si>
    <t>Jueves</t>
  </si>
  <si>
    <t>Viernes</t>
  </si>
  <si>
    <t>Sabado</t>
  </si>
  <si>
    <t>Domingo</t>
  </si>
  <si>
    <t>Participantes</t>
  </si>
  <si>
    <t>Dif</t>
  </si>
  <si>
    <t xml:space="preserve">POLLA DIARIA PUNTOS$ 5.000
</t>
  </si>
  <si>
    <t xml:space="preserve">POLLA DIARIA SEMANAL $ 10.000
</t>
  </si>
  <si>
    <t xml:space="preserve">RESUMEN SEMANAL $ 10.000
</t>
  </si>
  <si>
    <t xml:space="preserve">FINAL SEMANAL SABADO Y DOMINGO $ 10.000
</t>
  </si>
  <si>
    <t xml:space="preserve">POLLA DIARIA: ENCUENTRO HIPICO
</t>
  </si>
  <si>
    <t>NARCISISTA</t>
  </si>
  <si>
    <t>AFIMATE GATO</t>
  </si>
  <si>
    <t>HAPPY FISHETMAN</t>
  </si>
  <si>
    <t>THUNDERMAN</t>
  </si>
  <si>
    <t>ROYAL FIERCE</t>
  </si>
  <si>
    <t>TINES MI SONRISA</t>
  </si>
  <si>
    <t>ACQUARELLA</t>
  </si>
  <si>
    <t>GENTZEN</t>
  </si>
  <si>
    <t>LUCKY BOSS</t>
  </si>
  <si>
    <t>STEVIETOO</t>
  </si>
  <si>
    <t>MARICRIS</t>
  </si>
  <si>
    <t>LE PEINTRE</t>
  </si>
  <si>
    <t>EL TERRIBLE</t>
  </si>
  <si>
    <t>CALIFORNIA SPRING</t>
  </si>
  <si>
    <t>IL VENTO</t>
  </si>
  <si>
    <t>EL BOTICARIO</t>
  </si>
  <si>
    <t>HENDRICKS</t>
  </si>
  <si>
    <t>SOUL QUEEN</t>
  </si>
  <si>
    <t>NO PAIN NO GAIN</t>
  </si>
  <si>
    <t>TRIUNFADOR</t>
  </si>
  <si>
    <t>PRIMO HAPPY</t>
  </si>
  <si>
    <t>COSTAMIA</t>
  </si>
  <si>
    <t>MALA MEMORIA</t>
  </si>
  <si>
    <t>YA TE CONTE</t>
  </si>
  <si>
    <t>REY DEL ESTERO</t>
  </si>
  <si>
    <t>ZALENSKI</t>
  </si>
  <si>
    <t>ALPHATAURI</t>
  </si>
  <si>
    <t>EL ESPIA</t>
  </si>
  <si>
    <t>MY HERO</t>
  </si>
  <si>
    <t>TATA WALO</t>
  </si>
  <si>
    <t>BY TINTINELLA</t>
  </si>
  <si>
    <t>GRAN CAFRUNE</t>
  </si>
  <si>
    <t>MY GRAN TOMY</t>
  </si>
  <si>
    <t>PESO DORADO</t>
  </si>
  <si>
    <t>SIN APUROS</t>
  </si>
  <si>
    <t>SLAKO</t>
  </si>
  <si>
    <t>MASTER KAN</t>
  </si>
  <si>
    <t>GRAN PIOLA</t>
  </si>
  <si>
    <t>PLANETA FELIZ</t>
  </si>
  <si>
    <t>ZULEIMAN</t>
  </si>
  <si>
    <t>MONARCA</t>
  </si>
  <si>
    <t>FITTIPALDI</t>
  </si>
  <si>
    <t>SEÑOR TRONCOSO</t>
  </si>
  <si>
    <t>NOVAK</t>
  </si>
  <si>
    <t>SUPER FELIZ</t>
  </si>
  <si>
    <t>IVY QUEEN</t>
  </si>
  <si>
    <t>SCROOGE</t>
  </si>
  <si>
    <t>UIESETTE</t>
  </si>
  <si>
    <t>PATMAHO</t>
  </si>
  <si>
    <t>TREN DE LA QUINTA</t>
  </si>
  <si>
    <t>A LA ORDEN</t>
  </si>
  <si>
    <t>CHECO ALEMAN</t>
  </si>
  <si>
    <t>PRIMA TOWN</t>
  </si>
  <si>
    <t>AIRE DE TIGRE</t>
  </si>
  <si>
    <t>SOLER DE CRUZ</t>
  </si>
  <si>
    <t>QUE PASA</t>
  </si>
  <si>
    <t>SIN PREJUICIOS</t>
  </si>
  <si>
    <t>MUY TEMPERADA</t>
  </si>
  <si>
    <t>SULTAN GUERRERO</t>
  </si>
  <si>
    <t>VUELA EL AMOR</t>
  </si>
  <si>
    <t>SORAILA</t>
  </si>
  <si>
    <t>MARRAKECH</t>
  </si>
  <si>
    <t>MICCA</t>
  </si>
  <si>
    <t>TESORITO MIO</t>
  </si>
  <si>
    <t>TAKE A NAP</t>
  </si>
  <si>
    <t>VUELE LA FARRA</t>
  </si>
  <si>
    <t>BLUE SUNDAY</t>
  </si>
  <si>
    <t>EN HONOR A TITO</t>
  </si>
  <si>
    <t>REO POR LINDO</t>
  </si>
  <si>
    <t>SOY OSORNINO</t>
  </si>
  <si>
    <t>TREN A CARTAGENA</t>
  </si>
  <si>
    <t>QUEEN ANY</t>
  </si>
  <si>
    <t>LA POLITO</t>
  </si>
  <si>
    <t>ADRENALINA</t>
  </si>
  <si>
    <t>ÑILCA</t>
  </si>
  <si>
    <t>FIN DE LA NOCHE</t>
  </si>
  <si>
    <t>VELA AL VIENTO</t>
  </si>
  <si>
    <t>YOKITA</t>
  </si>
  <si>
    <t>ALQASWA</t>
  </si>
  <si>
    <t>FLOFLI</t>
  </si>
  <si>
    <t>STORMY LUCKY</t>
  </si>
  <si>
    <t>NAHUEN</t>
  </si>
  <si>
    <t>BERNOULLI</t>
  </si>
  <si>
    <t>LADY IN BLACK</t>
  </si>
  <si>
    <t>COMO UN CORAZON</t>
  </si>
  <si>
    <t>POENNI</t>
  </si>
  <si>
    <t>ESTRELLA DEL SOL</t>
  </si>
  <si>
    <t>TU MI CUNCA</t>
  </si>
  <si>
    <t>UNDER THE LIGHT</t>
  </si>
  <si>
    <t>DULCITA</t>
  </si>
  <si>
    <t>GOOD DECISIONS</t>
  </si>
  <si>
    <t>PRIVATE COLLECTION</t>
  </si>
  <si>
    <t>LUGA</t>
  </si>
  <si>
    <t>ESTILO ANTIGUO</t>
  </si>
  <si>
    <t>HUFGNER</t>
  </si>
  <si>
    <t>PELE O REY</t>
  </si>
  <si>
    <t>NA NI NA</t>
  </si>
  <si>
    <t>SPARTAN</t>
  </si>
  <si>
    <t>RIO PLATA</t>
  </si>
  <si>
    <t>KNESSET</t>
  </si>
  <si>
    <t>QUIROGUITA</t>
  </si>
  <si>
    <t>SLOVAK</t>
  </si>
  <si>
    <t>FRENCH CANDY</t>
  </si>
  <si>
    <t>MI RINCON</t>
  </si>
  <si>
    <t>TEJEDOR DE SUEÑOS</t>
  </si>
  <si>
    <t>EL SABLAZO</t>
  </si>
  <si>
    <t>MACRON</t>
  </si>
  <si>
    <t>EL INDOLENTE</t>
  </si>
  <si>
    <t>IRON CHILD</t>
  </si>
  <si>
    <t>MONTES FRAILE</t>
  </si>
  <si>
    <t>GUACHACA</t>
  </si>
  <si>
    <t>BOY SCOUT</t>
  </si>
  <si>
    <t>KING DUBAI</t>
  </si>
  <si>
    <t>VIAJE A CARMEL</t>
  </si>
  <si>
    <t>JALONADO</t>
  </si>
  <si>
    <t>PATRON DE MUSKIZ</t>
  </si>
  <si>
    <t>1 SALMA ALEGRE - Gstaad II 55 1 6 W.Quinteros-E.SwittV. 9-3-10 4-10 1.200 4-3 13 3/4 1.11.94 27,80 405 3 Gallo - Amarillo,estrella y G.Roja,m.Negras Estrellas Amar</t>
  </si>
  <si>
    <t>2 VASCA BRAVA - International Star 56 2 4 D.Carrasco-J.EspineiraC. 10-13-11 25-9 1.000 5-4 15 1/2 0.58.24 30,70 435 4 Jaime Espineira C. - Ngr.Estrel.Y Mgs.Doradas.Anillos Ngrs.G.Ngr.Estr.D</t>
  </si>
  <si>
    <t>3 MUY RESPETADA - Forever Thing 55 3 4 M.Donoso-O.E.SilvaG. 8-3-6 4-10 1.200 4-3 8 3/4 1.11.94 26,90 399 3 Sagardia Hnos. - Blanco, Lunares Rojos</t>
  </si>
  <si>
    <t>4 LOMACHENKO - Longboarder 55 4 7 J.Pimentel-R.BernalG. 9-11-10 27-9 1.200 9-3 12 1.11.10 19,00 446 3 Don German - Calipso y Ngr A Cdritos,m.Por Mitades,g.En Cascos</t>
  </si>
  <si>
    <t>5 THOTHO - Stay Thirsty 54 5 9 L.C.Gonzalez-M.CovarrubiasE. 14-2-14 4-10 1.200 3-2 21 1/2 1.12.95 32,80 463 2 Laly - Gris,banda Burdeo,mangas Blancas,gorra Negra</t>
  </si>
  <si>
    <t>6 GOOD CHIEF - Good Samaritan (Us 55 6 4 N.Santibanez-I.MicheaF. 14-13-12 25-9 1.000 5-4 18 3/4 0.58.24 20,80 431 3 Lgs Generadores - Amarillo,banda Azul y Rojo,m.Azules,gorra Amarilla</t>
  </si>
  <si>
    <t>7 PAN COMIDO - Annual Report 56 7 4 Jo.A.Gonzalez-G.CovarrubiasE. 6c-4c DbHCH - 4 James - Gris Perla, Cruzado y Gorra Rojos.</t>
  </si>
  <si>
    <t>8 RESILIENTE GETS - Get Jets 55 8 4 R.Cisternas-R.LopezB. 3-5-9 25-9 1.000 5-4 13 3/4 0.58.24 9,70 400 3 Per Sempre - Azul y Celeste Listada,m.Azules,g.Amarilla</t>
  </si>
  <si>
    <t>9 SASUKE - Hold Me Back 59 9 5 J.Toro-J.PicharaJ. 13-9c-1 4-10 1.200 4-3 1 1/2 1.11.94 59,20 442 9 Cacique - Blaco.Y Negro En Rombos.Mgs.Negras,anill.Blco.G.Ne</t>
  </si>
  <si>
    <t>10 TATA MONCHO - Good Samaritan (Us 56 10 4 R.Avila-R.QuirozS. 7-3-4 4-10 1.200 4-3 7 1.11.94 9,50 426 4 Los Bello - Azul y Rosado A Cuadritos,m.Azules,gorra En Ruedas</t>
  </si>
  <si>
    <t>11 SORPRENDEME - Stay Thirsty 56 11 8 J.Reyes-L.MachulasG. 8-4-NTR ** 14-8 1.000 9-4 18 1/2 0.57.59 10,60 458 4 Dona Irene - Amar.Y Mor.Mit.Horiz.C/estrs.Altern.M.Mor.G.Amar.</t>
  </si>
  <si>
    <t>12 KOLETTE - Exaggerator 55 12 4 M.Morales-R.MontesinoS. 13c-3c-14c * 28-8 1.000 3-2 1 3/4 0.58.78 7,10 400 3 Preeminencia - Rojo,trebol 4 Hojas y M.Amarillas,braz.Rojos</t>
  </si>
  <si>
    <t>13 EL MALVERDE - El Huene 55 13 5 F.Henriquez-M.NorambuenaCh. 8-11-8 25-9 1.000 5-4 10 1/2 0.58.24 23,40 510 3 Florencia Y Yanara - Rojo,trebol y Mangas Blancas,g.En Cascos</t>
  </si>
  <si>
    <t>14 BEAUTIFUL CHAMPION - Sonoma Band 54 14 5 D.Carvacho-R.QuirozS. 8-2-9 4-10 1.200 4-3 13 3/4 1.11.94 41,00 410 2 Don Alamiro - Turquesa y Verde A Cuadros,m.Alternadas,g.Turquesa</t>
  </si>
  <si>
    <t>SORPRENDEME: Ntr. -</t>
  </si>
  <si>
    <t xml:space="preserve"> 15:27 aprox. 1.000 Mts. (3.950) CONDICIONAL HEMBRAS 3 AÑOS GAN.1 CARRERA Peso: 55 Kilos</t>
  </si>
  <si>
    <t>APUESTAS DISPONIBLES: Ganador, A Segundo, A Tercero, Quinela, Quinela-place, Exacta, Trifecta, Superfecta,</t>
  </si>
  <si>
    <t>Dobledemil Combina Con 9a.carrera, Segunda Valida Super Triple No.2/Vta.enganche, 3a.etapa Super Sexta Del Chile No 1 PREMIO: A La Vuelta</t>
  </si>
  <si>
    <t>PREMIOS: $2.580.000.- a la 1era; $541.800.- a la 2da; $309.600.- a la 3ra; $180.600.- a la 4ta. Bolsa de premios: $3.612.000 Opción: 12 - 11 - 13 - 6</t>
  </si>
  <si>
    <t>1 STORIA BELLA - Alfonso (Usa) 55 1 3 J.Herrera-E.LabR. 1-2c-10 27-9 1.000 37 0.57.13 6,20 464 Medio Oriente - Negro y Solferino List.Mangas y Gorra Blancas</t>
  </si>
  <si>
    <t>2 ESCRIBI PARA TI - Patternrecognition (P.P.) 56 2 3 O.Ulloa-J.BaezaJ. 1-6-5 ** 30-8 1.000 6 1/2 0.56.67 7,60 487 Colorado Veintitres - Rojo,franja Blca.M.Rj.Blco.Y Vde.En Rdas.G.En Casc</t>
  </si>
  <si>
    <t>3 MI CIELA - Mitico Galilei 55 3 3 N.Santibanez-A.PadovaniE. 4-7-14 ** 29-5 1.200 34 1.12.72 77,80 464 Alevuk - Turquesa,tirantes Blancos,mangas A Cuadritos,g.Tur</t>
  </si>
  <si>
    <t>4 MARIA SURENA - Good Samaritan (Us 55 4 3 J.Zuniga-C.GonzalezM. 5c-3c-1c * 5-7 1.000 9 1/4 0.57.18 3,20 453 Veronica Morales O. - Blanco,mangas y Gorra Rojos,anillos Blancos</t>
  </si>
  <si>
    <t>5 YULIECITA CRACK - The Lumber Guy 55 5 3 H.Ochoa-G.ReyesI. 7v-2-1 20-9 1.000 1 1/4 0.57.07 2,30 434 Calera Calera - Rojo,mangas y Gorra Zul y Verde En Ruedas</t>
  </si>
  <si>
    <t>6 LA MOMITA - Megliore Di Tutti 55 6 3 J.Medina-R.SanchezQ. 2-7-5 27-9 1.000 7 1/2 0.57.13 10,20 452 Alvidal - Vde.Cruzad.Estrells y List.Blcs,g.Vde,estrells Blc</t>
  </si>
  <si>
    <t>7 ATACAMA FLOWER - Sahara Spirit 55 7 3 R.Painen-M.PavezO. 8-6-5 ** 23-8 1.000 10 1/2 0.56.58 2,60 467 Haras Sumaya - Rojo,faja y Brazaletes Verdes</t>
  </si>
  <si>
    <t>8 MOLTO COQUETA - Lookin At Lucky (P.P.) 56 8 3 J.Tapia(4)-L.UrbinaH. 12-13c-1 ** 30-8 1.000 4 3/4 0.57.18 23,50 465 Stud Dona Eliana - Cafe,dos Rombos y Dos Braz.Negros,g.Listada</t>
  </si>
  <si>
    <t>9 AHORA QUIZAS - Patternrecognition 55 9 3 F.Medina(4)-P.MolinaI. 3-6-1 20-9 1.000 1 1/2 0.56.62 2,70 456 Matias Hector - Amarillo,cruzado Rojo y Negro,g.Negra</t>
  </si>
  <si>
    <t>10 COTILLARD - Gran Villano (P.P.) 56 10 3 R.Fournet(4)-R.LopezB. 1-7 27-9 1.000 10 1/4 0.57.13 10,00 460 Guarani - Blanco,m.Amarillo y Rojo List.Gorra Roja</t>
  </si>
  <si>
    <t>11 BELLEZA INDIA - Timojin 55 11 3 R.Cisternas-M.PavezO. 3-3-3 25-9 1.000 14-13 3 1/2 0.57.43 3,20 463 Haras Sumaya - Rojo,faja y Brazaletes Verdes</t>
  </si>
  <si>
    <t>12 LA REFALOSA - Indian Trail 55 12 3 B.Leon-C.A.UrbinaR. 4-2-2 ** 4-9 1.200 1/2 1.10.33 1,50 420 Cinco Estrellas - Amar.Y Negro Por Mit.Horiz.Mgs.Invert.G.En Cascos</t>
  </si>
  <si>
    <t>13 FRIDAY - Kingly (Usa) 55 13 3 I.Valdivia-R.QuirozS. 10-11-2 25-9 1.000 13-10 1/2 0.57.13 4,50 425 Mantagua - Negro,rojo y Amar.Horizontal,mgs.Negras,g.Amarilla</t>
  </si>
  <si>
    <t>14 YERI STAR - Katmai (P.P.) 56 14 3 B.Troncoso(4)-A.PadovaniE. 6-10-3 27-9 1.000 5 3/4 0.57.13 40,30 472 Del Andes - Blanco,faja,estrella David,punos y Gorra Azul</t>
  </si>
  <si>
    <t>ESCRIBI PARA TI: Se cargo al partir. - MARIA SURENA: Cargado en los 700 mts. - ATACAMA FLOWER: Salto hacia adentro al partir. - COTILLARD: Partio levemente desmejorado. -</t>
  </si>
  <si>
    <t xml:space="preserve"> 15:52 aprox. 1.000 Mts. (3.951) CLASICO CONDICIONAL HEMBRAS 3 AÑOS Y MAS - Rec. de 2k por carrera gand. sobre 1, rec extra de 2k a las gand. clásicas - Peso: 50 Kilos TopWeight:60K</t>
  </si>
  <si>
    <t>APUESTAS DISPONIBLES: Ganador, A Segundo, A Tercero, Quinela, Quinela-place, Exacta, Trifecta, Cuatrifecta,</t>
  </si>
  <si>
    <t>Dobledemil Combina Con 10a.carrera, Tercera Valida Super Triple No.2/Vta Enganche, 4a.etapa Super Sexta Del Chile No 1 PREMIO: La Red</t>
  </si>
  <si>
    <t>PREMIOS: $4.040.000.- a la 1era; $929.200.- a la 2da; $464.600.- a la 3ra; $282.800.- a la 4ta. Bolsa de premios: $5.716.600 Opción: 1 - 7 - 3 - 8</t>
  </si>
  <si>
    <t>1 RUBIDIA - Classic Empire (Us 54 1 4 H.Ochoa-R.SanchezQ. 3-1-5 ** 28-8 1.000 6 1/2 0.55.80 2,10 474 Vendaval - Turquesa, Hombreras y Gorra Rojas.</t>
  </si>
  <si>
    <t>2 LA MARTINOKA - Gran Villano 60 2 6 J.Guajardo-R.LopezB. 3-8-11 20-9 1.000 39-33 10 3/4 0.55.56 30,50 482 Luchita Querida - Morado y Verde A Cuadros,mangas Alternadas.G.Morad</t>
  </si>
  <si>
    <t>3 LONDON ALERTA - Patternrecognition 56 3 4 Seb.Gonzalez-R.QuirozS. 2-9-9 27-9 1.000 41-33 7 1/2 0.56.35 11,00 478 Lost Vera - Morado,v Blanca,mangas y Gorra Turquesa</t>
  </si>
  <si>
    <t>4 FASTLOVE - Flameaway (Can) 56 4 4 M.Morales-R.LopezB. 7-5-11 25-9 1.000 32-24 14 3/4 0.56.28 12,90 459 Linlinao - Blanco y Gris En Ruedas,gorra Amarilla</t>
  </si>
  <si>
    <t>5 SOY GUSTOSA - Cupid 52 5 5 J.Zuniga-P.LopezP. 4c-2c-10c * 4-9 1.000 19-16 2 0.56.53 11,10 502 Aimani - Azul,chevrones Fucsia,mangas Azules,gorra Listada</t>
  </si>
  <si>
    <t>6 MOREAU - Gran Villano 60 6 5 B.Troncoso-R.LopezB. 8-8-10 20-9 1.000 51-41 13 1/4 0.55.25 33,50 468 Linares - Azul,cruz y Gorra Blancas,mangas Listadas</t>
  </si>
  <si>
    <t>7 CUENTA MARAVILLAS - Patternrecognition 60 7 5 J.Herrera-R.BernalG. 11-1-1 ** 28-8 1.000 3 3/4 0.55.80 5,30 448 Maynico - Blanco,faja Rojo, Negro y Verde, Gorra Verde.</t>
  </si>
  <si>
    <t>8 BENIBLU - Classic Empire (Us 54 8 4 N.Ramirez-A.PadovaniE. 3-3-9 ** 6-9 1.200 32-27 5 1.09.13 6,20 468 Veintiseis - Naranja,banda,brazaletes y Gorra Negras</t>
  </si>
  <si>
    <t>MOREAU: Se fue de punta al partir. -</t>
  </si>
  <si>
    <t xml:space="preserve"> 16:19 aprox. 1.000 Mts. (3.952) HANDICAP CABALLOS 3 AÑOS Y MAS 6ta. Serie Indice: 5 al 3</t>
  </si>
  <si>
    <t>Dobledemil Combina Con 11a.carrera, Primera Valida Super Triple No 3 A $ 1.000.-, 5a.etapa Super Sexta Del Chile No 1 PREMIO: Acostumbrado PREMIOS: $1.690.000.- al 1ero; $473.200.- al 2do; $304.200.- al 3ro; $152.100.- al 4to. Bolsa de premios: $2.619.500 Opción: 1 - 13 - 7 - 5</t>
  </si>
  <si>
    <t>1 AMBROSE - Dylan Thomas 54 1 4 B.Troncoso-A.PadovaniE. 9-11-5 4-10 1.200 6-4 3 1/2 1.12.09 2,80 472 3 Matias Alfonso - Amarillo,anillos y Hombreras Morados,g.En Cascos</t>
  </si>
  <si>
    <t>2 SALUS - Empire Maker 56 2 7 R.Painen-I.MicheaF. 2-12-10 ** 4-9 1.000 12-5 5 1/2 0.57.46 12,10 502 5 Bruno Alonso - Negro,estrella Naran.M.Nar.Estrs.Ngr.G.Ngr.Estrs.N</t>
  </si>
  <si>
    <t>3 SEIYA - Get Jets 55 3 4 J.Tapia-J.PicharaJ. 12-13-15 4-10 1.200 6-4 42 1.12.09 79,70 500 4 Los Gritones - Rojo,faja y Gorra Blancas,mangas Azules</t>
  </si>
  <si>
    <t>4 PALABRAS SERENAS - California Chrome 55 4 6 J.Reyes-L.MachulasG. 4-10-11 27-9 1.200 9-3 14 3/4 1.11.10 25,20 437 4 Carolina Pia - Gris Perla, Mangas Negras,gorra En Cascos</t>
  </si>
  <si>
    <t>5 ROSA LA VASCA - Van Nistelrooy 54 5 7 M.Gutierrez-R.BernalG. 14-4-13 4-10 1.200 6-4 13 1/2 1.12.09 43,30 421 3 Don German - Calipso y Ngr A Cdritos,m.Por Mitades,g.En Cascos</t>
  </si>
  <si>
    <t>6 AYUSA - Gstaad II 55 6 5 B.Gonzalez(R-2)-E.BecarB. 12-10-14 ** 31-7 1.000 8-5 12 0.57.07 25,10 417 4 Lujabor - Fucsia,mangas Blancas Estrellas Fucsia,gorra Blanc</t>
  </si>
  <si>
    <t>7 INDIA MAULINA - Awesome Patriot 56 7 4 R.Dores-J.HirmasR. 3c-5-6 ** 28-8 1.000 11-4 8 1/2 0.57.89 3,50 442 5 Camilo Osses - Azl y Rjo.Mit.Horiz.M.A Cuadritos,g.Roja Estr.Azls</t>
  </si>
  <si>
    <t>8 SOLKA - Mo Town 55 8 5 J.Herrera-R.BernalG. 10-9-8 4-10 1.200 6-4 8 1/4 1.12.09 39,00 476 4 Alto Las Piedras - Blanco, Estrellas Negras, Gorra En Cascos</t>
  </si>
  <si>
    <t>9 GUANAQUERO - Seeking The Dia 56 9 10 R.Araya-E.LabR. 1-13-14 25-9 1.000 7-5 11 1/4 0.57.88 115,00 477 5 Yungay - Celeste,m.Celeste Lunares y Gorra Azules</t>
  </si>
  <si>
    <t>10 MOLTO NERO - Tourist 56 10 6 V.Miranda-J.PicharaJ. 15-13-15 ** 4-9 1.000 12-5 10 3/4 0.57.46 72,80 461 5 Juan Pichara J. - Verde, Mangas Granates, Gorra En Cascos</t>
  </si>
  <si>
    <t>11 LECOR - Caravaggio (Usa) 56 11 5 M.Cordero-R.MunozM. 9-3-13 27-9 1.200 7-5 12 1/2 1.11.87 14,40 424 5 Francisca Ignacia - Rojo y Blanco Por Mit.Horiz.Mgs.Negras,g.En Cascos</t>
  </si>
  <si>
    <t>12 FRANBEL SOUR - Forward March 55 12 4 M.Galaz-R.RojasS. 4-8-2 ** 14-8 1.000 5-2 2 0.58.17 11,90 428 4 Carlitro - Solferino y Gris En Rombos,mangas Gris,gorra Blanc</t>
  </si>
  <si>
    <t>13 TOMY ZAPALLITO - Tumblebrutus 56 13 4 D.Carvacho-R.QuirozS. 11-5-4 4-10 1.200 6-4 2 3/4 1.12.09 9,10 426 5 Carlos Cavieres - Azl,fja,bco,azl.Bco,m.Turq.G.Azul y Blc.A Cuadros</t>
  </si>
  <si>
    <t>14 JULIA DOMNA - Rydilluc 54 14 8 J.Solano-J.VenegasP. 8-11-7 4-10 1.200 4-3 9 1/2 1.11.94 115,40 480 3 Lor Kedimar - Verde,trebol Amar.Mangas En Rombos,g.En Cascos</t>
  </si>
  <si>
    <t>SEIYA: Se abrio en los 600 mts. - SOLKA: Encajonado entre los 400 y ultimos 200 mts. - MOLTO NERO: Preparador disconforme con la carrera de su pupilo. - LECOR: Se cargaba. -</t>
  </si>
  <si>
    <t xml:space="preserve"> 16:45 aprox. 1.300 Mts. (3.953) CLASICO HANDICAP Indice: 55 e inferiores</t>
  </si>
  <si>
    <t>Dobledemil Combina Con 12a.carrera, Segunda Valida Super Triple No 3/Vta.eng., 6a.etapa Super Sexta Del Chile No 1 PREMIO: Pontificia Universidad Catolica De Chile</t>
  </si>
  <si>
    <t>PREMIOS: $3.670.000.- al 1ero; $1.027.600.- al 2do; $660.600.- al 3ro; $330.300.- al 4to. Bolsa de premios: $5.688.500 Opción: 12 - 3 - 11 - 7</t>
  </si>
  <si>
    <t>1 GUENA PETETE - Layman (F.H.) 50 1 4 J.Zuniga-E.LabR. 3-4c-12 25-9 1.200 55-39 9 3/4 1.08.59 11,70 473 39 Los Reyes - Negro,cruzado y Gorra Celeste</t>
  </si>
  <si>
    <t>2 RECHAZADO - Cunco (Ire) 57 2 6 Jo.A.Gonzalez-G.CovarrubiasE. 3c-1-7 4-10 1.000 5 0.55.80 22,60 505 47 La Corina - Solferino,circulo y Gorra Negra</t>
  </si>
  <si>
    <t>3 RAZYEL - Mendelssohn (Usa) 52 3 4 J.Medina-J.BaezaJ. 8-1c-1c * 19-4 1.600 34-24 16 3/4 1.35.80 14,10 474 42 El Quijote - Amarillo y Negro En Rombos,g. Amarilla</t>
  </si>
  <si>
    <t>4 BISCOTTINO - Flameaway (Can) 52 4 4 N.Molina-R.QuirozS. 10-7-13 4-10 1.000 7 1/2 0.55.94 15,80 465 42 Filipino - Celeste,mangas Amarillas,gorra Azul</t>
  </si>
  <si>
    <t>5 INDIAN PIRATE - Indian Trail (F.H.) 50 5 3 A.Vasquez-A.NorambuenaG. 2-3-5 4-10 1.000 4 0.55.94 6,50 499 31 Llego El Talento - Negro y Dorado A Cuadros,mangas Mit.Horiz.G.Dorada</t>
  </si>
  <si>
    <t>6 SAWYER - Practical Joke 55 6 6 R.Covarrubias-M.CovarrubiasE. 10-6-10 4-10 1.000 7 1/2 0.55.80 67,00 561 45 Laly - Gris,banda Burdeo,mangas Blancas,gorra Negra</t>
  </si>
  <si>
    <t>7 ENCANTO VELOZ - Verrazano 60 7 7 G.Perez(R-3)-G.PerezC. 1v-1v-3v ** 29-2 1.300 9 1/4 1.15.57 91,40 516 52 Pobre Obrero - Azul,estrella Blc.M.Blcs Estrellas y G.Rjs.Puno Az</t>
  </si>
  <si>
    <t>8 KINO - Aragorn II 51 8 9 L.Menghini-R.RojasS. 10-3-1 4-10 1.400 37-27 1/2 1.21.18 24,40 489 41 Camilo Osses - Azl y Rjo.Mit.Horiz.M.A Cuadritos,g.Roja Estr.Azls</t>
  </si>
  <si>
    <t>9 PRACTICAL SISI - Practical Joke 60 9 5 K.Espina-P.DiazS. 5-6-11 4-10 1.000 9 0.55.80 23,30 524 53 Los Jeques - Solferino,chevron Azul,mangas Listadas,g.Solferina</t>
  </si>
  <si>
    <t>10 GRAN RAI - Practical Joke 57 10 5 H.Ochoa-R.SanchezQ. 8-11-2c 25-9 1.200 55-39 7 3/4 1.08.59 6,10 529 47 Super Super - Amarillo y Rojo A Cdtos.,m.Y G.Rojas.</t>
  </si>
  <si>
    <t>11 ANDI - Classic Empire (Us 58 11 4 V.Miranda-A.PadovaniE. 1-8-8c * 28-8 1.000 56-42 7 0.55.36 4,70 483 49 Chiu Chiu - Naranja,pechera Blca,m.Naranj.Estrellas Blc.G.En C</t>
  </si>
  <si>
    <t>12 EL UNGIDO - Robert Bruce 54 12 4 J.Herrera-G.AguirreA. 1-3-4 25-9 1.500 4 1.27.21 11,60 500 44 Haras Convento Viejo - Amarillo, Mangas Azules</t>
  </si>
  <si>
    <t>13 JAMON SERRANO - Star Dabbler 55 13 8 B.Troncoso(R-11)-A.PadovaniE. 1-1-9 ** 15-8 1.600 56-42 7 1.34.26 2,60 487 45 Carjor - Amarillo,azul,turquesa y Blanco En Ruedas,g.Zul</t>
  </si>
  <si>
    <t>1 MARIA PASCUALA - Gemologist 54 1 6 M.Gutierrez-R.QuirozS. 2-10-13 4-10 1.200 19-17 24 3/4 1.09.55 25,30 485 16 Don Alamiro - Turquesa y Verde A Cuadros,m.Alternadas,g.Turquesa</t>
  </si>
  <si>
    <t>2 STAR MAGIC - International Star 56 2 4 J.Tapia-P.DiazS. 7-14-3 25-9 1.000 18-16 6 3/4 0.56.98 34,60 434 18 Las Tres Marias - Blanco.Banda Verde,gorra Roja</t>
  </si>
  <si>
    <t>3 DUBAI WIND - Dubai Sky 54 3 5 B.Gonzalez-G.CovarrubiasE. 2c-9c-7 4-10 1.200 19-17 10 1/4 1.09.55 26,60 421 16 El Magico Charly - Morad.Y Ngr.En Romb.M.Blc.Mor.Y Ngr.Cuadrit.G.Mor.</t>
  </si>
  <si>
    <t>4 ARISTO CAT - International Star 54 4 4 Seb.Gonzalez-E.LabR. 6-6-3 25-9 1.000 15-15 6 0.56.22 6,10 445 16 James - Gris Perla, Cruzado y Gorra Rojos.</t>
  </si>
  <si>
    <t>5 SOCIO MANUEL - Forward March 54 5 5 D.Carvacho-L.MachulasG. 3-2-14 4-10 1.200 17-15 23 1/4 1.10.66 10,50 459 16 Cayo - Amarillo, Cruz De Malta y Gorra Cafe</t>
  </si>
  <si>
    <t>6 AMOR DE CHOCOLATE - Awesome Patriot 55 6 4 B.Leon-E.LabR. 1-9-5 25-9 1.000 20-18 1 1/2 0.57.11 14,20 412 17 Stud Mauro - Blco.Y Rjo A Cuadritos.M.Azl y Rjo Mit.Horiz.G.Azl</t>
  </si>
  <si>
    <t>7 PUROS CENTS - Goldencents 56 7 6 B.Sancho-C.BernalG. 8-13-4 25-9 1.000 18-16 7 1/4 0.56.98 4,50 488 18 Mar Y Sol - Amarillo y Rojo A Cuadritos,mangas Rojas</t>
  </si>
  <si>
    <t>8 GRAN AVI - Grand Daddy 54 8 5 J.Rodriguez-O.DonateS. 3-3-7 ** 4-9 1.000 19-16 4 1/4 0.56.53 4,40 500 16 Antonio Aida - Verde, Rombos Negros.-</t>
  </si>
  <si>
    <t>9 MI MENCHITA - Morning Raider 56 9 4 N.Santibanez-M.PerezA. 3-12-1 25-9 1.000 13-10 1/2 0.57.13 21,90 462 18 Blanca Adelaida - Az.Y Rj.Mit.Horiz.Estr.Blc.M.List.Gr.Yrj.G.Azl.Est</t>
  </si>
  <si>
    <t>10 SOLO AMIGOS - Hootenanny 56 10 5 V.Miranda-A.PadovaniE. 13-14-12 25-9 1.000 20-18 8 1/4 0.57.11 58,90 456 18 Alevuk - Turquesa,tirantes Blancos,mangas A Cuadritos,g.Tur</t>
  </si>
  <si>
    <t>11 SHOW PAINT - Show Card 56 11 4 J.Herrera-E.SwittV. 4c-6c-2 4-10 1.200 17-15 a 1/2 Pzo. 1.10.66 3,70 443 18 Los Garrido - Negro, Hombreras y Anillos Dorados,gorra En Ruedas</t>
  </si>
  <si>
    <t>12 CHINITA TRAVIESA - Good Samaritan (Us 55 12 5 P.Reyes-A.PadovaniE. 3-11-9 20-9 1.200 20-18 11 1/4 1.09.24 21,00 459 17 Los Brujos - Verde,chevrones y Mgs.Rojas,braz.Y Gorra Verdes</t>
  </si>
  <si>
    <t>13 VOLAR SIN ALAS - Good Samaritan (Us 56 13 3 I.Valdivia-P.DiazS. 7-14-1 25-9 1.000 14-13 1/2 0.57.43 9,40 447 18 Los Jeques - Solferino,chevron Azul,mangas Listadas,g.Solferina</t>
  </si>
  <si>
    <t>SOCIO MANUEL: Preparador disconforme con la carrera de su pupilo. - CHINITA TRAVIESA: Se abria. -</t>
  </si>
  <si>
    <t xml:space="preserve"> 17:39 aprox. 1.000 Mts. (3.955) HANDICAP CABALLOS 3 AÑOS Y MAS 6ta. Serie Indice: 12 al 6</t>
  </si>
  <si>
    <t>Dobledemil Combina Con 14a.carrera, Primera Valida Super Triple No 4 A $ 1.000.-, 1a.etapa Super Sexta Delchile No 2 $ 500.- PREMIO: Astronauta</t>
  </si>
  <si>
    <t>PREMIOS: $1.690.000.- al 1ero; $473.200.- al 2do; $304.200.- al 3ro; $152.100.- al 4to. Bolsa de premios: $2.619.500 Opción: 9 - 11 - 3 - 15</t>
  </si>
  <si>
    <t>1 JUNIPER - Distorted Economy 55 1 5 A.Zuniga-J.HirmasR. 13-13-9 4-10 1.200 9-8 10 1/2 1.11.18 170,80 406 7 Chamo Candela - Azl,estrell.Blc.M.Altern.Amar.Y Rjo.Estr.Blc.G.Azl</t>
  </si>
  <si>
    <t>2 MITSKI - Dylan Thomas 56 2 5 M.Gutierrez-R.QuirozS. 15-1-13 27-9 1.200 9-3 18 1/2 1.11.10 6,70 426 8 Grande Tio Kiko - Azul,mangas Amarillas,angulos,braz.Y Gorra Negros</t>
  </si>
  <si>
    <t>3 BOMBASTICO - Classic Empire (Us 55 3 4 D.Sanchez-A.ParraD. 4c-8c-1 25-9 1.000 2-1 2 1/2 0.59.06 3,40 468 7 Los Alquimistas - Blanco, V y Brazaletes Azules,g.En Cascos</t>
  </si>
  <si>
    <t>4 WESTERN FILM - Annual Report 56 4 6 M.Cordero-E.LabR. 9-11-11 27-9 1.200 10-7 11 1/4 1.11.79 13,20 467 8 Francisca Ignacia - Rojo y Blanco Por Mit.Horiz.Mgs.Negras,g.En Cascos</t>
  </si>
  <si>
    <t>5 LA INSTRUMENTISTA - Exaggerator 54 5 5 J.Tapia-I.MicheaF. 13-1-13 4-10 1.200 7-6 14 3/4 1.11.90 23,30 399 6 Angelica Y Francisco - Verde,chevrones y Gorra Negras</t>
  </si>
  <si>
    <t>6 TANGO - International Star 56 6 4 M.Donoso-O.E.SilvaG. 5c-1c-12c * 7-11 1.300 27 1.18.11 6,40 481 8 Sagardia Hnos. - Blanco, Lunares Rojos</t>
  </si>
  <si>
    <t>7 BIENAVENTURANZA - Practical Joke 56 7 5 V.Miranda-J.PicharaJ. 12-14c-6 25-9 1.000 9-9 7 3/4 0.57.12 9,60 546 8 Vasquez Retamales - Naranja,tirantes y Braz.Verdes,gorra Listada</t>
  </si>
  <si>
    <t>8 INDIA TERCA - Gemologist 55 8 8 L.Menghini-E.SwittV. 13-9-15 27-9 1.400 13-7 23 1.23.79 156,20 470 7 Florence - Fucsia y Ngr.Romb.M.Blc.Anil.Fuc.G.Casc.Blc.Fuc.Ng</t>
  </si>
  <si>
    <t>9 IRON SWIM - Admiral 59 9 5 F.Henriquez-M.NorambuenaCh. 3-7-1 4-10 1.200 7-6 1/2 1.11.90 2,40 499 12 Veronica Morales O. - Blanco,mangas y Gorra Rojos,anillos Blancos</t>
  </si>
  <si>
    <t>10 LADY LOT - Gemologist 56 10 8 R.Fuenzalida-H.CastilloS. 10-13-11 25-9 1.000 9-9 16 1/2 0.57.12 11,60 430 8 Corral Quellon - Rojo,estrellas Blcs.M.A Cuadritos.G.Roja Estrel.Rj</t>
  </si>
  <si>
    <t>11 KAT FEVER - Katmai 56 11 5 M.Morales-A.CastagnetoU. 11-11-7 25-9 1.000 9-9 10 1/4 0.57.12 12,30 435 8 El Pillino - Rojo Flor De Lis,lista y Anillos Naranja,g.Negra</t>
  </si>
  <si>
    <t>12 TEOFANES - Van Nistelrooy 56 12 5 J.Toro-J.PicharaJ. 5-4-10c * 21-8 1.000 10-7 5 0.56.04 9,00 500 8 Amor Propio - Verde,mangas y Gorra Blanca,anillos Verdes</t>
  </si>
  <si>
    <t>13 QUE HICE MAL - International Star 56 13 3 C.Weilby-J.HirmasR. 11-14-12 25-9 1.000 9-9 21 3/4 0.57.12 135,70 382 8 Los Aviadores - Blanco, Estrellas Celestes</t>
  </si>
  <si>
    <t>14 ZIGEUNER - Ivan Denisovich 55 14 6 R.Avila-M.CovarrubiasE. 1-10-13 4-10 1.200 9-8 16 1/2 1.11.18 88,00 489 7 Felipe Jesus - Ngr.Turq.X Mit.Banda Ngr.Turq.M.Ngr.Brz.Turq.G.N.T</t>
  </si>
  <si>
    <t>15 MERADONNA - Boboman 56 15 4 P.Reyes-E.LabR. 12-15-8 25-9 1.000 9-9 11 0.57.12 32,20 457 8 Agric.Santa Laura - Turquesa, Hombreras Moradas</t>
  </si>
  <si>
    <t xml:space="preserve"> 18:06 aprox. 1.000 Mts. (3.956) HANDICAP CABALLOS 3 AÑOS Y MAS 6ta. Serie Indice: 7 al 5</t>
  </si>
  <si>
    <t>Dobledemil Combina Con 15a.carrera, Segunda Valida Super Triple 4/Vta.eng., 2a Etapa Super Sexta Del Chile No 2 PREMIO: Arthur</t>
  </si>
  <si>
    <t>PREMIOS: $1.690.000.- al 1ero; $473.200.- al 2do; $304.200.- al 3ro; $152.100.- al 4to. Bolsa de premios: $2.619.500 Opción: 11 - 14 - 7 - 4</t>
  </si>
  <si>
    <t>1 I’M DRY - War Command 54 1 9 R.Painen-J.PicharaJ. 12-10-10 4-10 1.200 7-6 9 1/2 1.11.90 19,10 466 5 Amor Propio - Verde,mangas y Gorra Blanca,anillos Verdes</t>
  </si>
  <si>
    <t>2 GAMORRA - The Lumber Guy 55 2 7 L.Menghini-R.QuirozS. 3-7-3 4-10 1.200 6-4 2 1/4 1.12.09 5,00 439 6 Los Bello - Azul y Rosado A Cuadritos,m.Azules,gorra En Ruedas</t>
  </si>
  <si>
    <t>3 ENVIADO ESPECIAL - Bad Daddy 54 3 7 B.Leon-P.MolinaI. 9-2-12 27-9 1.200 7-5 10 3/4 1.11.87 10,50 466 5 Matias Hector - Amarillo,cruzado Rojo y Negro,g.Negra</t>
  </si>
  <si>
    <t>4 CASPER INN - Dylan Thomas 54 4 4 J.Medina-L.MachulasG. 6-10-6 27-9 1.200 7-5 5 1/2 1.11.87 83,40 409 5 Pepeluche - Azul y Gris Perla Listado, Gorra Gris Perla</t>
  </si>
  <si>
    <t>5 RUBIO CRUZADO - Layman 54 5 12 M.Cordero-M.ApablazaG. 6-11-10 4-10 1.200 6-4 11 1/4 1.12.09 61,60 449 5 Tata Tito - Naranjo y Negro En Rombos.M.Negras.Gorra Naranja</t>
  </si>
  <si>
    <t>6 YAELLA - Constitution 55 6 5 P.Reyes-E.LabR. 9-12-11c * 4-9 1.400 13-7 16 3/4 1.23.58 60,10 402 6 Angelica Y Francisco - Verde,chevrones y Gorra Negras</t>
  </si>
  <si>
    <t>7 LA CHULA - Hinz 56 7 4 L.C.Gonzalez-M.PerezA. 4-6-3 4-10 1.200 7-6 2 1/2 1.11.90 12,90 398 7 Don Amadeo - Blanco,negro y Rojo Listado,gorra Roja</t>
  </si>
  <si>
    <t>8 FABRANA - Seeking The Dia 54 8 8 J.Zuniga-R.RojasS. 15-7-9 27-9 1.200 7-5 7 1/2 1.11.87 38,40 464 5 Altamira - Blanco y Rojo En Zig Zag En Ruedas,m.Y.G.Turquesa</t>
  </si>
  <si>
    <t>9 CHICA DE CAMPEONES - Annual Report 56 9 5 R.Fournet-R.QuirozS. 6-12-2 4-10 1.200 6-4 3/4 1.12.09 69,60 449 7 Very Luck - Azul,mangas y Gorra Azul y Rojo A Cuadritos</t>
  </si>
  <si>
    <t>10 TIA MARTA - Viscount Nelson 56 10 5 M.Morales-J.UbillaP. 3-11-3 25-9 1.000 7-5 2 3/4 0.57.88 10,80 374 7 Valentin Ubilla C. - Naranja,gorra Verde</t>
  </si>
  <si>
    <t>11 STEVENS FOR RECORD - Viscount Nelson 56 11 5 C.Alegria-M.ApablazaG. 11v-9v-4 25-9 1.000 7-5 3 1/4 0.57.88 17,90 415 7 Inefable - Turquesa,cruz y Braz.Rojos.Mangas y Gorra Blancas</t>
  </si>
  <si>
    <t>12 BAR CODE - Distorted Economy 54 12 7 A.Zuniga-L.ParraG. 9-13-15 4-10 1.200 7-6 42 1.11.90 101,00 499 5 Los Parra - Gris,cruz De Malta y Braz.Azules,gorra En Cascos</t>
  </si>
  <si>
    <t>13 NEGRITA PECOSA - The Lumber Guy 55 13 5 R.Fuenzalida-H.CastilloS. 11-12-1 25-9 1.000 1-1 1 0.59.34 15,60 405 6 Corral Quellon - Rojo,estrellas Blcs.M.A Cuadritos.G.Roja Estrel.Rj</t>
  </si>
  <si>
    <t>14 ROYAL PAINT - Scat Royal 54 14 7 J.Toro-J.PicharaJ. 13c-13-6 25-9 1.000 7-5 4 1/4 0.57.88 37,10 502 5 Los Gritones - Rojo,faja y Gorra Blancas,mangas Azules</t>
  </si>
  <si>
    <t>15 EL MARIPEPA - Hold Me Back 55 15 6 D.Carrasco-J.PicharaJ. 14-11-14 27-9 1.200 7-5 13 1/4 1.11.87 63,40 440 6 Cacique - Blaco.Y Negro En Rombos.Mgs.Negras,anill.Blco.G.Ne</t>
  </si>
  <si>
    <t>ENVIADO ESPECIAL: Encajonado en las primeras distancias. - YAELLA: Se abria. - CHICA DE CAMPEONES: Cortada su linea en los 800 mts. - EL MARIPEPA: Preparador disconforme con la conduccion de su pupilo. -</t>
  </si>
  <si>
    <t xml:space="preserve"> 18:33 aprox. 1.000 Mts. (3.957) HANDICAP CABALLOS 3 AÑOS Y MAS 4ta. Serie Indice: 21 al 18</t>
  </si>
  <si>
    <t>Dobledemil Combina Con 16a.carrera, Tercera Valida Super Triple 4/Vta.eng., 3a Etapa Super Sexta Del Chile No 2 PREMIO: Alife</t>
  </si>
  <si>
    <t>PREMIOS: $2.250.000.- al 1ero; $630.000.- al 2do; $405.000.- al 3ro; $202.500.- al 4to. Bolsa de premios: $3.487.500 Opción: 7 - 10 - 5 - 2</t>
  </si>
  <si>
    <t>1 LIMENO FELIZ - Exaggerator 54 1 4 J.Reyes-P.ValderramaC. 7-3-9 4-10 1.200 19-17 13 3/4 1.09.55 22,20 469 18 Chispita - Negro,cruzado Turquesa,m.Blcs Anill.Turq.G.En Cas.</t>
  </si>
  <si>
    <t>2 STOP LOSS - Ahora II 56 2 4 M.Morales-J.PicharaJ. 12-12-8 4-10 1.200 21-19 12 1/4 1.08.73 14,80 461 20 Mamita Ines - Rojo, V Lila, Brazaletes y Gorra Amarillos</t>
  </si>
  <si>
    <t>3 YO LO ENTIENDO - Patternrecognition 55 3 5 V.Cifuentes-E.LabR. 3-14-13 25-9 1.000 20-18 8 1/2 0.57.11 9,40 446 19 Per Sempre - Azul y Celeste Listada,m.Azules,g.Amarilla</t>
  </si>
  <si>
    <t>4 VIDA SABROSA - Gemologist 55 4 6 M.Gutierrez-R.BernalG. 3-2-14 4-10 1.200 21-19 18 1.08.73 9,20 475 19 Gran Xime - Azul Estrella y Gorra Amarilla, Mangas A Cuadritos</t>
  </si>
  <si>
    <t>5 TRANQUILO RONALDO - Mo Town 54 5 5 R.Painen-J.PicharaJ. 12-9-6 4-10 1.200 19-17 9 3/4 1.09.55 31,80 462 18 Callasis For Ever - Amar.Y Rojo List.Mgs.Amar.Braz.Y Anill.Ngr.G.Casco</t>
  </si>
  <si>
    <t>6 KE PERSONAJE - Mendelssohn (Usa) 55 6 4 Seb.Gonzalez-I.MicheaF. 9-11-11 ** 16-8 1.200 21-18 12 1/2 1.08.30 32,40 417 19 Bruno Alonso - Negro,estrella Naran.M.Nar.Estrs.Ngr.G.Ngr.Estrs.N</t>
  </si>
  <si>
    <t>7 MILO - Mastery (Usa) 57 7 4 N.Santibanez-L.UrbinaH. 7-1-1 25-9 1.000 18-16 2 0.56.98 2,70 464 21 Luigi - Verde, Tirantes Azules</t>
  </si>
  <si>
    <t>8 FORTINATTO - War Command 54 8 5 D.Carrasco-J.PicharaJ. 5-1-10 4-10 1.200 21-19 12 3/4 1.08.73 61,60 538 18 Vasquez Retamales - Naranja,tirantes y Braz.Verdes,gorra Listada</t>
  </si>
  <si>
    <t>9 MAGICO IDEAL - Viscount Nelson 57 9 7 J.Herrera-R.BernalG. 6-13-14 25-9 1.000 24-21 12 1/2 0.56.35 23,00 432 21 Toro - Solferino,cruz De Lorena y G.Negra,anillos Blancos</t>
  </si>
  <si>
    <t>10 MILLONARIO - Mitico Galilei 56 10 3 V.Miranda-J.PicharaJ. 3-1-6 27-9 1.000 11 3/4 0.56.03 9,00 450 20 Faja Maisan - Blanco,rojo y Verde Vert.M,en Ruedas,g.Listada</t>
  </si>
  <si>
    <t>11 RULETAZO - Constitution 57 11 5 C.Weilby-G.CovarrubiasE. 10-7-12 25-9 1.000 24-21 10 1/2 0.56.35 35,20 438 21 Pepe Elias - Azul,mgs.Blancas y Rojo A Cudritos,gorra Blanca.-</t>
  </si>
  <si>
    <t>12 LUCIANITA - Classic Empire (Us 55 12 4 B.Troncoso-A.PadovaniE. 5-10-3 27-9 1.200 23-18 a Pzo. 1.10.65 15,10 437 19 Elephant - Negro,cruz Roja,mangas Verdes</t>
  </si>
  <si>
    <t>13 INVITO YO - Patternrecognition 55 13 5 W.Quinteros-R.PulgarA. 14-7-11 27-9 1.200 23-18 10 1.10.65 11,80 464 19 Galiano - Naranja, Gorra Blanca</t>
  </si>
  <si>
    <t>VIDA SABROSA: Se abria. - INVITO YO: Se abria. -</t>
  </si>
  <si>
    <t xml:space="preserve"> 19:03 aprox. 1.000 Mts. (3.958) HANDICAP CABALLOS 3 AÑOS Y MAS 5ta. Serie Indice: 13 al 9</t>
  </si>
  <si>
    <t>Dobledemil Combina Con 17a.carrera, Primera Valida Triple Del Desquite Valor $ 1.000, 4a Etapa Super Sexta Del Chile No 2 PREMIO: Amarko PREMIOS: $1.920.000.- al 1ero; $537.600.- al 2do; $345.600.- al 3ro; $172.800.- al 4to. Bolsa de premios: $2.976.000 Opción: 1 - 7 - 11 - 3</t>
  </si>
  <si>
    <t>1 JARDIN OLVIDADO - Exaggerator 54 1 4 M.Donoso-O.E.SilvaG. 7c-2c-2 25-9 1.000 8-6 2 0.57.54 6,70 503 10 Sagardia Hnos. - Blanco, Lunares Rojos</t>
  </si>
  <si>
    <t>2 EL BARRERO - Buzzword 55 2 9 Jo.A.Gonzalez-R.LopezB. 3-11-11 25-9 1.000 13-10 7 1/2 0.57.13 29,00 500 11 Rodrigo Lopez B. - Amarillo, Gorra Roja, Mangas Listadas.</t>
  </si>
  <si>
    <t>3 TIGRE DE FUEGO - The Mighty Tiger 55 3 3 R.Painen-M.PavezO. 3v-6-4 25-9 1.000 13-10 1/2 0.57.13 5,20 463 11 Haras Sumaya - Rojo,faja y Brazaletes Verdes</t>
  </si>
  <si>
    <t>4 SONADO CAMPEON - El Huene 55 4 5 W.Quinteros-R.PulgarA. 11-14-11 4-10 1.200 12-11 8 1/4 1.11.14 34,70 513 11 Tilin Corto La Cuerda - Ama.Y Azl.En Romb.M.Azl.Dos Brz.Ama.G.Azl Est.Ama.</t>
  </si>
  <si>
    <t>5 SIN MIEDO - Grand Daddy 53 5 4 M.A.Bustamante-C.QuirozE. 15-10-6 4-10 1.200 11-9 6 1/4 1.12.14 26,00 525 9 Seguir Sonando - Blanco,cruzado y Mangas Rojas,gorra Azul</t>
  </si>
  <si>
    <t>6 PELAO PELAO - Patternrecognition 55 6 3 J.Villagran-P.MolinaI. 14-8-4 25-9 1.000 5 1/2 0.58.37 13,70 474 11 Ximena Monica - Blanco,estrellas Solferinas y Turquesas.</t>
  </si>
  <si>
    <t>7 CANETITA - State Of Play 56 7 4 J.Toro-J.PicharaJ. 9-5c-3 25-9 1.000 13-10 1/2 0.57.13 9,00 450 12 Cacique - Blaco.Y Negro En Rombos.Mgs.Negras,anill.Blco.G.Ne</t>
  </si>
  <si>
    <t>8 GLAMROCK - Total Impact 54 8 6 Seb.Gonzalez-E.LabR. 2-6c-14 25-9 1.000 13-10 14 1/2 0.57.13 13,50 465 10 El Gran Jose - Celeste y Verde En Rdas.M.Verdes,braz.Celest.G.Cas</t>
  </si>
  <si>
    <t>9 HENGROEN - Dylan Thomas 57 9 4 B.Sancho-L.MachulasG. 3-6-2 4-10 1.200 12-11 1/2 1.11.14 5,70 463 13 Tres M - Naranja y Azul Listado,gorra En Cascos</t>
  </si>
  <si>
    <t>10 VICENTICA MARIA - Newfoundland 56 10 4 M.Galaz-L.ToledoC. 9-4-14 ** 30-8 1.200 15-13 10 1/2 1.10.13 26,00 419 12 Guivo - Amarillo y Verde A Cuadritos.</t>
  </si>
  <si>
    <t>11 LA FLOWER - Iron Clad 56 11 7 L.Silva-H.PachecoP. 4-8-3 4-10 1.200 12-11 1/2 1.11.14 4,70 467 12 Solin - Verde,cruz De Santiago,lista y Gorra Negras</t>
  </si>
  <si>
    <t>12 RED ROJO RED - Seeking The Dia 55 12 11 D.Carvacho-E.BecarB. 12-12-3 25-9 1.000 11-9 3 1/4 0.57.57 62,50 500 11 Viejo Querido - Calypso,estrella,hombreras y Braz.Amar.G.En Cascos</t>
  </si>
  <si>
    <t>13 EL CHICO RICHARD - Forward March 55 13 4 R.Avila-A.MartinezC. 11-1-4 4-10 1.200 12-11 3 3/4 1.11.14 27,20 406 11 Gran Pacha - Amarillo,w, Brazaletes y Gorra Rojos</t>
  </si>
  <si>
    <t>14 LA CHUCKY TRINI - Stevie Wonderboy 54 14 6 C.Weilby-G.CovarrubiasE. 4-2-6 4-10 1.200 12-11 5 1/2 1.11.14 32,00 425 10 El Magico Charly - Morad.Y Ngr.En Romb.M.Blc.Mor.Y Ngr.Cuadrit.G.Mor.</t>
  </si>
  <si>
    <t>15 WONDER WOMAN - California Chrome 56 15 6 A.Zuniga-O.DonateS. 8-5-8 13-9 1.200 13-12 9 1.09.93 27,40 425 12 Margal - Gris,chevrones Amar.Homb.Y Braz.Naran.M.Y G.Negras</t>
  </si>
  <si>
    <t>1 DESERT CAT - Newfoundland 54 1 8 N.Santibanez-J.EspineiraC. 7-4-8 4-10 1.200 11-9 6 1/2 1.12.14 25,80 438 8 La Tropa - Blanco y Rojo En Ruedas, Mangas y Gorra Listadas.</t>
  </si>
  <si>
    <t>2 FETLOCK JOINT - Zawraq (Ire) 55 2 5 C.Alegria-M.ApablazaG. 7-11-3 25-9 1.000 8-6 6 1/4 0.57.54 28,20 458 9 Mario Apablaza G. - Azul y Rojo En Diagonal,bda.Blanca,g.Azul Estr.Blc</t>
  </si>
  <si>
    <t>3 VIVIMOS SONANDO - Dylan Thomas 55 3 4 J.Zuniga-J.PicharaJ. 11-8c-6c * 14-8 1.000 17-11 7 1/4 0.56.92 11,90 469 9 Marete - Solferino y Verde En Ruedas,gorra Negra</t>
  </si>
  <si>
    <t>4 UNA PROPUESTA - Distorted Economy 55 4 6 R.Cisternas-P.ValderramaC. 3-13-10 25-9 1.000 11-9 10 1/2 0.57.57 11,20 420 9 Angelica Y Francisco - Verde,chevrones y Gorra Negras</t>
  </si>
  <si>
    <t>5 WISE CHOICE - Midshipman 54 5 6 R.Fournet-R.QuirozF. 15-14-14 4-10 1.200 11-9 16 1.12.14 68,50 408 8 Arturo Y Cecilia - Blanco, Mangas Estrellas Verdes, Gorra Negra.-</t>
  </si>
  <si>
    <t>6 MERENGADA - Competitive Edge 55 6 6 B.Sancho-M.ApablazaG. 8v-11v-11 25-9 1.000 11-9 10 1/2 0.57.57 4,20 460 9 Inefable - Turquesa,cruz y Braz.Rojos.Mangas y Gorra Blancas</t>
  </si>
  <si>
    <t>7 LO FRANCO - Seeking The Dia 56 7 5 M.Gutierrez-R.QuirozS. 11-5-4 4-10 1.200 11-9 1 3/4 1.12.14 4,90 432 10 El Kaiser - Blanco,banda Negra,braz.Negro,rosado y Negro.</t>
  </si>
  <si>
    <t>8 VOLASTE A LA META - Dylan Thomas 55 8 5 I.Valdivia-P.DiazS. 5-5-2 25-9 1.000 7-5 3/4 0.57.88 2,20 456 9 Los Jeques - Solferino,chevron Azul,mangas Listadas,g.Solferina</t>
  </si>
  <si>
    <t>9 JOHN WAYNE - Aragorn II 56 9 12 L.C.Gonzalez-G.CovarrubiasE. 1-9-3 4-10 1.200 9-8 1 1/2 1.11.18 24,20 482 10 Papi Rey - Azl,estrell.David Dorad.M.Y G.Azl.Dorad.A Cuadrito</t>
  </si>
  <si>
    <t>10 BHADRAK - Newfoundland 55 10 4 C.Weilby-J.BravoM. 6-14-15 25-9 1.000 11-9 29 1/4 0.57.57 174,10 459 9 Cecilia Falconi - Calipso y Naranja En Rombos,m.Naranjas,g.En Cascos</t>
  </si>
  <si>
    <t>11 PAJOMA - Bad Daddy 56 11 5 L.Menghini-I.MicheaF. 2-8-11 27-9 1.400 13-7 15 1/4 1.23.79 25,20 441 10 Bruno Alonso - Negro,estrella Naran.M.Nar.Estrs.Ngr.G.Ngr.Estrs.N</t>
  </si>
  <si>
    <t>12 SHAYLA - Boboman 55 12 4 R.Painen-J.PicharaJ. 2-12-15 20-9 1.200 10-9 34 1.10.50 20,10 470 9 Agric.Santa Laura - Turquesa, Hombreras Moradas</t>
  </si>
  <si>
    <t>13 LA GRAN CLIO - Mustaaqeem (Aus) 55 13 3 V.Miranda-A.PadovaniE. 14-7-13 27-9 1.200 12-10 26 1.11.82 25,60 459 9 Mateo - Blanco,banda Negra,mangas y Gorra Rojas</t>
  </si>
  <si>
    <t>14 FAMOSA LUZ - Midshipman 54 14 4 J.Herrera-G.CovarrubiasE. 15v-7c-5 25-9 1.000 9-9 7 3/4 0.57.12 15,40 392 8 Don Andres - Azul Rombo Amarillo Mangas Azul Brazaletes y Gorra</t>
  </si>
  <si>
    <t>JOHN WAYNE: Cargado en los ultimos metros. - SHAYLA: Preparador disconforme con la carrera de su pupilo. -</t>
  </si>
  <si>
    <t xml:space="preserve"> 19:59 aprox. 1.000 Mts. (3.960) HANDICAP CABALLOS 3 AÑOS Y MAS 5ta. Serie Indice: 18 al 11</t>
  </si>
  <si>
    <t>Dobledemil Combina Con 19a.carrera, Tercera Valida Triple Del Desquite/Vta.enganche, 6a Etapa Super Sexta Del Chile No 2 PREMIO: Adonde Va</t>
  </si>
  <si>
    <t>PREMIOS: $1.920.000.- al 1ero; $537.600.- al 2do; $345.600.- al 3ro; $172.800.- al 4to. Bolsa de premios: $2.976.000 Opción: 15 - 13 - 12 - 9</t>
  </si>
  <si>
    <t>1 BLACK KINGLY - Kingly (Usa) 54 1 3 B.Gonzalez-G.CovarrubiasE. 14c-10c-13 25-9 1.000 14-13 11 3/4 0.57.43 82,30 440 12 Vina Del Mar - Amarillo y Verde A Cuadros,mgs.Verdes,g. Amarilla</t>
  </si>
  <si>
    <t>2 COULD YOU BE LOVED - Sumerio 55 2 4 R.Painen-J.PicharaJ. 11-6-10 25-9 1.000 14-13 10 0.57.43 6,00 440 13 Francisca - Azul, Brazaletes y Gorra Naranjas.</t>
  </si>
  <si>
    <t>3 PREZIOSI - Sumerio 55 3 3 B.Leon-C.A.UrbinaR. 4-7-8 25-9 1.000 14-13 9 1/2 0.57.43 11,20 440 13 Morat - Bco.Faja y Braz.Celes.Bco.Y Celes.G.Ama.Y Cel.Casc</t>
  </si>
  <si>
    <t>4 NO ME PILLA - Seeking The Dia 55 4 7 D.Carvacho-R.QuirozS. 5-9-8 4-10 1.200 15-14 4 1/2 1.10.57 43,30 418 13 Los Quirsan - Rojo, Hombreras y Mangas Amarillas,g.En Cascos</t>
  </si>
  <si>
    <t>5 HERMANO ERIC - Gemologist 53 5 6 D.Carrasco-A.PadovaniE. 15-9-15 4-10 1.200 12-11 12 1/4 1.11.14 15,50 495 11 Carjor - Amarillo,azul,turquesa y Blanco En Ruedas,g.Zul</t>
  </si>
  <si>
    <t>6 LEXUS - Katmai 55 6 6 I.Valdivia-R.PulgarA. 10-2-10 27-9 1.200 14-11 9 1/4 1.11.25 5,10 469 13 Fos - Granate y Verde Por Mit.Horiz.G.En Cascos</t>
  </si>
  <si>
    <t>7 FREE REIN - Hold Me Back 56 7 8 J.Zuniga-R.RojasS. 5c-5c-1 25-9 1.000 9-9 2 0.57.12 1,90 488 14 Chamo Candela - Azl,estrell.Blc.M.Altern.Amar.Y Rjo.Estr.Blc.G.Azl</t>
  </si>
  <si>
    <t>8 AMANECIO BRAVA - Hiraboku Deep (Jap 54 8 4 L.C.Gonzalez-M.PerezA. 9-2-6 4-10 1.200 13-12 8 1.10.01 28,20 442 12 Vicentes - Negro,v y Mangas Rojas,anillos y Gorra Negros</t>
  </si>
  <si>
    <t>9 JAVIERA CONSTANZA - Monthir 59 9 6 J.Guajardo-J.AravenaM. 6-4-1 4-10 1.200 13-12 1 1.10.01 8,40 405 18 Matias Aravena - Blanco,mangas Amarillo y Rojo En Ruedas,g.En Rueda</t>
  </si>
  <si>
    <t>10 SOVICH - Ivan Denisovich 56 10 5 F.Henriquez-M.NorambuenaCh. 4-1-12 25-9 1.000 15-15 14 3/4 0.56.22 10,10 468 14 Veronica Morales O. - Blanco,mangas y Gorra Rojos,anillos Blancos</t>
  </si>
  <si>
    <t>11 RUSTY - Lookin At Lucky 56 11 6 R.Araya-E.LabR. 4-2-7 ** 6-9 1.900 24-15 20 1.58.10 23,40 511 14 El Gran Jose - Celeste y Verde En Rdas.M.Verdes,braz.Celest.G.Cas</t>
  </si>
  <si>
    <t>12 MUZAN - International Star 55 12 4 J.Rodriguez(R-11)-O.DonateS. 2-1-5 ** 10-8 1.200 2 1/2 1.10.89 3,00 481 13 Llego El Talento - Negro y Dorado A Cuadros,mangas Mit.Horiz.G.Dorada</t>
  </si>
  <si>
    <t>13 DONA SHISHI - Midshipman 55 13 6 B.Sancho-R.QuirozS. 11-8-5 25-9 1.000 14-13 5 0.57.43 22,20 445 13 Don Quijote - Celeste y Vde.Mit.Vert.Rombo y M.Ngr.Brz.Cel.Vd.Ng</t>
  </si>
  <si>
    <t>14 TERRIBLE PANCHO - Exaggerator 54 14 4 Jo.A.Gonzalez-I.MicheaF. 2-11-1 25-9 1.000 7-5 3/4 0.57.88 4,80 440 12 Lgs Generadores - Amarillo,banda Azul y Rojo,m.Azules,gorra Amarilla</t>
  </si>
  <si>
    <t>15 VALLE DE LA LUNA - Robert Bruce 56 15 4 V.Cifuentes-L.UrbinaH. 3-8c-5 25-9 1.000 15-15 8 3/4 0.56.22 4,40 400 14 Arriba Las Palmas - Verde,faja y Mgs.Rojas,braz.Y Gorra Amarillas</t>
  </si>
  <si>
    <t>20:30 aprox. 1.400 Mts. (3.961) HANDICAP CABALLOS 3 AÑOS Y MAS 3ra. Serie Indice: 24 al 14</t>
  </si>
  <si>
    <t>Dobledemil Combina Con 20a.carrera, Primera Etapa Gran Triple Final A $ 1.000.-</t>
  </si>
  <si>
    <t>PREMIOS: $2.700.000.- al 1ero; $756.000.- al 2do; $486.000.- al 3ro; $243.000.- al 4to. Bolsa de premios: $4.185.000 Opción: 10 - 9 - 3 - 7 PREMIO: Alto Impacto</t>
  </si>
  <si>
    <t>1 AUDELIO - Gemologist 52 1 7 J.Tapia-F.SepulvedaE. 2-7-3 4-10 1.200 13-12 5 1/2 1.10.01 14,70 496 14 El Gallito - Naranja, Mangas Azules, Gorra Verde</t>
  </si>
  <si>
    <t>2 TIO JUAN - Dubai Sky 58 2 3 M.Morales-A.PadovaniE. 11-8-1 4-10 1.200 17-15 CBZ 1.10.66 16,20 484 21 Carjor - Amarillo,azul,turquesa y Blanco En Ruedas,g.Zul</t>
  </si>
  <si>
    <t>3 KIN’EMON - Grand Daddy 54 3 3 B.Leon-R.MunozM. 5-8-2 20-9 1.200 9 1/4 1.08.20 22,50 499 16 Savka Hermanos - Amarillo y Gris Perla A Cdrtos.Mgs.Y G.Gris Perla</t>
  </si>
  <si>
    <t>4 GRAN DRAGO - Seeking The Dia 54 4 7 J.Zuniga-E.LabR. 12-1-9 20-9 1.200 18-16 12 1/4 1.09.14 60,30 395 16 Joaquin Andres - Rojo y Blanco A Cuadritos,mangas Azules,gorra Roja</t>
  </si>
  <si>
    <t>5 PERSEVERA SIEMPRE (U(Usa) - Bernardini 52 5 8 L.Menghini-E.SwittV. 12-8-6 27-9 1.900 24-15 13 1/2 1.57.42 23,70 483 14 Carlos Cavieres - Azl,fja,bco,azl.Bco,m.Turq.G.Azul y Blc.A Cuadros</t>
  </si>
  <si>
    <t>6 GRAN VERA - Good Samaritan (Us 57 6 5 D.Carvacho-R.QuirozS. 2-1-11 4-10 1.200 21-19 14 1/4 1.08.73 42,60 420 19 C.V.D. - Fucsia y Blanco A Cuadros,mangas y Gorra Turquesa</t>
  </si>
  <si>
    <t>7 KAZAJO - Lemon Sour 59 7 5 L.Torres-R.QuirozS. 6-2-8 4-10 1.200 24-22 7 3/4 1.09.46 7,30 453 22 El Goro - Rojo,chevrones Nrg.Mgs.Rojas y Ngr.En Rued.G.Negra</t>
  </si>
  <si>
    <t>8 MOUNTAIN MONARCH - Sahara Spirit 54 8 3 R.Cisternas-A.NorambuenaG. 5-3-4 27-9 1.200 18-16 3 1/4 1.10.81 6,80 490 16 Francisco Alexandra - Morado, Mangas Morado y Amarillo Listadas</t>
  </si>
  <si>
    <t>9 ESTERIOS - Boboman 60 9 8 V.Miranda-A.PadovaniE. 8-5-3 4-10 1.200 24-22 4 3/4 1.09.46 7,30 545 24 Gaona Hermanos - Blanco,chevrones y Mangas Azules</t>
  </si>
  <si>
    <t>10 CIAO XENA - International Star 58 10 4 B.Sancho-C.UrbinaH. 1-8-3 25-9 1.400 23-14 1 1/4 1.22.96 17,70 490 21 Xeneixe - Azul, Banda Amarilla, Gorra Roja.</t>
  </si>
  <si>
    <t>11 PHARAON - Practical Joke 59 11 6 J.Guajardo-L.MachulasG. 7-3-2 20-9 1.200 20-18 2 1/4 1.09.24 3,40 469 22 Los Husares - Rosado,herradura Cafe,mgs.Rosadas Herra.Cafe.G.Azu</t>
  </si>
  <si>
    <t>12 ACORRALADO - Grand Daddy 56 12 4 V.Cifuentes-E.LabR. 2-2-13 25-9 1.400 23-14 14 3/4 1.22.96 13,80 469 18 Per Sempre - Azul y Celeste Listada,m.Azules,g.Amarilla</t>
  </si>
  <si>
    <t>13 VAN BASTEN - Omayad 58 13 8 A.Zuniga-R.BernalG. 15-12-14 4-10 1.200 24-22 12 1.09.46 62,70 514 21 La Flo - Azul, Faja y Mgs.Blancas,brazaletes y Gorra Verdes</t>
  </si>
  <si>
    <t>14 NUEVO HORIZONTE - Stevie Wonderboy 52 14 6 H.Barrera-R.QuirozS. 9-1-9 4-10 1.200 17-15 13 1/4 1.10.66 57,50 442 14 El Kaiser - Blanco,banda Negra,braz.Negro,rosado y Negro.</t>
  </si>
  <si>
    <t>15 LONDON DREAMS - Exaggerator 58 15 6 Jo.A.Gonzalez-G.CovarrubiasE. 8c-1c-8 27-9 1.900 24-15 21 1/2 1.57.42 13,40 492 21 La Corina - Solferino,circulo y Gorra Negra</t>
  </si>
  <si>
    <t>GRAN DRAGO: Se abrio desde los 600 mts.hasta la meta. - GRAN VERA: Suspendido jinete por conducción deficiente. Multado preparador por negligencia en sus obligaciones profesionales - MOUNTAIN MONARCH: Se abrio en las ultimas distancias. -</t>
  </si>
  <si>
    <t xml:space="preserve"> 21:00 aprox. 1.000 Mts. (3.962) HANDICAP CABALLOS 3 AÑOS Y MAS 4ta. Serie Indice: 16 al 14</t>
  </si>
  <si>
    <t>Dobledemil Combina Con 21a.carrera, Segunda Etapa Gran Triple Final/Eng. PREMIO: Alejandro Farnesio</t>
  </si>
  <si>
    <t>PREMIOS: $1.920.000.- al 1ero; $537.600.- al 2do; $345.600.- al 3ro; $172.800.- al 4to. Bolsa de premios: $2.976.000 Opción: 14 - 1 - 9 - 10</t>
  </si>
  <si>
    <t>1 EN HONOR A TITO - Patternrecognition 55 1 4 J.Medina-C.GonzalezM. 2c-4c-1 25-9 1.000 11-9 PZO 0.57.57 3,70 461 14 Milna - Amarillo y Rojo Por Mitad Vertical,gorra Roja</t>
  </si>
  <si>
    <t>2 NANY ARCH - Hootenanny (Usa) 56 2 5 D.Carrasco-J.HirmasR. 11-9-15 20-9 1.200 16-14 18 1/4 1.09.63 26,80 478 15 Chamo Candela - Azl,estrell.Blc.M.Altern.Amar.Y Rjo.Estr.Blc.G.Azl</t>
  </si>
  <si>
    <t>3 DEBES SOBREVIVIR - Good Samaritan (Us 55 3 4 J.Rodriguez-O.DonateS. 2-7-11c * 21-8 1.000 16-13 6 1/2 0.55.85 8,40 443 14 Redbros - Negro,angulos Rj.Blc.Vde.Brz.Rj.Blc.Puno Vde.G.Blc</t>
  </si>
  <si>
    <t>4 COLMILLO - Bad Daddy 55 4 5 L.Silva-F.SepulvedaE. 1-14-15 27-9 1.200 21-13 27 3/4 1.11.06 40,60 429 14 El Gallito - Naranja, Mangas Azules, Gorra Verde</t>
  </si>
  <si>
    <t>5 VANDU - Dubai Sky 55 5 4 R.Fournet-R.QuirozS. 11-4-11 4-10 1.200 15-14 9 1.10.57 66,80 411 14 Don Quijote - Celeste y Vde.Mit.Vert.Rombo y M.Ngr.Brz.Cel.Vd.Ng</t>
  </si>
  <si>
    <t>6 UKIYO - California Chrome 56 6 6 C.Weilby-A.NorambuenaG. 1-11-12 27-9 1.200 21-13 12 1.11.06 33,80 460 15 Fusta Y Poncha - Rojo, Chevrones Amarillos, Mangas y Gorra Azul.-</t>
  </si>
  <si>
    <t>7 ARTE DE MAGIA - Van Nistelrooy 56 7 4 V.Miranda-A.PadovaniE. 1-10-6 25-9 1.000 18-16 8 3/4 0.56.98 5,00 446 15 Los Lokolopulus - Naranja y Negro Listado,m.Naranja,g.Negra</t>
  </si>
  <si>
    <t>8 ELEGANT KATZE - Good Samaritan 55 8 5 N.Santibanez-C.BernalG. 1-8-9 25-9 1.000 15-15 13 3/4 0.56.22 51,00 428 14 Morat - Bco.Faja y Braz.Celes.Bco.Y Celes.G.Ama.Y Cel.Casc</t>
  </si>
  <si>
    <t>9 GRAN FLOPI - Feliz De Vivir 57 9 7 J.Herrera-R.BernalG. 6-11-2 4-10 1.200 15-14 1 1.10.57 18,40 441 16 Florencia Paz - Azul,chevrones Verdes,brazaletes Rojos,g.En Cascos</t>
  </si>
  <si>
    <t>10 GRAN FISCAL - Grand Daddy 56 10 4 D.Carvacho-J.PicharaJ. 1-15-2 25-9 1.000 14-13 1/2 0.57.43 13,60 464 15 Vasquez Retamales - Naranja,tirantes y Braz.Verdes,gorra Listada</t>
  </si>
  <si>
    <t>11 ELQUILIMAY - Van Nistelrooy 56 11 6 J.Reyes-L.MachulasG. 9-3-11 25-9 1.000 18-16 15 0.56.98 21,90 447 15 Yayita - Naranj.Tirant.En Rombos y Mgs.Morad.G.Nar.Rombs.Mo</t>
  </si>
  <si>
    <t>12 BLUE KENTUCKY GIRL - Awesome Patriot 55 12 4 Jo.A.Gonzalez-G.CovarrubiasE. 13-7-12 4-10 1.200 17-15 17 1/4 1.10.66 53,90 407 14 El Aguila - Blanco,v Negra,m.En Ruedas,gorra En Cascos</t>
  </si>
  <si>
    <t>13 SHALLOW - Verrazano8 56 13 7 J.Solano(R-7)-L.MachulasG. 13-10-12 ** 15-2 1.200 20-16 19 3/4 1.10.17 47,80 468 15 Carolina Pia - Gris Perla, Mangas Negras,gorra En Cascos</t>
  </si>
  <si>
    <t>14 INDHIRA - War Command 55 14 5 M.Morales-R.RojasS. 3c-5c-6 25-9 1.000 15-15 9 1/4 0.56.22 4,80 462 14 Con Tanto Esfuerzo - Rojo,bda.Vde y Ama.M.Rjs.Estrel.Ama.Y Vde,g.Est.Am</t>
  </si>
  <si>
    <t>15 LA LEGITIMA - Van Nistelrooy 56 15 5 D.Medina-J.BravoM. 4-13-5 25-9 1.000 18-16 7 3/4 0.56.98 19,60 440 15 Jose Bravo M. - Azul y Blanco Por Mitad Horizontal, Gorra Blanca.</t>
  </si>
  <si>
    <t>NANY ARCH: Cargado al partir. -</t>
  </si>
  <si>
    <t xml:space="preserve"> 21:30 aprox. 1.000 Mts. (3.963) HANDICAP CABALLOS 3 AÑOS Y MAS 3ra. Serie Indice: 30 al 21</t>
  </si>
  <si>
    <t>APUESTAS DISPONIBLES: Ganador, A Segundo, A Tercero, Quinela, Quinela-place, Exacta, Trifecta,</t>
  </si>
  <si>
    <t>Superfecta, Tercera Etapa Gran Triple Final/Eng. PREMIO: Alto Riesgo</t>
  </si>
  <si>
    <t>PREMIOS: $2.550.000.- al 1ero; $714.000.- al 2do; $459.000.- al 3ro; $229.500.- al 4to. Bolsa de premios: $3.952.500 Opción: 2 - 8 - 11 - 13</t>
  </si>
  <si>
    <t>1 RICA ELEGANTE - Classic Empire (Us 53 1 4 J.Zuniga-E.LabR. 6-10-9 ** 4-9 1.000 24-21 7 1/2 0.56.46 8,80 440 22 Joaquin Andres - Rojo y Blanco A Cuadritos,mangas Azules,gorra Roja</t>
  </si>
  <si>
    <t>2 VILLETA - Gran Villano 57 2 5 R.Cisternas-R.LopezB. 14-2-4 25-9 1.000 32-24 3 1/4 0.56.28 9,40 493 26 Guarani - Blanco,m.Amarillo y Rojo List.Gorra Roja</t>
  </si>
  <si>
    <t>3 NATURAL MYSTIC - Sumerio 54 3 4 J.Villagran-J.PicharaJ. 14-14-15 27-9 1.200 26-22 13 1/4 1.10.20 46,90 494 23 Florencia Paz - Azul,chevrones Verdes,brazaletes Rojos,g.En Cascos</t>
  </si>
  <si>
    <t>4 KE PACQUIAO - International Star 54 4 4 Seb.Gonzalez-I.MicheaF. 4-1-12 4-10 1.200 24-22 10 3/4 1.09.46 26,20 461 23 Bruno Alonso - Negro,estrella Naran.M.Nar.Estrs.Ngr.G.Ngr.Estrs.N</t>
  </si>
  <si>
    <t>5 NO VUELVO MAS - Good Samaritan (Us 52 5 5 J.Toro-J.HirmasR. 11c-8-10 4-10 1.200 24-22 10 1.09.46 42,40 459 21 Santa Malva - Rosado,banda Blanca,mangas Verdes</t>
  </si>
  <si>
    <t>6 EL JOKER - Grand Daddy 54 6 4 R.Dores-R.QuirozS. 10-14-6 4-10 1.200 24-22 5 3/4 1.09.46 18,50 500 23 Viva Chile - Azul,estrella y Gorra Blancas,mangas Rojas.</t>
  </si>
  <si>
    <t>7 PRESENTE CHA - Constitution 59 7 5 Jo.A.Gonzalez-G.CovarrubiasE. 12-3-9c 25-9 1.000 32-24 2 3/4 0.56.28 4,00 462 30 Quarter Dollar - Amarillo, Herradura Negra,mangas y Gorra En Ruedas</t>
  </si>
  <si>
    <t>8 SEATTLE SNOW - Dubai Sky 54 8 4 B.Troncoso-A.PadovaniE. 6v-2-4 4-10 1.200 24-22 5 3/4 1.09.46 2,30 464 23 Guerrero De La Vida - Rojo,estrellas y Brazaletes Negros</t>
  </si>
  <si>
    <t>9 CAMBUCHA - Goldencents 59 9 6 J.Guajardo-D.ContrerasA. 9c-7c-7c * 10-7 1.000 32-27 1 1/4 0.56.00 16,60 495 30 Abuela Oca - Azul,2 Bandas y Puño Ros.Mgs.Bla.G.En Cas.Az.Y Ros</t>
  </si>
  <si>
    <t>10 LUZ OCULTA - Mendelssohn (Usa) 58 10 4 R.Avila-M.CovarrubiasE. 8-7-5 4-10 1.200 30-26 6 1/2 1.08.48 57,70 459 27 Quarter Dollar - Amarillo, Herradura Negra,mangas y Gorra En Ruedas</t>
  </si>
  <si>
    <t>11 COSA DE LOCOS - Grand Daddy 58 11 8 I.Valdivia-R.QuirozS. 3-5-1 25-9 1.000 24-21 1/2 0.56.35 4,10 525 28 Titan - Gris y Negro A Cuadros,m.Amar.Y Gris List.G.Amar.</t>
  </si>
  <si>
    <t>12 GEROI - Midshipman 54 12 4 B.Sancho-R.QuirozS. 9-1-2 25-9 1.000 24-21 1/2 0.56.35 16,60 430 23 Artigas - Turquesa,faja,brazaletes y Gorra Negros</t>
  </si>
  <si>
    <t>13 CAPO AZZURRA - Monthir 55 13 5 A.Alvarez-P.ValderramaC. 1-13-3 25-9 1.000 24-21 1 3/4 0.56.35 8,20 498 24 Bruno Alonso - Negro,estrella Naran.M.Nar.Estrs.Ngr.G.Ngr.Estrs.N</t>
  </si>
  <si>
    <t>14 TOTO MELERINO - Imperia II 53 14 4 M.Gutierrez-R.BernalG. 13-5-5 4-10 1.200 24-22 5 3/4 1.09.46 9,50 440 22 Paula Ines - Rosado, Mangas Azul y Rosado Listadas, Gorra Azul.</t>
  </si>
  <si>
    <t>15 NAVIDAD VELOZ - Verrazano (Usa) 57 15 7 B.Gonzalez-M.CovarrubiasE. 1-1-6 25-9 1.000 32-24 5 1/2 0.56.28 32,40 463 26 Quarter Dollar - Amarillo, Herradura Negra,mangas y Gorra En Ruedas</t>
  </si>
  <si>
    <t xml:space="preserve">POLLA DIARIA 
</t>
  </si>
  <si>
    <t>EL JOYERO</t>
  </si>
  <si>
    <t>TRES COPAS</t>
  </si>
  <si>
    <t>PAP</t>
  </si>
  <si>
    <t>KUME</t>
  </si>
  <si>
    <t>PASASTE BANDIDO</t>
  </si>
  <si>
    <t>SOSAMAFIA</t>
  </si>
  <si>
    <t>ALF</t>
  </si>
  <si>
    <t>MIS SOBRINOS</t>
  </si>
  <si>
    <t>SERVIFRENOS</t>
  </si>
  <si>
    <t>AUMENTA MEDINA</t>
  </si>
  <si>
    <t>CAMPEON DE CAMPEONES</t>
  </si>
  <si>
    <t>FERNANDA</t>
  </si>
  <si>
    <t>TRINIDAD</t>
  </si>
  <si>
    <t>LOS GIPSY KING</t>
  </si>
  <si>
    <t>LOCO PETETE</t>
  </si>
  <si>
    <t>KING JORANTO</t>
  </si>
  <si>
    <t>KING MAGUENCHO</t>
  </si>
  <si>
    <t>TOCOCO</t>
  </si>
  <si>
    <t>MANZANA</t>
  </si>
  <si>
    <t>PILLASTE DIABLO</t>
  </si>
  <si>
    <t>PASASTE DIABLO</t>
  </si>
  <si>
    <t>REGALON 6 AÑOS</t>
  </si>
  <si>
    <t>LMF</t>
  </si>
  <si>
    <t>REMY</t>
  </si>
  <si>
    <t>LA AMBULANCIA</t>
  </si>
  <si>
    <t>CUATRO COPAS</t>
  </si>
  <si>
    <t>OVAYORK</t>
  </si>
  <si>
    <t>SALVAYORK</t>
  </si>
  <si>
    <t>SEA COURT 1</t>
  </si>
  <si>
    <t>SEACOURT 2</t>
  </si>
  <si>
    <t>MANZOR</t>
  </si>
  <si>
    <t>ARRE DEMONIO</t>
  </si>
  <si>
    <t>JUAN DE LOS CABALLOS</t>
  </si>
  <si>
    <t>SANVI</t>
  </si>
  <si>
    <t>BILZ</t>
  </si>
  <si>
    <t>SIN FE</t>
  </si>
  <si>
    <t>SIN FE-IA</t>
  </si>
  <si>
    <t>NANO</t>
  </si>
  <si>
    <t>PINKY</t>
  </si>
  <si>
    <t>MG</t>
  </si>
  <si>
    <t>ROMATRI</t>
  </si>
  <si>
    <t>STORMILORD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</si>
</sst>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 * #,##0_ ;_ * \-#,##0_ ;_ * &quot;-&quot;_ ;_ @_ "/>
    <numFmt numFmtId="164" formatCode="0.0"/>
    <numFmt numFmtId="165" formatCode="#,##0.0"/>
  </numFmts>
  <fonts count="40" x14ac:knownFonts="1">
    <font>
      <sz val="11"/>
      <color rgb="FF000000"/>
      <name val="Calibri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Calibri"/>
      <family val="2"/>
    </font>
    <font>
      <b/>
      <sz val="15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5"/>
      <name val="Calibri"/>
      <family val="2"/>
      <scheme val="minor"/>
    </font>
    <font>
      <b/>
      <sz val="15"/>
      <color rgb="FF000000"/>
      <name val="Calibri"/>
      <family val="2"/>
      <scheme val="minor"/>
    </font>
    <font>
      <b/>
      <sz val="15"/>
      <color theme="1" tint="0.89999084444715716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name val="Arial Narrow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b/>
      <sz val="11"/>
      <color rgb="FFFF0000"/>
      <name val="Calibri"/>
      <family val="2"/>
    </font>
    <font>
      <b/>
      <sz val="15"/>
      <color theme="2"/>
      <name val="Calibri"/>
      <family val="2"/>
    </font>
    <font>
      <b/>
      <sz val="12"/>
      <color theme="2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5"/>
      <name val="Calibri"/>
      <family val="2"/>
    </font>
    <font>
      <b/>
      <sz val="15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5"/>
      <color theme="0"/>
      <name val="Calibri"/>
      <family val="2"/>
    </font>
    <font>
      <sz val="15"/>
      <color rgb="FF000000"/>
      <name val="Calibri"/>
      <family val="2"/>
    </font>
    <font>
      <b/>
      <sz val="15"/>
      <color rgb="FFFF0000"/>
      <name val="Calibri"/>
      <family val="2"/>
    </font>
    <font>
      <b/>
      <sz val="15"/>
      <color theme="2"/>
      <name val="Calibri"/>
      <family val="2"/>
      <scheme val="minor"/>
    </font>
    <font>
      <b/>
      <sz val="15"/>
      <color rgb="FF3F3F3F"/>
      <name val="Calibri"/>
      <family val="2"/>
      <scheme val="minor"/>
    </font>
    <font>
      <b/>
      <sz val="15"/>
      <color rgb="FF002060"/>
      <name val="Calibri"/>
      <family val="2"/>
      <scheme val="minor"/>
    </font>
    <font>
      <b/>
      <sz val="15"/>
      <name val="Calibri"/>
      <family val="2"/>
      <charset val="1"/>
    </font>
    <font>
      <sz val="15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9612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83E28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00009A"/>
        <bgColor indexed="64"/>
      </patternFill>
    </fill>
    <fill>
      <patternFill patternType="solid">
        <fgColor rgb="FFE943D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4771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9FF78"/>
        <bgColor indexed="64"/>
      </patternFill>
    </fill>
    <fill>
      <patternFill patternType="solid">
        <fgColor rgb="FF9F5B73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A818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6CE50"/>
        <bgColor indexed="64"/>
      </patternFill>
    </fill>
    <fill>
      <patternFill patternType="solid">
        <fgColor rgb="FFEE687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A1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DF290"/>
        <bgColor indexed="64"/>
      </patternFill>
    </fill>
    <fill>
      <patternFill patternType="solid">
        <fgColor rgb="FFCDF290"/>
        <bgColor rgb="FF5B9BD5"/>
      </patternFill>
    </fill>
    <fill>
      <patternFill patternType="solid">
        <fgColor rgb="FF3A6BE4"/>
        <bgColor indexed="64"/>
      </patternFill>
    </fill>
    <fill>
      <patternFill patternType="solid">
        <fgColor rgb="FF0E1F9A"/>
        <bgColor indexed="64"/>
      </patternFill>
    </fill>
    <fill>
      <patternFill patternType="solid">
        <fgColor theme="5"/>
        <bgColor rgb="FF5B9BD5"/>
      </patternFill>
    </fill>
    <fill>
      <patternFill patternType="solid">
        <fgColor theme="7" tint="0.39997558519241921"/>
        <bgColor indexed="64"/>
      </patternFill>
    </fill>
  </fills>
  <borders count="29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41" fontId="7" fillId="0" borderId="0" applyFont="0" applyFill="0" applyBorder="0" applyAlignment="0" applyProtection="0"/>
    <xf numFmtId="0" fontId="20" fillId="14" borderId="24" applyNumberFormat="0" applyAlignment="0" applyProtection="0"/>
    <xf numFmtId="0" fontId="3" fillId="0" borderId="0"/>
    <xf numFmtId="0" fontId="3" fillId="0" borderId="0"/>
    <xf numFmtId="41" fontId="3" fillId="0" borderId="0" applyFont="0" applyFill="0" applyBorder="0" applyAlignment="0" applyProtection="0"/>
    <xf numFmtId="0" fontId="3" fillId="0" borderId="0"/>
  </cellStyleXfs>
  <cellXfs count="296">
    <xf numFmtId="0" fontId="0" fillId="0" borderId="0" xfId="0"/>
    <xf numFmtId="0" fontId="2" fillId="3" borderId="0" xfId="0" applyFont="1" applyFill="1"/>
    <xf numFmtId="0" fontId="2" fillId="0" borderId="0" xfId="0" applyFont="1"/>
    <xf numFmtId="0" fontId="2" fillId="3" borderId="0" xfId="0" applyFont="1" applyFill="1" applyAlignment="1">
      <alignment horizontal="right"/>
    </xf>
    <xf numFmtId="0" fontId="1" fillId="2" borderId="2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5" fillId="0" borderId="0" xfId="0" applyFont="1"/>
    <xf numFmtId="0" fontId="8" fillId="11" borderId="1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8" fillId="4" borderId="11" xfId="0" applyFont="1" applyFill="1" applyBorder="1" applyAlignment="1">
      <alignment horizontal="center" vertical="center"/>
    </xf>
    <xf numFmtId="0" fontId="13" fillId="2" borderId="1" xfId="0" applyFont="1" applyFill="1" applyBorder="1"/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/>
    <xf numFmtId="0" fontId="14" fillId="3" borderId="11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/>
    </xf>
    <xf numFmtId="0" fontId="13" fillId="2" borderId="5" xfId="0" applyFont="1" applyFill="1" applyBorder="1"/>
    <xf numFmtId="0" fontId="18" fillId="5" borderId="11" xfId="0" applyFont="1" applyFill="1" applyBorder="1" applyAlignment="1">
      <alignment horizontal="center"/>
    </xf>
    <xf numFmtId="0" fontId="13" fillId="2" borderId="7" xfId="0" applyFont="1" applyFill="1" applyBorder="1"/>
    <xf numFmtId="0" fontId="13" fillId="5" borderId="11" xfId="0" applyFont="1" applyFill="1" applyBorder="1" applyAlignment="1">
      <alignment horizontal="center"/>
    </xf>
    <xf numFmtId="0" fontId="13" fillId="2" borderId="0" xfId="0" applyFont="1" applyFill="1"/>
    <xf numFmtId="0" fontId="13" fillId="5" borderId="0" xfId="0" applyFont="1" applyFill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3" fillId="2" borderId="9" xfId="0" applyFont="1" applyFill="1" applyBorder="1"/>
    <xf numFmtId="0" fontId="13" fillId="2" borderId="10" xfId="0" applyFont="1" applyFill="1" applyBorder="1"/>
    <xf numFmtId="0" fontId="13" fillId="3" borderId="11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/>
    </xf>
    <xf numFmtId="0" fontId="13" fillId="2" borderId="6" xfId="0" applyFont="1" applyFill="1" applyBorder="1"/>
    <xf numFmtId="0" fontId="13" fillId="5" borderId="4" xfId="0" applyFont="1" applyFill="1" applyBorder="1" applyAlignment="1">
      <alignment horizontal="center"/>
    </xf>
    <xf numFmtId="0" fontId="13" fillId="5" borderId="6" xfId="0" applyFont="1" applyFill="1" applyBorder="1" applyAlignment="1">
      <alignment horizontal="center"/>
    </xf>
    <xf numFmtId="164" fontId="13" fillId="5" borderId="11" xfId="0" applyNumberFormat="1" applyFont="1" applyFill="1" applyBorder="1" applyAlignment="1">
      <alignment horizontal="center" vertical="center"/>
    </xf>
    <xf numFmtId="164" fontId="18" fillId="5" borderId="11" xfId="0" applyNumberFormat="1" applyFont="1" applyFill="1" applyBorder="1" applyAlignment="1">
      <alignment horizontal="center"/>
    </xf>
    <xf numFmtId="164" fontId="13" fillId="6" borderId="11" xfId="0" applyNumberFormat="1" applyFont="1" applyFill="1" applyBorder="1" applyAlignment="1">
      <alignment horizontal="center" vertical="center"/>
    </xf>
    <xf numFmtId="164" fontId="13" fillId="5" borderId="11" xfId="0" applyNumberFormat="1" applyFont="1" applyFill="1" applyBorder="1" applyAlignment="1">
      <alignment horizontal="center"/>
    </xf>
    <xf numFmtId="1" fontId="14" fillId="3" borderId="11" xfId="0" applyNumberFormat="1" applyFont="1" applyFill="1" applyBorder="1" applyAlignment="1">
      <alignment horizontal="center" vertical="center"/>
    </xf>
    <xf numFmtId="165" fontId="19" fillId="5" borderId="11" xfId="0" applyNumberFormat="1" applyFont="1" applyFill="1" applyBorder="1" applyAlignment="1">
      <alignment horizontal="center" vertical="center" wrapText="1"/>
    </xf>
    <xf numFmtId="165" fontId="19" fillId="5" borderId="11" xfId="0" applyNumberFormat="1" applyFont="1" applyFill="1" applyBorder="1" applyAlignment="1">
      <alignment horizontal="center" vertical="center"/>
    </xf>
    <xf numFmtId="165" fontId="19" fillId="6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5" borderId="0" xfId="0" applyFont="1" applyFill="1"/>
    <xf numFmtId="0" fontId="23" fillId="5" borderId="6" xfId="0" applyFont="1" applyFill="1" applyBorder="1" applyAlignment="1">
      <alignment horizontal="center" vertical="center"/>
    </xf>
    <xf numFmtId="0" fontId="21" fillId="0" borderId="11" xfId="0" applyFont="1" applyBorder="1" applyAlignment="1">
      <alignment horizontal="center" vertical="top"/>
    </xf>
    <xf numFmtId="1" fontId="24" fillId="13" borderId="25" xfId="0" applyNumberFormat="1" applyFont="1" applyFill="1" applyBorder="1" applyAlignment="1">
      <alignment horizontal="center" vertical="center"/>
    </xf>
    <xf numFmtId="1" fontId="23" fillId="5" borderId="25" xfId="0" applyNumberFormat="1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/>
    </xf>
    <xf numFmtId="0" fontId="28" fillId="35" borderId="0" xfId="0" applyFont="1" applyFill="1" applyAlignment="1">
      <alignment horizontal="center"/>
    </xf>
    <xf numFmtId="0" fontId="20" fillId="14" borderId="24" xfId="2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9" borderId="11" xfId="0" applyFont="1" applyFill="1" applyBorder="1"/>
    <xf numFmtId="3" fontId="6" fillId="9" borderId="11" xfId="0" applyNumberFormat="1" applyFont="1" applyFill="1" applyBorder="1"/>
    <xf numFmtId="3" fontId="6" fillId="9" borderId="11" xfId="0" applyNumberFormat="1" applyFont="1" applyFill="1" applyBorder="1" applyAlignment="1">
      <alignment horizontal="left"/>
    </xf>
    <xf numFmtId="0" fontId="2" fillId="0" borderId="11" xfId="0" applyFont="1" applyBorder="1" applyAlignment="1">
      <alignment horizontal="center"/>
    </xf>
    <xf numFmtId="41" fontId="2" fillId="0" borderId="11" xfId="0" applyNumberFormat="1" applyFont="1" applyBorder="1" applyAlignment="1">
      <alignment horizontal="center"/>
    </xf>
    <xf numFmtId="41" fontId="2" fillId="0" borderId="11" xfId="1" applyFont="1" applyBorder="1" applyAlignment="1">
      <alignment horizontal="center"/>
    </xf>
    <xf numFmtId="0" fontId="6" fillId="9" borderId="11" xfId="0" applyFont="1" applyFill="1" applyBorder="1" applyAlignment="1">
      <alignment horizontal="left"/>
    </xf>
    <xf numFmtId="1" fontId="24" fillId="15" borderId="25" xfId="0" applyNumberFormat="1" applyFont="1" applyFill="1" applyBorder="1" applyAlignment="1">
      <alignment horizontal="center" vertical="center"/>
    </xf>
    <xf numFmtId="1" fontId="23" fillId="10" borderId="25" xfId="0" applyNumberFormat="1" applyFont="1" applyFill="1" applyBorder="1" applyAlignment="1">
      <alignment horizontal="center" vertical="center"/>
    </xf>
    <xf numFmtId="1" fontId="24" fillId="2" borderId="25" xfId="0" applyNumberFormat="1" applyFont="1" applyFill="1" applyBorder="1" applyAlignment="1">
      <alignment horizontal="center" vertical="center"/>
    </xf>
    <xf numFmtId="1" fontId="24" fillId="12" borderId="25" xfId="0" applyNumberFormat="1" applyFont="1" applyFill="1" applyBorder="1" applyAlignment="1">
      <alignment horizontal="center" vertical="center"/>
    </xf>
    <xf numFmtId="1" fontId="23" fillId="4" borderId="25" xfId="0" applyNumberFormat="1" applyFont="1" applyFill="1" applyBorder="1" applyAlignment="1">
      <alignment horizontal="center" vertical="center"/>
    </xf>
    <xf numFmtId="1" fontId="23" fillId="16" borderId="25" xfId="0" applyNumberFormat="1" applyFont="1" applyFill="1" applyBorder="1" applyAlignment="1">
      <alignment horizontal="center" vertical="center"/>
    </xf>
    <xf numFmtId="1" fontId="23" fillId="17" borderId="25" xfId="0" applyNumberFormat="1" applyFont="1" applyFill="1" applyBorder="1" applyAlignment="1">
      <alignment horizontal="center" vertical="center"/>
    </xf>
    <xf numFmtId="1" fontId="24" fillId="18" borderId="25" xfId="0" applyNumberFormat="1" applyFont="1" applyFill="1" applyBorder="1" applyAlignment="1">
      <alignment horizontal="center" vertical="center"/>
    </xf>
    <xf numFmtId="1" fontId="25" fillId="19" borderId="25" xfId="0" applyNumberFormat="1" applyFont="1" applyFill="1" applyBorder="1" applyAlignment="1">
      <alignment horizontal="center" vertical="center"/>
    </xf>
    <xf numFmtId="1" fontId="22" fillId="4" borderId="25" xfId="0" applyNumberFormat="1" applyFont="1" applyFill="1" applyBorder="1" applyAlignment="1">
      <alignment horizontal="center" vertical="center"/>
    </xf>
    <xf numFmtId="1" fontId="24" fillId="20" borderId="25" xfId="0" applyNumberFormat="1" applyFont="1" applyFill="1" applyBorder="1" applyAlignment="1">
      <alignment horizontal="center" vertical="center"/>
    </xf>
    <xf numFmtId="1" fontId="24" fillId="21" borderId="25" xfId="0" applyNumberFormat="1" applyFont="1" applyFill="1" applyBorder="1" applyAlignment="1">
      <alignment horizontal="center" vertical="center"/>
    </xf>
    <xf numFmtId="1" fontId="22" fillId="22" borderId="25" xfId="0" applyNumberFormat="1" applyFont="1" applyFill="1" applyBorder="1" applyAlignment="1">
      <alignment horizontal="center" vertical="center"/>
    </xf>
    <xf numFmtId="1" fontId="24" fillId="23" borderId="25" xfId="0" applyNumberFormat="1" applyFont="1" applyFill="1" applyBorder="1" applyAlignment="1">
      <alignment horizontal="center" vertical="center"/>
    </xf>
    <xf numFmtId="1" fontId="24" fillId="24" borderId="25" xfId="0" applyNumberFormat="1" applyFont="1" applyFill="1" applyBorder="1" applyAlignment="1">
      <alignment horizontal="center" vertical="center"/>
    </xf>
    <xf numFmtId="1" fontId="22" fillId="25" borderId="25" xfId="0" applyNumberFormat="1" applyFont="1" applyFill="1" applyBorder="1" applyAlignment="1">
      <alignment horizontal="center" vertical="center"/>
    </xf>
    <xf numFmtId="1" fontId="24" fillId="26" borderId="25" xfId="0" applyNumberFormat="1" applyFont="1" applyFill="1" applyBorder="1" applyAlignment="1">
      <alignment horizontal="center" vertical="center"/>
    </xf>
    <xf numFmtId="1" fontId="24" fillId="27" borderId="25" xfId="0" applyNumberFormat="1" applyFont="1" applyFill="1" applyBorder="1" applyAlignment="1">
      <alignment horizontal="center" vertical="center"/>
    </xf>
    <xf numFmtId="1" fontId="22" fillId="28" borderId="25" xfId="0" applyNumberFormat="1" applyFont="1" applyFill="1" applyBorder="1" applyAlignment="1">
      <alignment horizontal="center" vertical="center"/>
    </xf>
    <xf numFmtId="1" fontId="24" fillId="29" borderId="25" xfId="0" applyNumberFormat="1" applyFont="1" applyFill="1" applyBorder="1" applyAlignment="1">
      <alignment horizontal="center" vertical="center"/>
    </xf>
    <xf numFmtId="1" fontId="24" fillId="30" borderId="25" xfId="0" applyNumberFormat="1" applyFont="1" applyFill="1" applyBorder="1" applyAlignment="1">
      <alignment horizontal="center" vertical="center"/>
    </xf>
    <xf numFmtId="1" fontId="24" fillId="31" borderId="25" xfId="0" applyNumberFormat="1" applyFont="1" applyFill="1" applyBorder="1" applyAlignment="1">
      <alignment horizontal="center" vertical="center"/>
    </xf>
    <xf numFmtId="1" fontId="24" fillId="8" borderId="25" xfId="0" applyNumberFormat="1" applyFont="1" applyFill="1" applyBorder="1" applyAlignment="1">
      <alignment horizontal="center" vertical="center"/>
    </xf>
    <xf numFmtId="1" fontId="22" fillId="32" borderId="25" xfId="0" applyNumberFormat="1" applyFont="1" applyFill="1" applyBorder="1" applyAlignment="1">
      <alignment horizontal="center" vertical="center"/>
    </xf>
    <xf numFmtId="1" fontId="22" fillId="33" borderId="25" xfId="0" applyNumberFormat="1" applyFont="1" applyFill="1" applyBorder="1" applyAlignment="1">
      <alignment horizontal="center" vertical="center"/>
    </xf>
    <xf numFmtId="1" fontId="24" fillId="34" borderId="27" xfId="0" applyNumberFormat="1" applyFont="1" applyFill="1" applyBorder="1" applyAlignment="1">
      <alignment horizontal="center" vertical="center"/>
    </xf>
    <xf numFmtId="0" fontId="20" fillId="14" borderId="28" xfId="2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16" fontId="23" fillId="5" borderId="23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1" fontId="24" fillId="24" borderId="6" xfId="0" applyNumberFormat="1" applyFont="1" applyFill="1" applyBorder="1"/>
    <xf numFmtId="1" fontId="22" fillId="25" borderId="6" xfId="0" applyNumberFormat="1" applyFont="1" applyFill="1" applyBorder="1"/>
    <xf numFmtId="1" fontId="24" fillId="26" borderId="6" xfId="0" applyNumberFormat="1" applyFont="1" applyFill="1" applyBorder="1"/>
    <xf numFmtId="1" fontId="24" fillId="27" borderId="6" xfId="0" applyNumberFormat="1" applyFont="1" applyFill="1" applyBorder="1"/>
    <xf numFmtId="1" fontId="22" fillId="28" borderId="6" xfId="0" applyNumberFormat="1" applyFont="1" applyFill="1" applyBorder="1"/>
    <xf numFmtId="1" fontId="24" fillId="29" borderId="6" xfId="0" applyNumberFormat="1" applyFont="1" applyFill="1" applyBorder="1"/>
    <xf numFmtId="1" fontId="24" fillId="30" borderId="6" xfId="0" applyNumberFormat="1" applyFont="1" applyFill="1" applyBorder="1"/>
    <xf numFmtId="1" fontId="24" fillId="31" borderId="6" xfId="0" applyNumberFormat="1" applyFont="1" applyFill="1" applyBorder="1"/>
    <xf numFmtId="1" fontId="24" fillId="8" borderId="6" xfId="0" applyNumberFormat="1" applyFont="1" applyFill="1" applyBorder="1"/>
    <xf numFmtId="1" fontId="22" fillId="32" borderId="6" xfId="0" applyNumberFormat="1" applyFont="1" applyFill="1" applyBorder="1"/>
    <xf numFmtId="1" fontId="22" fillId="33" borderId="6" xfId="0" applyNumberFormat="1" applyFont="1" applyFill="1" applyBorder="1"/>
    <xf numFmtId="1" fontId="24" fillId="34" borderId="23" xfId="0" applyNumberFormat="1" applyFont="1" applyFill="1" applyBorder="1"/>
    <xf numFmtId="3" fontId="0" fillId="0" borderId="0" xfId="0" applyNumberFormat="1"/>
    <xf numFmtId="16" fontId="0" fillId="0" borderId="0" xfId="0" applyNumberFormat="1"/>
    <xf numFmtId="14" fontId="0" fillId="0" borderId="0" xfId="0" applyNumberFormat="1"/>
    <xf numFmtId="0" fontId="8" fillId="0" borderId="11" xfId="0" applyFont="1" applyBorder="1" applyAlignment="1">
      <alignment horizontal="center" vertical="center"/>
    </xf>
    <xf numFmtId="0" fontId="8" fillId="36" borderId="11" xfId="0" applyFont="1" applyFill="1" applyBorder="1" applyAlignment="1">
      <alignment horizontal="center" vertical="center"/>
    </xf>
    <xf numFmtId="0" fontId="17" fillId="36" borderId="6" xfId="0" applyFont="1" applyFill="1" applyBorder="1" applyAlignment="1">
      <alignment horizontal="center" vertical="center"/>
    </xf>
    <xf numFmtId="0" fontId="15" fillId="36" borderId="11" xfId="0" applyFont="1" applyFill="1" applyBorder="1" applyAlignment="1">
      <alignment horizontal="center" vertical="center"/>
    </xf>
    <xf numFmtId="0" fontId="8" fillId="36" borderId="6" xfId="0" applyFont="1" applyFill="1" applyBorder="1" applyAlignment="1">
      <alignment horizontal="center" vertical="center"/>
    </xf>
    <xf numFmtId="0" fontId="29" fillId="36" borderId="6" xfId="0" applyFont="1" applyFill="1" applyBorder="1" applyAlignment="1">
      <alignment horizontal="center" vertical="center"/>
    </xf>
    <xf numFmtId="0" fontId="29" fillId="37" borderId="6" xfId="0" applyFont="1" applyFill="1" applyBorder="1" applyAlignment="1">
      <alignment horizontal="center" vertical="center"/>
    </xf>
    <xf numFmtId="0" fontId="14" fillId="38" borderId="11" xfId="0" applyFont="1" applyFill="1" applyBorder="1" applyAlignment="1">
      <alignment horizontal="center" vertical="center"/>
    </xf>
    <xf numFmtId="0" fontId="14" fillId="39" borderId="11" xfId="0" applyFont="1" applyFill="1" applyBorder="1" applyAlignment="1">
      <alignment horizontal="center" vertical="center"/>
    </xf>
    <xf numFmtId="0" fontId="8" fillId="25" borderId="11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15" fillId="25" borderId="11" xfId="0" applyFont="1" applyFill="1" applyBorder="1" applyAlignment="1">
      <alignment horizontal="center" vertical="center"/>
    </xf>
    <xf numFmtId="0" fontId="9" fillId="25" borderId="11" xfId="0" applyFont="1" applyFill="1" applyBorder="1" applyAlignment="1">
      <alignment horizontal="center" vertical="center"/>
    </xf>
    <xf numFmtId="0" fontId="12" fillId="25" borderId="11" xfId="0" applyFont="1" applyFill="1" applyBorder="1" applyAlignment="1">
      <alignment horizontal="center" vertical="center"/>
    </xf>
    <xf numFmtId="0" fontId="13" fillId="25" borderId="11" xfId="0" applyFont="1" applyFill="1" applyBorder="1" applyAlignment="1">
      <alignment horizontal="center" vertical="center"/>
    </xf>
    <xf numFmtId="0" fontId="13" fillId="25" borderId="6" xfId="0" applyFont="1" applyFill="1" applyBorder="1" applyAlignment="1">
      <alignment horizontal="center" vertical="center"/>
    </xf>
    <xf numFmtId="0" fontId="18" fillId="25" borderId="11" xfId="0" applyFont="1" applyFill="1" applyBorder="1" applyAlignment="1">
      <alignment horizontal="center" vertical="center"/>
    </xf>
    <xf numFmtId="0" fontId="11" fillId="25" borderId="11" xfId="0" applyFont="1" applyFill="1" applyBorder="1" applyAlignment="1">
      <alignment horizontal="center" vertical="center"/>
    </xf>
    <xf numFmtId="0" fontId="31" fillId="25" borderId="1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3" fillId="36" borderId="11" xfId="0" applyFont="1" applyFill="1" applyBorder="1" applyAlignment="1">
      <alignment horizontal="center" vertical="center"/>
    </xf>
    <xf numFmtId="0" fontId="13" fillId="36" borderId="6" xfId="0" applyFont="1" applyFill="1" applyBorder="1" applyAlignment="1">
      <alignment horizontal="center" vertical="center"/>
    </xf>
    <xf numFmtId="0" fontId="30" fillId="36" borderId="6" xfId="0" applyFont="1" applyFill="1" applyBorder="1" applyAlignment="1">
      <alignment horizontal="center" vertical="center"/>
    </xf>
    <xf numFmtId="0" fontId="30" fillId="37" borderId="6" xfId="0" applyFont="1" applyFill="1" applyBorder="1" applyAlignment="1">
      <alignment horizontal="center" vertical="center"/>
    </xf>
    <xf numFmtId="0" fontId="18" fillId="36" borderId="11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3" fillId="11" borderId="11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center" vertical="center"/>
    </xf>
    <xf numFmtId="0" fontId="30" fillId="11" borderId="6" xfId="0" applyFont="1" applyFill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29" fillId="5" borderId="6" xfId="0" applyFont="1" applyFill="1" applyBorder="1" applyAlignment="1">
      <alignment horizontal="center" vertical="center"/>
    </xf>
    <xf numFmtId="0" fontId="29" fillId="5" borderId="23" xfId="0" applyFont="1" applyFill="1" applyBorder="1" applyAlignment="1">
      <alignment horizontal="center" vertical="center"/>
    </xf>
    <xf numFmtId="16" fontId="29" fillId="5" borderId="23" xfId="0" applyNumberFormat="1" applyFont="1" applyFill="1" applyBorder="1" applyAlignment="1">
      <alignment horizontal="center" vertical="center"/>
    </xf>
    <xf numFmtId="1" fontId="32" fillId="13" borderId="25" xfId="0" applyNumberFormat="1" applyFont="1" applyFill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1" fontId="32" fillId="2" borderId="25" xfId="0" applyNumberFormat="1" applyFont="1" applyFill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1" fontId="29" fillId="10" borderId="25" xfId="0" applyNumberFormat="1" applyFont="1" applyFill="1" applyBorder="1" applyAlignment="1">
      <alignment horizontal="center" vertical="center"/>
    </xf>
    <xf numFmtId="1" fontId="32" fillId="18" borderId="25" xfId="0" applyNumberFormat="1" applyFont="1" applyFill="1" applyBorder="1" applyAlignment="1">
      <alignment horizontal="center" vertical="center"/>
    </xf>
    <xf numFmtId="1" fontId="29" fillId="4" borderId="25" xfId="0" applyNumberFormat="1" applyFont="1" applyFill="1" applyBorder="1" applyAlignment="1">
      <alignment horizontal="center" vertical="center"/>
    </xf>
    <xf numFmtId="1" fontId="29" fillId="16" borderId="25" xfId="0" applyNumberFormat="1" applyFont="1" applyFill="1" applyBorder="1" applyAlignment="1">
      <alignment horizontal="center" vertical="center"/>
    </xf>
    <xf numFmtId="1" fontId="32" fillId="15" borderId="25" xfId="0" applyNumberFormat="1" applyFont="1" applyFill="1" applyBorder="1" applyAlignment="1">
      <alignment horizontal="center" vertical="center"/>
    </xf>
    <xf numFmtId="1" fontId="34" fillId="19" borderId="25" xfId="0" applyNumberFormat="1" applyFont="1" applyFill="1" applyBorder="1" applyAlignment="1">
      <alignment horizontal="center" vertical="center"/>
    </xf>
    <xf numFmtId="1" fontId="29" fillId="17" borderId="25" xfId="0" applyNumberFormat="1" applyFont="1" applyFill="1" applyBorder="1" applyAlignment="1">
      <alignment horizontal="center" vertical="center"/>
    </xf>
    <xf numFmtId="1" fontId="29" fillId="5" borderId="25" xfId="0" applyNumberFormat="1" applyFont="1" applyFill="1" applyBorder="1" applyAlignment="1">
      <alignment horizontal="center" vertical="center"/>
    </xf>
    <xf numFmtId="1" fontId="32" fillId="12" borderId="25" xfId="0" applyNumberFormat="1" applyFont="1" applyFill="1" applyBorder="1" applyAlignment="1">
      <alignment horizontal="center" vertical="center"/>
    </xf>
    <xf numFmtId="1" fontId="30" fillId="4" borderId="25" xfId="0" applyNumberFormat="1" applyFont="1" applyFill="1" applyBorder="1" applyAlignment="1">
      <alignment horizontal="center" vertical="center"/>
    </xf>
    <xf numFmtId="1" fontId="32" fillId="20" borderId="25" xfId="0" applyNumberFormat="1" applyFont="1" applyFill="1" applyBorder="1" applyAlignment="1">
      <alignment horizontal="center" vertical="center"/>
    </xf>
    <xf numFmtId="1" fontId="32" fillId="21" borderId="25" xfId="0" applyNumberFormat="1" applyFont="1" applyFill="1" applyBorder="1" applyAlignment="1">
      <alignment horizontal="center" vertical="center"/>
    </xf>
    <xf numFmtId="1" fontId="30" fillId="22" borderId="25" xfId="0" applyNumberFormat="1" applyFont="1" applyFill="1" applyBorder="1" applyAlignment="1">
      <alignment horizontal="center" vertical="center"/>
    </xf>
    <xf numFmtId="1" fontId="32" fillId="23" borderId="25" xfId="0" applyNumberFormat="1" applyFont="1" applyFill="1" applyBorder="1" applyAlignment="1">
      <alignment horizontal="center" vertical="center"/>
    </xf>
    <xf numFmtId="1" fontId="32" fillId="24" borderId="25" xfId="0" applyNumberFormat="1" applyFont="1" applyFill="1" applyBorder="1" applyAlignment="1">
      <alignment horizontal="center" vertical="center"/>
    </xf>
    <xf numFmtId="1" fontId="30" fillId="25" borderId="25" xfId="0" applyNumberFormat="1" applyFont="1" applyFill="1" applyBorder="1" applyAlignment="1">
      <alignment horizontal="center" vertical="center"/>
    </xf>
    <xf numFmtId="1" fontId="32" fillId="26" borderId="25" xfId="0" applyNumberFormat="1" applyFont="1" applyFill="1" applyBorder="1" applyAlignment="1">
      <alignment horizontal="center" vertical="center"/>
    </xf>
    <xf numFmtId="1" fontId="32" fillId="27" borderId="25" xfId="0" applyNumberFormat="1" applyFont="1" applyFill="1" applyBorder="1" applyAlignment="1">
      <alignment horizontal="center" vertical="center"/>
    </xf>
    <xf numFmtId="1" fontId="30" fillId="28" borderId="25" xfId="0" applyNumberFormat="1" applyFont="1" applyFill="1" applyBorder="1" applyAlignment="1">
      <alignment horizontal="center" vertical="center"/>
    </xf>
    <xf numFmtId="1" fontId="32" fillId="29" borderId="25" xfId="0" applyNumberFormat="1" applyFont="1" applyFill="1" applyBorder="1" applyAlignment="1">
      <alignment horizontal="center" vertical="center"/>
    </xf>
    <xf numFmtId="1" fontId="32" fillId="30" borderId="25" xfId="0" applyNumberFormat="1" applyFont="1" applyFill="1" applyBorder="1" applyAlignment="1">
      <alignment horizontal="center" vertical="center"/>
    </xf>
    <xf numFmtId="16" fontId="29" fillId="5" borderId="6" xfId="0" applyNumberFormat="1" applyFont="1" applyFill="1" applyBorder="1" applyAlignment="1">
      <alignment horizontal="center" vertical="center"/>
    </xf>
    <xf numFmtId="1" fontId="32" fillId="13" borderId="6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29" fillId="5" borderId="6" xfId="0" applyNumberFormat="1" applyFont="1" applyFill="1" applyBorder="1" applyAlignment="1">
      <alignment horizontal="center" vertical="center"/>
    </xf>
    <xf numFmtId="1" fontId="32" fillId="15" borderId="6" xfId="0" applyNumberFormat="1" applyFont="1" applyFill="1" applyBorder="1" applyAlignment="1">
      <alignment horizontal="center" vertical="center"/>
    </xf>
    <xf numFmtId="1" fontId="29" fillId="10" borderId="6" xfId="0" applyNumberFormat="1" applyFont="1" applyFill="1" applyBorder="1" applyAlignment="1">
      <alignment horizontal="center" vertical="center"/>
    </xf>
    <xf numFmtId="1" fontId="32" fillId="2" borderId="6" xfId="0" applyNumberFormat="1" applyFont="1" applyFill="1" applyBorder="1" applyAlignment="1">
      <alignment horizontal="center" vertical="center"/>
    </xf>
    <xf numFmtId="1" fontId="32" fillId="12" borderId="6" xfId="0" applyNumberFormat="1" applyFont="1" applyFill="1" applyBorder="1" applyAlignment="1">
      <alignment horizontal="center" vertical="center"/>
    </xf>
    <xf numFmtId="1" fontId="29" fillId="4" borderId="6" xfId="0" applyNumberFormat="1" applyFont="1" applyFill="1" applyBorder="1" applyAlignment="1">
      <alignment horizontal="center" vertical="center"/>
    </xf>
    <xf numFmtId="1" fontId="29" fillId="16" borderId="6" xfId="0" applyNumberFormat="1" applyFont="1" applyFill="1" applyBorder="1" applyAlignment="1">
      <alignment horizontal="center" vertical="center"/>
    </xf>
    <xf numFmtId="1" fontId="29" fillId="17" borderId="6" xfId="0" applyNumberFormat="1" applyFont="1" applyFill="1" applyBorder="1" applyAlignment="1">
      <alignment horizontal="center" vertical="center"/>
    </xf>
    <xf numFmtId="1" fontId="32" fillId="18" borderId="6" xfId="0" applyNumberFormat="1" applyFont="1" applyFill="1" applyBorder="1" applyAlignment="1">
      <alignment horizontal="center" vertical="center"/>
    </xf>
    <xf numFmtId="0" fontId="35" fillId="35" borderId="0" xfId="0" applyFont="1" applyFill="1" applyAlignment="1">
      <alignment horizontal="center"/>
    </xf>
    <xf numFmtId="0" fontId="36" fillId="14" borderId="24" xfId="2" applyFont="1" applyAlignment="1">
      <alignment horizontal="center" vertical="center"/>
    </xf>
    <xf numFmtId="164" fontId="33" fillId="0" borderId="0" xfId="0" applyNumberFormat="1" applyFont="1" applyAlignment="1">
      <alignment horizontal="center" vertical="center"/>
    </xf>
    <xf numFmtId="164" fontId="33" fillId="0" borderId="0" xfId="0" applyNumberFormat="1" applyFont="1" applyAlignment="1">
      <alignment horizontal="center"/>
    </xf>
    <xf numFmtId="164" fontId="33" fillId="0" borderId="11" xfId="0" applyNumberFormat="1" applyFont="1" applyBorder="1" applyAlignment="1">
      <alignment horizontal="center" vertical="center"/>
    </xf>
    <xf numFmtId="164" fontId="29" fillId="0" borderId="11" xfId="0" applyNumberFormat="1" applyFont="1" applyBorder="1" applyAlignment="1">
      <alignment horizontal="center" vertical="center"/>
    </xf>
    <xf numFmtId="0" fontId="37" fillId="35" borderId="0" xfId="0" applyFont="1" applyFill="1" applyAlignment="1">
      <alignment horizontal="center"/>
    </xf>
    <xf numFmtId="0" fontId="36" fillId="14" borderId="28" xfId="2" applyFont="1" applyBorder="1" applyAlignment="1">
      <alignment horizontal="center" vertical="center"/>
    </xf>
    <xf numFmtId="1" fontId="32" fillId="31" borderId="25" xfId="0" applyNumberFormat="1" applyFont="1" applyFill="1" applyBorder="1" applyAlignment="1">
      <alignment horizontal="center" vertical="center"/>
    </xf>
    <xf numFmtId="1" fontId="32" fillId="8" borderId="25" xfId="0" applyNumberFormat="1" applyFont="1" applyFill="1" applyBorder="1" applyAlignment="1">
      <alignment horizontal="center" vertical="center"/>
    </xf>
    <xf numFmtId="1" fontId="30" fillId="32" borderId="25" xfId="0" applyNumberFormat="1" applyFont="1" applyFill="1" applyBorder="1" applyAlignment="1">
      <alignment horizontal="center" vertical="center"/>
    </xf>
    <xf numFmtId="1" fontId="30" fillId="33" borderId="25" xfId="0" applyNumberFormat="1" applyFont="1" applyFill="1" applyBorder="1" applyAlignment="1">
      <alignment horizontal="center" vertical="center"/>
    </xf>
    <xf numFmtId="1" fontId="32" fillId="34" borderId="27" xfId="0" applyNumberFormat="1" applyFont="1" applyFill="1" applyBorder="1" applyAlignment="1">
      <alignment horizontal="center" vertical="center"/>
    </xf>
    <xf numFmtId="0" fontId="37" fillId="35" borderId="0" xfId="0" applyFont="1" applyFill="1" applyAlignment="1">
      <alignment horizontal="center" vertical="center"/>
    </xf>
    <xf numFmtId="0" fontId="35" fillId="35" borderId="0" xfId="0" applyFont="1" applyFill="1" applyAlignment="1">
      <alignment horizontal="center" vertical="center"/>
    </xf>
    <xf numFmtId="1" fontId="34" fillId="19" borderId="6" xfId="0" applyNumberFormat="1" applyFont="1" applyFill="1" applyBorder="1" applyAlignment="1">
      <alignment horizontal="center" vertical="center"/>
    </xf>
    <xf numFmtId="1" fontId="30" fillId="4" borderId="6" xfId="0" applyNumberFormat="1" applyFont="1" applyFill="1" applyBorder="1" applyAlignment="1">
      <alignment horizontal="center" vertical="center"/>
    </xf>
    <xf numFmtId="1" fontId="32" fillId="20" borderId="6" xfId="0" applyNumberFormat="1" applyFont="1" applyFill="1" applyBorder="1" applyAlignment="1">
      <alignment horizontal="center" vertical="center"/>
    </xf>
    <xf numFmtId="1" fontId="32" fillId="21" borderId="6" xfId="0" applyNumberFormat="1" applyFont="1" applyFill="1" applyBorder="1" applyAlignment="1">
      <alignment horizontal="center" vertical="center"/>
    </xf>
    <xf numFmtId="1" fontId="30" fillId="22" borderId="6" xfId="0" applyNumberFormat="1" applyFont="1" applyFill="1" applyBorder="1" applyAlignment="1">
      <alignment horizontal="center" vertical="center"/>
    </xf>
    <xf numFmtId="1" fontId="32" fillId="23" borderId="6" xfId="0" applyNumberFormat="1" applyFont="1" applyFill="1" applyBorder="1" applyAlignment="1">
      <alignment horizontal="center" vertical="center"/>
    </xf>
    <xf numFmtId="1" fontId="32" fillId="24" borderId="6" xfId="0" applyNumberFormat="1" applyFont="1" applyFill="1" applyBorder="1" applyAlignment="1">
      <alignment horizontal="center" vertical="center"/>
    </xf>
    <xf numFmtId="1" fontId="30" fillId="25" borderId="6" xfId="0" applyNumberFormat="1" applyFont="1" applyFill="1" applyBorder="1" applyAlignment="1">
      <alignment horizontal="center" vertical="center"/>
    </xf>
    <xf numFmtId="1" fontId="32" fillId="26" borderId="6" xfId="0" applyNumberFormat="1" applyFont="1" applyFill="1" applyBorder="1" applyAlignment="1">
      <alignment horizontal="center" vertical="center"/>
    </xf>
    <xf numFmtId="1" fontId="32" fillId="27" borderId="6" xfId="0" applyNumberFormat="1" applyFont="1" applyFill="1" applyBorder="1" applyAlignment="1">
      <alignment horizontal="center" vertical="center"/>
    </xf>
    <xf numFmtId="1" fontId="30" fillId="28" borderId="6" xfId="0" applyNumberFormat="1" applyFont="1" applyFill="1" applyBorder="1" applyAlignment="1">
      <alignment horizontal="center" vertical="center"/>
    </xf>
    <xf numFmtId="1" fontId="32" fillId="29" borderId="6" xfId="0" applyNumberFormat="1" applyFont="1" applyFill="1" applyBorder="1" applyAlignment="1">
      <alignment horizontal="center" vertical="center"/>
    </xf>
    <xf numFmtId="1" fontId="32" fillId="30" borderId="6" xfId="0" applyNumberFormat="1" applyFont="1" applyFill="1" applyBorder="1" applyAlignment="1">
      <alignment horizontal="center" vertical="center"/>
    </xf>
    <xf numFmtId="1" fontId="32" fillId="31" borderId="6" xfId="0" applyNumberFormat="1" applyFont="1" applyFill="1" applyBorder="1" applyAlignment="1">
      <alignment horizontal="center" vertical="center"/>
    </xf>
    <xf numFmtId="1" fontId="32" fillId="8" borderId="6" xfId="0" applyNumberFormat="1" applyFont="1" applyFill="1" applyBorder="1" applyAlignment="1">
      <alignment horizontal="center" vertical="center"/>
    </xf>
    <xf numFmtId="1" fontId="30" fillId="32" borderId="6" xfId="0" applyNumberFormat="1" applyFont="1" applyFill="1" applyBorder="1" applyAlignment="1">
      <alignment horizontal="center" vertical="center"/>
    </xf>
    <xf numFmtId="1" fontId="30" fillId="33" borderId="6" xfId="0" applyNumberFormat="1" applyFont="1" applyFill="1" applyBorder="1" applyAlignment="1">
      <alignment horizontal="center" vertical="center"/>
    </xf>
    <xf numFmtId="1" fontId="32" fillId="34" borderId="23" xfId="0" applyNumberFormat="1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" fontId="32" fillId="8" borderId="6" xfId="0" applyNumberFormat="1" applyFont="1" applyFill="1" applyBorder="1" applyAlignment="1">
      <alignment horizontal="center"/>
    </xf>
    <xf numFmtId="1" fontId="30" fillId="32" borderId="6" xfId="0" applyNumberFormat="1" applyFont="1" applyFill="1" applyBorder="1" applyAlignment="1">
      <alignment horizontal="center"/>
    </xf>
    <xf numFmtId="1" fontId="30" fillId="33" borderId="6" xfId="0" applyNumberFormat="1" applyFont="1" applyFill="1" applyBorder="1" applyAlignment="1">
      <alignment horizontal="center"/>
    </xf>
    <xf numFmtId="1" fontId="32" fillId="34" borderId="23" xfId="0" applyNumberFormat="1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31" fillId="11" borderId="11" xfId="0" applyFont="1" applyFill="1" applyBorder="1" applyAlignment="1">
      <alignment horizontal="center" vertical="center"/>
    </xf>
    <xf numFmtId="1" fontId="24" fillId="34" borderId="2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5" borderId="11" xfId="0" applyFont="1" applyFill="1" applyBorder="1" applyAlignment="1">
      <alignment horizontal="center"/>
    </xf>
    <xf numFmtId="0" fontId="15" fillId="11" borderId="11" xfId="0" applyFont="1" applyFill="1" applyBorder="1" applyAlignment="1">
      <alignment horizontal="center" vertical="center"/>
    </xf>
    <xf numFmtId="0" fontId="29" fillId="40" borderId="6" xfId="0" applyFont="1" applyFill="1" applyBorder="1" applyAlignment="1">
      <alignment horizontal="center" vertical="center"/>
    </xf>
    <xf numFmtId="1" fontId="29" fillId="2" borderId="25" xfId="0" applyNumberFormat="1" applyFont="1" applyFill="1" applyBorder="1" applyAlignment="1">
      <alignment horizontal="center" vertical="center"/>
    </xf>
    <xf numFmtId="1" fontId="29" fillId="13" borderId="25" xfId="0" applyNumberFormat="1" applyFont="1" applyFill="1" applyBorder="1" applyAlignment="1">
      <alignment horizontal="center" vertical="center"/>
    </xf>
    <xf numFmtId="0" fontId="33" fillId="41" borderId="11" xfId="0" applyFont="1" applyFill="1" applyBorder="1" applyAlignment="1">
      <alignment horizontal="center" vertical="center"/>
    </xf>
    <xf numFmtId="164" fontId="33" fillId="41" borderId="11" xfId="0" applyNumberFormat="1" applyFont="1" applyFill="1" applyBorder="1" applyAlignment="1">
      <alignment horizontal="center" vertical="center"/>
    </xf>
    <xf numFmtId="0" fontId="38" fillId="37" borderId="6" xfId="0" applyFont="1" applyFill="1" applyBorder="1" applyAlignment="1">
      <alignment horizontal="center" vertical="center"/>
    </xf>
    <xf numFmtId="0" fontId="8" fillId="11" borderId="11" xfId="6" applyFont="1" applyFill="1" applyBorder="1" applyAlignment="1">
      <alignment horizontal="center" vertical="center"/>
    </xf>
    <xf numFmtId="0" fontId="8" fillId="11" borderId="11" xfId="3" applyFont="1" applyFill="1" applyBorder="1" applyAlignment="1">
      <alignment horizontal="center" vertical="center"/>
    </xf>
    <xf numFmtId="0" fontId="29" fillId="11" borderId="6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0" fillId="40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1" fontId="29" fillId="11" borderId="6" xfId="0" applyNumberFormat="1" applyFont="1" applyFill="1" applyBorder="1" applyAlignment="1">
      <alignment horizontal="center" vertical="center"/>
    </xf>
    <xf numFmtId="1" fontId="29" fillId="11" borderId="23" xfId="0" applyNumberFormat="1" applyFont="1" applyFill="1" applyBorder="1" applyAlignment="1">
      <alignment horizontal="center" vertical="center"/>
    </xf>
    <xf numFmtId="0" fontId="16" fillId="11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2" xfId="0" applyFont="1" applyFill="1" applyBorder="1" applyAlignment="1">
      <alignment horizontal="center" vertical="center"/>
    </xf>
    <xf numFmtId="0" fontId="13" fillId="5" borderId="13" xfId="0" applyFont="1" applyFill="1" applyBorder="1" applyAlignment="1">
      <alignment horizontal="center" vertical="center"/>
    </xf>
    <xf numFmtId="0" fontId="16" fillId="36" borderId="12" xfId="0" applyFont="1" applyFill="1" applyBorder="1" applyAlignment="1">
      <alignment horizontal="center" vertical="center"/>
    </xf>
    <xf numFmtId="0" fontId="16" fillId="36" borderId="13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5" borderId="19" xfId="0" applyFont="1" applyFill="1" applyBorder="1" applyAlignment="1">
      <alignment horizontal="center" vertical="center"/>
    </xf>
    <xf numFmtId="0" fontId="16" fillId="36" borderId="1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4" fillId="7" borderId="14" xfId="0" applyFont="1" applyFill="1" applyBorder="1" applyAlignment="1">
      <alignment horizontal="center" wrapText="1"/>
    </xf>
    <xf numFmtId="0" fontId="14" fillId="7" borderId="15" xfId="0" applyFont="1" applyFill="1" applyBorder="1" applyAlignment="1">
      <alignment horizontal="center"/>
    </xf>
    <xf numFmtId="0" fontId="14" fillId="7" borderId="16" xfId="0" applyFont="1" applyFill="1" applyBorder="1" applyAlignment="1">
      <alignment horizontal="center"/>
    </xf>
    <xf numFmtId="0" fontId="14" fillId="7" borderId="17" xfId="0" applyFont="1" applyFill="1" applyBorder="1" applyAlignment="1">
      <alignment horizontal="center"/>
    </xf>
    <xf numFmtId="0" fontId="14" fillId="7" borderId="0" xfId="0" applyFont="1" applyFill="1" applyAlignment="1">
      <alignment horizontal="center"/>
    </xf>
    <xf numFmtId="0" fontId="14" fillId="7" borderId="18" xfId="0" applyFont="1" applyFill="1" applyBorder="1" applyAlignment="1">
      <alignment horizontal="center"/>
    </xf>
    <xf numFmtId="0" fontId="14" fillId="7" borderId="19" xfId="0" applyFont="1" applyFill="1" applyBorder="1" applyAlignment="1">
      <alignment horizontal="center"/>
    </xf>
    <xf numFmtId="0" fontId="14" fillId="7" borderId="20" xfId="0" applyFont="1" applyFill="1" applyBorder="1" applyAlignment="1">
      <alignment horizontal="center"/>
    </xf>
    <xf numFmtId="0" fontId="14" fillId="7" borderId="21" xfId="0" applyFont="1" applyFill="1" applyBorder="1" applyAlignment="1">
      <alignment horizontal="center"/>
    </xf>
    <xf numFmtId="0" fontId="11" fillId="5" borderId="11" xfId="0" applyFont="1" applyFill="1" applyBorder="1" applyAlignment="1">
      <alignment horizontal="center" vertical="center"/>
    </xf>
    <xf numFmtId="0" fontId="26" fillId="35" borderId="25" xfId="0" applyFont="1" applyFill="1" applyBorder="1" applyAlignment="1">
      <alignment horizontal="center" vertical="center"/>
    </xf>
    <xf numFmtId="0" fontId="26" fillId="35" borderId="26" xfId="0" applyFont="1" applyFill="1" applyBorder="1" applyAlignment="1">
      <alignment horizontal="center" vertical="center"/>
    </xf>
    <xf numFmtId="0" fontId="26" fillId="35" borderId="2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6" fillId="35" borderId="25" xfId="0" applyFont="1" applyFill="1" applyBorder="1" applyAlignment="1">
      <alignment horizontal="center" vertical="center" wrapText="1"/>
    </xf>
    <xf numFmtId="0" fontId="14" fillId="7" borderId="14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7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14" fillId="7" borderId="19" xfId="0" applyFont="1" applyFill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0" fillId="25" borderId="11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6" fillId="25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3" fillId="36" borderId="11" xfId="0" applyFont="1" applyFill="1" applyBorder="1" applyAlignment="1">
      <alignment horizontal="center" vertical="center"/>
    </xf>
    <xf numFmtId="0" fontId="13" fillId="11" borderId="11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10" fillId="11" borderId="11" xfId="0" applyFont="1" applyFill="1" applyBorder="1" applyAlignment="1">
      <alignment horizontal="center" vertical="center"/>
    </xf>
    <xf numFmtId="0" fontId="8" fillId="11" borderId="11" xfId="0" applyFont="1" applyFill="1" applyBorder="1" applyAlignment="1">
      <alignment horizontal="center" vertical="center"/>
    </xf>
    <xf numFmtId="0" fontId="8" fillId="25" borderId="11" xfId="0" applyFont="1" applyFill="1" applyBorder="1" applyAlignment="1">
      <alignment horizontal="center" vertical="center"/>
    </xf>
    <xf numFmtId="0" fontId="13" fillId="25" borderId="11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</cellXfs>
  <cellStyles count="7">
    <cellStyle name="Millares [0]" xfId="1" builtinId="6"/>
    <cellStyle name="Millares [0] 2" xfId="5" xr:uid="{00000000-0005-0000-0000-000001000000}"/>
    <cellStyle name="Normal" xfId="0" builtinId="0"/>
    <cellStyle name="Normal 2" xfId="6" xr:uid="{00000000-0005-0000-0000-000003000000}"/>
    <cellStyle name="Normal 3" xfId="4" xr:uid="{00000000-0005-0000-0000-000004000000}"/>
    <cellStyle name="Normal 4" xfId="3" xr:uid="{00000000-0005-0000-0000-000005000000}"/>
    <cellStyle name="Salida" xfId="2" builtinId="21"/>
  </cellStyles>
  <dxfs count="59">
    <dxf>
      <font>
        <b/>
        <i val="0"/>
      </font>
      <fill>
        <gradientFill degree="45">
          <stop position="0">
            <color theme="7" tint="0.59999389629810485"/>
          </stop>
          <stop position="1">
            <color theme="5" tint="0.40000610370189521"/>
          </stop>
        </gradientFill>
      </fill>
    </dxf>
    <dxf>
      <font>
        <b/>
        <i val="0"/>
        <color theme="0"/>
      </font>
      <fill>
        <gradientFill>
          <stop position="0">
            <color theme="2" tint="-0.25098422193060094"/>
          </stop>
          <stop position="1">
            <color theme="1"/>
          </stop>
        </gradientFill>
      </fill>
    </dxf>
    <dxf>
      <font>
        <b/>
        <i val="0"/>
      </font>
      <fill>
        <patternFill patternType="darkTrellis">
          <fgColor theme="7" tint="0.59996337778862885"/>
        </patternFill>
      </fill>
    </dxf>
    <dxf>
      <font>
        <b/>
        <i val="0"/>
        <strike val="0"/>
        <color theme="1"/>
      </font>
      <fill>
        <patternFill patternType="mediumGray">
          <fgColor theme="4" tint="0.59996337778862885"/>
        </patternFill>
      </fill>
    </dxf>
    <dxf>
      <font>
        <b/>
        <i/>
        <color theme="0"/>
      </font>
      <fill>
        <gradientFill type="path">
          <stop position="0">
            <color theme="1" tint="0.34900967436750391"/>
          </stop>
          <stop position="1">
            <color rgb="FFFF0000"/>
          </stop>
        </gradientFill>
      </fill>
    </dxf>
    <dxf>
      <font>
        <b/>
        <i val="0"/>
      </font>
      <fill>
        <gradientFill degree="45">
          <stop position="0">
            <color theme="7" tint="0.59999389629810485"/>
          </stop>
          <stop position="1">
            <color theme="5" tint="0.40000610370189521"/>
          </stop>
        </gradientFill>
      </fill>
    </dxf>
    <dxf>
      <font>
        <b/>
        <i val="0"/>
        <color theme="0"/>
      </font>
      <fill>
        <gradientFill>
          <stop position="0">
            <color theme="2" tint="-0.25098422193060094"/>
          </stop>
          <stop position="1">
            <color theme="1"/>
          </stop>
        </gradientFill>
      </fill>
    </dxf>
    <dxf>
      <font>
        <b/>
        <i val="0"/>
      </font>
      <fill>
        <patternFill patternType="darkTrellis">
          <fgColor theme="7" tint="0.59996337778862885"/>
        </patternFill>
      </fill>
    </dxf>
    <dxf>
      <font>
        <b/>
        <i val="0"/>
        <strike val="0"/>
        <color theme="1"/>
      </font>
      <fill>
        <patternFill patternType="mediumGray">
          <fgColor theme="4" tint="0.59996337778862885"/>
        </patternFill>
      </fill>
    </dxf>
    <dxf>
      <font>
        <b/>
        <i/>
        <color theme="0"/>
      </font>
      <fill>
        <gradientFill type="path">
          <stop position="0">
            <color theme="1" tint="0.34900967436750391"/>
          </stop>
          <stop position="1">
            <color rgb="FFFF0000"/>
          </stop>
        </gradientFill>
      </fill>
    </dxf>
    <dxf>
      <font>
        <b/>
        <i val="0"/>
      </font>
      <fill>
        <gradientFill degree="45">
          <stop position="0">
            <color theme="7" tint="0.59999389629810485"/>
          </stop>
          <stop position="1">
            <color theme="5" tint="0.40000610370189521"/>
          </stop>
        </gradientFill>
      </fill>
    </dxf>
    <dxf>
      <font>
        <b/>
        <i val="0"/>
        <color theme="0"/>
      </font>
      <fill>
        <gradientFill>
          <stop position="0">
            <color theme="2" tint="-0.25098422193060094"/>
          </stop>
          <stop position="1">
            <color theme="1"/>
          </stop>
        </gradientFill>
      </fill>
    </dxf>
    <dxf>
      <font>
        <b/>
        <i val="0"/>
      </font>
      <fill>
        <patternFill patternType="darkTrellis">
          <fgColor theme="7" tint="0.59996337778862885"/>
        </patternFill>
      </fill>
    </dxf>
    <dxf>
      <font>
        <b/>
        <i val="0"/>
        <strike val="0"/>
        <color theme="1"/>
      </font>
      <fill>
        <patternFill patternType="mediumGray">
          <fgColor theme="4" tint="0.59996337778862885"/>
        </patternFill>
      </fill>
    </dxf>
    <dxf>
      <font>
        <b/>
        <i/>
        <color theme="0"/>
      </font>
      <fill>
        <gradientFill type="path">
          <stop position="0">
            <color theme="1" tint="0.34900967436750391"/>
          </stop>
          <stop position="1">
            <color rgb="FFFF0000"/>
          </stop>
        </gradient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</font>
      <fill>
        <gradientFill degree="45">
          <stop position="0">
            <color theme="7" tint="0.59999389629810485"/>
          </stop>
          <stop position="1">
            <color theme="5" tint="0.40000610370189521"/>
          </stop>
        </gradientFill>
      </fill>
    </dxf>
    <dxf>
      <font>
        <b/>
        <i val="0"/>
        <color theme="0"/>
      </font>
      <fill>
        <gradientFill>
          <stop position="0">
            <color theme="2" tint="-0.25098422193060094"/>
          </stop>
          <stop position="1">
            <color theme="1"/>
          </stop>
        </gradientFill>
      </fill>
    </dxf>
    <dxf>
      <font>
        <b/>
        <i val="0"/>
      </font>
      <fill>
        <patternFill patternType="darkTrellis">
          <fgColor theme="7" tint="0.59996337778862885"/>
        </patternFill>
      </fill>
    </dxf>
    <dxf>
      <font>
        <b/>
        <i val="0"/>
        <strike val="0"/>
        <color theme="1"/>
      </font>
      <fill>
        <patternFill patternType="mediumGray">
          <fgColor theme="4" tint="0.59996337778862885"/>
        </patternFill>
      </fill>
    </dxf>
    <dxf>
      <font>
        <b/>
        <i/>
        <color theme="0"/>
      </font>
      <fill>
        <gradientFill type="path">
          <stop position="0">
            <color theme="1" tint="0.34900967436750391"/>
          </stop>
          <stop position="1">
            <color rgb="FFFF0000"/>
          </stop>
        </gradientFill>
      </fill>
    </dxf>
    <dxf>
      <font>
        <b/>
        <i val="0"/>
      </font>
      <fill>
        <gradientFill degree="45">
          <stop position="0">
            <color theme="7" tint="0.59999389629810485"/>
          </stop>
          <stop position="1">
            <color theme="5" tint="0.40000610370189521"/>
          </stop>
        </gradientFill>
      </fill>
    </dxf>
    <dxf>
      <font>
        <b/>
        <i val="0"/>
        <color theme="0"/>
      </font>
      <fill>
        <gradientFill>
          <stop position="0">
            <color theme="2" tint="-0.25098422193060094"/>
          </stop>
          <stop position="1">
            <color theme="1"/>
          </stop>
        </gradientFill>
      </fill>
    </dxf>
    <dxf>
      <font>
        <b/>
        <i val="0"/>
      </font>
      <fill>
        <patternFill patternType="darkTrellis">
          <fgColor theme="7" tint="0.59996337778862885"/>
        </patternFill>
      </fill>
    </dxf>
    <dxf>
      <font>
        <b/>
        <i val="0"/>
        <strike val="0"/>
        <color theme="1"/>
      </font>
      <fill>
        <patternFill patternType="mediumGray">
          <fgColor theme="4" tint="0.59996337778862885"/>
        </patternFill>
      </fill>
    </dxf>
    <dxf>
      <font>
        <b/>
        <i/>
        <color theme="0"/>
      </font>
      <fill>
        <gradientFill type="path">
          <stop position="0">
            <color theme="1" tint="0.34900967436750391"/>
          </stop>
          <stop position="1">
            <color rgb="FFFF0000"/>
          </stop>
        </gradientFill>
      </fill>
    </dxf>
    <dxf>
      <font>
        <b/>
        <i val="0"/>
      </font>
      <fill>
        <gradientFill degree="45">
          <stop position="0">
            <color theme="7" tint="0.59999389629810485"/>
          </stop>
          <stop position="1">
            <color theme="5" tint="0.40000610370189521"/>
          </stop>
        </gradientFill>
      </fill>
    </dxf>
    <dxf>
      <font>
        <b/>
        <i val="0"/>
        <color theme="0"/>
      </font>
      <fill>
        <gradientFill>
          <stop position="0">
            <color theme="2" tint="-0.25098422193060094"/>
          </stop>
          <stop position="1">
            <color theme="1"/>
          </stop>
        </gradientFill>
      </fill>
    </dxf>
    <dxf>
      <font>
        <b/>
        <i val="0"/>
      </font>
      <fill>
        <patternFill patternType="darkTrellis">
          <fgColor theme="7" tint="0.59996337778862885"/>
        </patternFill>
      </fill>
    </dxf>
    <dxf>
      <font>
        <b/>
        <i val="0"/>
        <strike val="0"/>
        <color theme="1"/>
      </font>
      <fill>
        <patternFill patternType="mediumGray">
          <fgColor theme="4" tint="0.59996337778862885"/>
        </patternFill>
      </fill>
    </dxf>
    <dxf>
      <font>
        <b/>
        <i/>
        <color theme="0"/>
      </font>
      <fill>
        <gradientFill degree="135">
          <stop position="0">
            <color theme="1" tint="0.49803155613879818"/>
          </stop>
          <stop position="1">
            <color rgb="FFFF0000"/>
          </stop>
        </gradient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</font>
      <fill>
        <gradientFill degree="45">
          <stop position="0">
            <color theme="7" tint="0.59999389629810485"/>
          </stop>
          <stop position="1">
            <color theme="5" tint="0.40000610370189521"/>
          </stop>
        </gradientFill>
      </fill>
    </dxf>
    <dxf>
      <font>
        <b/>
        <i val="0"/>
        <color theme="0"/>
      </font>
      <fill>
        <gradientFill>
          <stop position="0">
            <color theme="2" tint="-0.25098422193060094"/>
          </stop>
          <stop position="1">
            <color theme="1"/>
          </stop>
        </gradientFill>
      </fill>
    </dxf>
    <dxf>
      <font>
        <b/>
        <i val="0"/>
      </font>
      <fill>
        <patternFill patternType="darkTrellis">
          <fgColor theme="7" tint="0.59996337778862885"/>
        </patternFill>
      </fill>
    </dxf>
    <dxf>
      <font>
        <b/>
        <i val="0"/>
        <strike val="0"/>
        <color theme="1"/>
      </font>
      <fill>
        <patternFill patternType="mediumGray">
          <fgColor theme="4" tint="0.59996337778862885"/>
        </patternFill>
      </fill>
    </dxf>
    <dxf>
      <font>
        <b/>
        <i/>
        <color theme="0"/>
      </font>
      <fill>
        <gradientFill type="path">
          <stop position="0">
            <color theme="1" tint="0.34900967436750391"/>
          </stop>
          <stop position="1">
            <color rgb="FFFF0000"/>
          </stop>
        </gradient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70AD47"/>
          <bgColor rgb="FF70AD47"/>
        </patternFill>
      </fill>
    </dxf>
  </dxfs>
  <tableStyles count="1">
    <tableStyle name="Tabla-style" pivot="0" count="3" xr9:uid="{00000000-0011-0000-FFFF-FFFF00000000}">
      <tableStyleElement type="headerRow" dxfId="58"/>
      <tableStyleElement type="firstRowStripe" dxfId="57"/>
      <tableStyleElement type="secondRowStripe" dxfId="56"/>
    </tableStyle>
  </tableStyles>
  <colors>
    <mruColors>
      <color rgb="FFCDF290"/>
      <color rgb="FF0E1F9A"/>
      <color rgb="FFFFFF99"/>
      <color rgb="FFB6CE50"/>
      <color rgb="FF3A6BE4"/>
      <color rgb="FFC95353"/>
      <color rgb="FF1C3703"/>
      <color rgb="FFEA1FFF"/>
      <color rgb="FFEE687B"/>
      <color rgb="FF6A81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504825</xdr:colOff>
          <xdr:row>0</xdr:row>
          <xdr:rowOff>133350</xdr:rowOff>
        </xdr:from>
        <xdr:to>
          <xdr:col>24</xdr:col>
          <xdr:colOff>76200</xdr:colOff>
          <xdr:row>1</xdr:row>
          <xdr:rowOff>276225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Tablas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1</xdr:row>
          <xdr:rowOff>19050</xdr:rowOff>
        </xdr:from>
        <xdr:to>
          <xdr:col>21</xdr:col>
          <xdr:colOff>76200</xdr:colOff>
          <xdr:row>1</xdr:row>
          <xdr:rowOff>266700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447675</xdr:colOff>
          <xdr:row>0</xdr:row>
          <xdr:rowOff>57150</xdr:rowOff>
        </xdr:from>
        <xdr:to>
          <xdr:col>19</xdr:col>
          <xdr:colOff>180975</xdr:colOff>
          <xdr:row>1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Tablas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0</xdr:row>
          <xdr:rowOff>85725</xdr:rowOff>
        </xdr:from>
        <xdr:to>
          <xdr:col>22</xdr:col>
          <xdr:colOff>409575</xdr:colOff>
          <xdr:row>1</xdr:row>
          <xdr:rowOff>276225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342900</xdr:colOff>
          <xdr:row>0</xdr:row>
          <xdr:rowOff>123825</xdr:rowOff>
        </xdr:from>
        <xdr:to>
          <xdr:col>22</xdr:col>
          <xdr:colOff>276225</xdr:colOff>
          <xdr:row>1</xdr:row>
          <xdr:rowOff>238125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Tablas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0</xdr:row>
          <xdr:rowOff>66675</xdr:rowOff>
        </xdr:from>
        <xdr:to>
          <xdr:col>20</xdr:col>
          <xdr:colOff>171450</xdr:colOff>
          <xdr:row>2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342900</xdr:colOff>
          <xdr:row>0</xdr:row>
          <xdr:rowOff>123825</xdr:rowOff>
        </xdr:from>
        <xdr:to>
          <xdr:col>22</xdr:col>
          <xdr:colOff>276225</xdr:colOff>
          <xdr:row>1</xdr:row>
          <xdr:rowOff>238125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Tablas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0</xdr:row>
          <xdr:rowOff>85725</xdr:rowOff>
        </xdr:from>
        <xdr:to>
          <xdr:col>19</xdr:col>
          <xdr:colOff>361950</xdr:colOff>
          <xdr:row>1</xdr:row>
          <xdr:rowOff>276225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342900</xdr:colOff>
          <xdr:row>0</xdr:row>
          <xdr:rowOff>123825</xdr:rowOff>
        </xdr:from>
        <xdr:to>
          <xdr:col>22</xdr:col>
          <xdr:colOff>276225</xdr:colOff>
          <xdr:row>1</xdr:row>
          <xdr:rowOff>238125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Tablas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0</xdr:row>
          <xdr:rowOff>114300</xdr:rowOff>
        </xdr:from>
        <xdr:to>
          <xdr:col>19</xdr:col>
          <xdr:colOff>409575</xdr:colOff>
          <xdr:row>1</xdr:row>
          <xdr:rowOff>276225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342900</xdr:colOff>
          <xdr:row>0</xdr:row>
          <xdr:rowOff>123825</xdr:rowOff>
        </xdr:from>
        <xdr:to>
          <xdr:col>22</xdr:col>
          <xdr:colOff>276225</xdr:colOff>
          <xdr:row>1</xdr:row>
          <xdr:rowOff>238125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Tablas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1</xdr:row>
          <xdr:rowOff>38100</xdr:rowOff>
        </xdr:from>
        <xdr:to>
          <xdr:col>20</xdr:col>
          <xdr:colOff>133350</xdr:colOff>
          <xdr:row>2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342900</xdr:colOff>
          <xdr:row>0</xdr:row>
          <xdr:rowOff>123825</xdr:rowOff>
        </xdr:from>
        <xdr:to>
          <xdr:col>22</xdr:col>
          <xdr:colOff>276225</xdr:colOff>
          <xdr:row>1</xdr:row>
          <xdr:rowOff>238125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Ordenar Tablas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133350</xdr:colOff>
          <xdr:row>0</xdr:row>
          <xdr:rowOff>85725</xdr:rowOff>
        </xdr:from>
        <xdr:to>
          <xdr:col>19</xdr:col>
          <xdr:colOff>400050</xdr:colOff>
          <xdr:row>2</xdr:row>
          <xdr:rowOff>38100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19050</xdr:rowOff>
        </xdr:from>
        <xdr:to>
          <xdr:col>2</xdr:col>
          <xdr:colOff>180975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volante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75"/>
  <sheetViews>
    <sheetView topLeftCell="A39" workbookViewId="0">
      <selection activeCell="B61" sqref="B61"/>
    </sheetView>
  </sheetViews>
  <sheetFormatPr baseColWidth="10" defaultColWidth="10.73046875" defaultRowHeight="14.25" x14ac:dyDescent="0.45"/>
  <cols>
    <col min="2" max="2" width="21.73046875" bestFit="1" customWidth="1"/>
    <col min="3" max="3" width="24.73046875" customWidth="1"/>
    <col min="4" max="4" width="24.86328125" customWidth="1"/>
    <col min="5" max="5" width="24.73046875" customWidth="1"/>
    <col min="6" max="6" width="23.59765625" customWidth="1"/>
    <col min="7" max="7" width="23.73046875" customWidth="1"/>
    <col min="8" max="8" width="22.3984375" customWidth="1"/>
    <col min="9" max="9" width="13.265625" customWidth="1"/>
    <col min="10" max="11" width="13" customWidth="1"/>
    <col min="12" max="12" width="13.59765625" customWidth="1"/>
    <col min="13" max="13" width="13.265625" customWidth="1"/>
    <col min="14" max="14" width="14" customWidth="1"/>
  </cols>
  <sheetData>
    <row r="1" spans="1:3" x14ac:dyDescent="0.45">
      <c r="A1" t="s">
        <v>0</v>
      </c>
    </row>
    <row r="2" spans="1:3" x14ac:dyDescent="0.45">
      <c r="A2">
        <v>1</v>
      </c>
      <c r="B2" s="9" t="s">
        <v>435</v>
      </c>
      <c r="C2" s="9"/>
    </row>
    <row r="3" spans="1:3" x14ac:dyDescent="0.45">
      <c r="A3">
        <v>2</v>
      </c>
      <c r="B3" s="9" t="s">
        <v>430</v>
      </c>
    </row>
    <row r="4" spans="1:3" x14ac:dyDescent="0.45">
      <c r="A4">
        <v>3</v>
      </c>
      <c r="B4" s="9" t="s">
        <v>432</v>
      </c>
      <c r="C4" s="9"/>
    </row>
    <row r="5" spans="1:3" x14ac:dyDescent="0.45">
      <c r="A5">
        <v>4</v>
      </c>
      <c r="B5" s="9" t="s">
        <v>433</v>
      </c>
      <c r="C5" s="9"/>
    </row>
    <row r="6" spans="1:3" x14ac:dyDescent="0.45">
      <c r="A6">
        <v>5</v>
      </c>
      <c r="B6" s="9" t="s">
        <v>431</v>
      </c>
      <c r="C6" s="9"/>
    </row>
    <row r="7" spans="1:3" x14ac:dyDescent="0.45">
      <c r="A7">
        <v>6</v>
      </c>
      <c r="B7" s="9" t="s">
        <v>436</v>
      </c>
    </row>
    <row r="8" spans="1:3" x14ac:dyDescent="0.45">
      <c r="A8">
        <v>7</v>
      </c>
      <c r="B8" s="9" t="s">
        <v>437</v>
      </c>
      <c r="C8" s="9"/>
    </row>
    <row r="9" spans="1:3" x14ac:dyDescent="0.45">
      <c r="A9">
        <v>8</v>
      </c>
      <c r="B9" s="9" t="s">
        <v>438</v>
      </c>
      <c r="C9" s="9"/>
    </row>
    <row r="10" spans="1:3" x14ac:dyDescent="0.45">
      <c r="A10">
        <v>9</v>
      </c>
      <c r="B10" s="9" t="s">
        <v>439</v>
      </c>
      <c r="C10" s="9"/>
    </row>
    <row r="11" spans="1:3" x14ac:dyDescent="0.45">
      <c r="A11">
        <v>10</v>
      </c>
      <c r="B11" s="9" t="s">
        <v>434</v>
      </c>
    </row>
    <row r="12" spans="1:3" x14ac:dyDescent="0.45">
      <c r="A12">
        <v>11</v>
      </c>
      <c r="B12" s="9"/>
      <c r="C12" s="9"/>
    </row>
    <row r="13" spans="1:3" x14ac:dyDescent="0.45">
      <c r="A13">
        <v>12</v>
      </c>
      <c r="B13" s="9"/>
      <c r="C13" s="9"/>
    </row>
    <row r="14" spans="1:3" x14ac:dyDescent="0.45">
      <c r="A14">
        <v>13</v>
      </c>
      <c r="B14" s="9"/>
      <c r="C14" s="9"/>
    </row>
    <row r="15" spans="1:3" x14ac:dyDescent="0.45">
      <c r="A15">
        <v>14</v>
      </c>
      <c r="B15" s="9"/>
    </row>
    <row r="16" spans="1:3" x14ac:dyDescent="0.45">
      <c r="A16">
        <v>15</v>
      </c>
      <c r="B16" s="9"/>
    </row>
    <row r="17" spans="1:3" x14ac:dyDescent="0.45">
      <c r="A17">
        <v>16</v>
      </c>
      <c r="B17" s="9"/>
    </row>
    <row r="18" spans="1:3" x14ac:dyDescent="0.45">
      <c r="A18">
        <v>17</v>
      </c>
      <c r="B18" s="9"/>
    </row>
    <row r="19" spans="1:3" x14ac:dyDescent="0.45">
      <c r="A19">
        <v>18</v>
      </c>
      <c r="B19" s="9"/>
    </row>
    <row r="20" spans="1:3" x14ac:dyDescent="0.45">
      <c r="A20">
        <v>19</v>
      </c>
      <c r="B20" s="9"/>
    </row>
    <row r="21" spans="1:3" x14ac:dyDescent="0.45">
      <c r="A21">
        <v>20</v>
      </c>
      <c r="B21" s="9"/>
    </row>
    <row r="22" spans="1:3" x14ac:dyDescent="0.45">
      <c r="A22">
        <v>21</v>
      </c>
      <c r="B22" s="9"/>
    </row>
    <row r="23" spans="1:3" x14ac:dyDescent="0.45">
      <c r="A23">
        <v>22</v>
      </c>
      <c r="B23" s="9"/>
    </row>
    <row r="24" spans="1:3" x14ac:dyDescent="0.45">
      <c r="A24">
        <v>23</v>
      </c>
      <c r="B24" s="9"/>
      <c r="C24" s="9"/>
    </row>
    <row r="25" spans="1:3" x14ac:dyDescent="0.45">
      <c r="A25">
        <v>24</v>
      </c>
      <c r="B25" s="9"/>
    </row>
    <row r="26" spans="1:3" x14ac:dyDescent="0.45">
      <c r="A26">
        <v>25</v>
      </c>
      <c r="B26" s="9"/>
    </row>
    <row r="27" spans="1:3" ht="12.4" customHeight="1" x14ac:dyDescent="0.45">
      <c r="A27">
        <v>26</v>
      </c>
      <c r="B27" s="9"/>
    </row>
    <row r="28" spans="1:3" ht="12.4" customHeight="1" x14ac:dyDescent="0.45">
      <c r="A28">
        <v>27</v>
      </c>
      <c r="B28" s="9"/>
    </row>
    <row r="29" spans="1:3" ht="12.4" customHeight="1" x14ac:dyDescent="0.45">
      <c r="A29">
        <v>28</v>
      </c>
    </row>
    <row r="30" spans="1:3" ht="12.4" customHeight="1" x14ac:dyDescent="0.45">
      <c r="A30">
        <v>29</v>
      </c>
    </row>
    <row r="31" spans="1:3" ht="12.4" customHeight="1" x14ac:dyDescent="0.45">
      <c r="A31">
        <v>30</v>
      </c>
    </row>
    <row r="32" spans="1:3" ht="12.4" customHeight="1" x14ac:dyDescent="0.45">
      <c r="A32">
        <v>31</v>
      </c>
    </row>
    <row r="33" spans="1:14" ht="12.4" customHeight="1" x14ac:dyDescent="0.45">
      <c r="A33">
        <v>32</v>
      </c>
    </row>
    <row r="34" spans="1:14" x14ac:dyDescent="0.45">
      <c r="A34" s="269" t="s">
        <v>1</v>
      </c>
      <c r="B34" s="270"/>
      <c r="C34" s="9" t="s">
        <v>2</v>
      </c>
      <c r="D34" s="9" t="s">
        <v>3</v>
      </c>
      <c r="E34" s="9" t="s">
        <v>4</v>
      </c>
      <c r="F34" s="9" t="s">
        <v>5</v>
      </c>
      <c r="G34" s="9" t="s">
        <v>6</v>
      </c>
      <c r="H34" s="9" t="s">
        <v>7</v>
      </c>
      <c r="I34" s="9" t="s">
        <v>8</v>
      </c>
      <c r="J34" s="9" t="s">
        <v>9</v>
      </c>
      <c r="K34" s="9" t="s">
        <v>10</v>
      </c>
      <c r="L34" s="9" t="s">
        <v>11</v>
      </c>
      <c r="M34" s="9" t="s">
        <v>12</v>
      </c>
      <c r="N34" s="9" t="s">
        <v>13</v>
      </c>
    </row>
    <row r="35" spans="1:14" x14ac:dyDescent="0.45">
      <c r="A35">
        <v>33</v>
      </c>
      <c r="B35" s="9" t="s">
        <v>440</v>
      </c>
      <c r="C35" s="9"/>
      <c r="D35" s="15"/>
      <c r="E35" s="9"/>
      <c r="F35" s="9"/>
      <c r="G35" s="15"/>
      <c r="H35" s="9"/>
      <c r="I35" s="9"/>
      <c r="J35" s="9"/>
      <c r="K35" s="9"/>
      <c r="L35" s="9"/>
      <c r="M35" s="9"/>
      <c r="N35" s="9"/>
    </row>
    <row r="36" spans="1:14" x14ac:dyDescent="0.45">
      <c r="A36">
        <v>34</v>
      </c>
      <c r="B36" s="9" t="s">
        <v>441</v>
      </c>
      <c r="C36" s="9"/>
      <c r="D36" s="9"/>
      <c r="E36" s="15"/>
      <c r="F36" s="15"/>
      <c r="G36" s="9"/>
      <c r="H36" s="15"/>
      <c r="I36" s="9"/>
      <c r="J36" s="9"/>
      <c r="K36" s="9"/>
      <c r="L36" s="9"/>
      <c r="M36" s="9"/>
      <c r="N36" s="9"/>
    </row>
    <row r="37" spans="1:14" x14ac:dyDescent="0.45">
      <c r="A37">
        <v>35</v>
      </c>
      <c r="B37" s="9" t="s">
        <v>442</v>
      </c>
      <c r="C37" s="15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 x14ac:dyDescent="0.45">
      <c r="A38">
        <v>36</v>
      </c>
      <c r="B38" s="9" t="s">
        <v>443</v>
      </c>
      <c r="C38" s="9"/>
      <c r="D38" s="9"/>
      <c r="E38" s="15"/>
      <c r="F38" s="15"/>
      <c r="G38" s="9"/>
      <c r="H38" s="9"/>
      <c r="I38" s="9"/>
      <c r="J38" s="9"/>
      <c r="K38" s="9"/>
      <c r="L38" s="9"/>
      <c r="M38" s="9"/>
      <c r="N38" s="9"/>
    </row>
    <row r="39" spans="1:14" x14ac:dyDescent="0.45">
      <c r="A39">
        <v>37</v>
      </c>
      <c r="B39" s="9" t="s">
        <v>444</v>
      </c>
      <c r="C39" s="9"/>
      <c r="D39" s="15"/>
      <c r="E39" s="15"/>
      <c r="F39" s="15"/>
      <c r="G39" s="15"/>
      <c r="H39" s="15"/>
      <c r="I39" s="9"/>
    </row>
    <row r="40" spans="1:14" x14ac:dyDescent="0.45">
      <c r="A40">
        <v>38</v>
      </c>
      <c r="B40" s="9" t="s">
        <v>445</v>
      </c>
      <c r="C40" s="9"/>
      <c r="D40" s="15"/>
      <c r="E40" s="15"/>
      <c r="F40" s="15"/>
      <c r="G40" s="15"/>
      <c r="H40" s="15"/>
      <c r="I40" s="9"/>
    </row>
    <row r="41" spans="1:14" ht="16.5" customHeight="1" x14ac:dyDescent="0.45">
      <c r="A41">
        <v>39</v>
      </c>
      <c r="B41" s="9" t="s">
        <v>446</v>
      </c>
      <c r="C41" s="9"/>
      <c r="D41" s="9"/>
      <c r="E41" s="15"/>
      <c r="F41" s="15"/>
      <c r="G41" s="9"/>
      <c r="H41" s="15"/>
      <c r="I41" s="9"/>
      <c r="J41" s="9"/>
      <c r="K41" s="9"/>
      <c r="L41" s="9"/>
      <c r="M41" s="9"/>
      <c r="N41" s="9"/>
    </row>
    <row r="42" spans="1:14" ht="17.25" customHeight="1" x14ac:dyDescent="0.45">
      <c r="A42">
        <v>40</v>
      </c>
      <c r="B42" s="9" t="s">
        <v>447</v>
      </c>
      <c r="C42" s="9"/>
      <c r="D42" s="15"/>
      <c r="E42" s="15"/>
      <c r="F42" s="15"/>
      <c r="G42" s="15"/>
      <c r="H42" s="15"/>
      <c r="I42" s="9"/>
    </row>
    <row r="43" spans="1:14" x14ac:dyDescent="0.45">
      <c r="A43">
        <v>41</v>
      </c>
      <c r="B43" s="9" t="s">
        <v>448</v>
      </c>
      <c r="C43" s="9"/>
      <c r="D43" s="15"/>
      <c r="E43" s="15"/>
      <c r="F43" s="15"/>
      <c r="G43" s="15"/>
      <c r="H43" s="15"/>
      <c r="I43" s="9"/>
    </row>
    <row r="44" spans="1:14" x14ac:dyDescent="0.45">
      <c r="A44">
        <v>42</v>
      </c>
      <c r="B44" s="9" t="s">
        <v>449</v>
      </c>
      <c r="C44" s="9"/>
      <c r="D44" s="15"/>
      <c r="E44" s="15"/>
      <c r="F44" s="15"/>
      <c r="G44" s="15"/>
      <c r="H44" s="15"/>
      <c r="I44" s="9"/>
    </row>
    <row r="45" spans="1:14" x14ac:dyDescent="0.45">
      <c r="A45">
        <v>43</v>
      </c>
      <c r="B45" s="9" t="s">
        <v>450</v>
      </c>
      <c r="C45" s="15"/>
      <c r="D45" s="15"/>
      <c r="E45" s="15"/>
      <c r="F45" s="15"/>
      <c r="G45" s="15"/>
      <c r="H45" s="15"/>
      <c r="I45" s="9"/>
      <c r="J45" s="9"/>
      <c r="K45" s="9"/>
      <c r="L45" s="9"/>
      <c r="M45" s="9"/>
      <c r="N45" s="9"/>
    </row>
    <row r="46" spans="1:14" x14ac:dyDescent="0.45">
      <c r="A46">
        <v>44</v>
      </c>
      <c r="B46" s="9" t="s">
        <v>451</v>
      </c>
      <c r="C46" s="15"/>
      <c r="D46" s="15"/>
      <c r="E46" s="15"/>
      <c r="F46" s="15"/>
      <c r="G46" s="15"/>
      <c r="H46" s="15"/>
      <c r="I46" s="9"/>
      <c r="J46" s="9"/>
      <c r="K46" s="9"/>
      <c r="L46" s="9"/>
      <c r="M46" s="9"/>
      <c r="N46" s="9"/>
    </row>
    <row r="47" spans="1:14" x14ac:dyDescent="0.45">
      <c r="A47">
        <v>45</v>
      </c>
      <c r="B47" s="9" t="s">
        <v>452</v>
      </c>
      <c r="C47" s="9"/>
      <c r="D47" s="15"/>
      <c r="E47" s="15"/>
      <c r="F47" s="15"/>
      <c r="G47" s="15"/>
      <c r="H47" s="15"/>
      <c r="I47" s="9"/>
      <c r="J47" s="9"/>
      <c r="K47" s="9"/>
      <c r="L47" s="9"/>
      <c r="M47" s="9"/>
      <c r="N47" s="9"/>
    </row>
    <row r="48" spans="1:14" x14ac:dyDescent="0.45">
      <c r="A48">
        <v>46</v>
      </c>
      <c r="B48" s="9" t="s">
        <v>436</v>
      </c>
      <c r="C48" s="9"/>
      <c r="D48" s="15"/>
      <c r="E48" s="15"/>
      <c r="F48" s="15"/>
      <c r="G48" s="15"/>
      <c r="H48" s="15"/>
      <c r="I48" s="9"/>
      <c r="J48" s="9"/>
      <c r="K48" s="9"/>
      <c r="L48" s="9"/>
      <c r="M48" s="9"/>
      <c r="N48" s="9"/>
    </row>
    <row r="49" spans="1:14" x14ac:dyDescent="0.45">
      <c r="A49">
        <v>47</v>
      </c>
      <c r="B49" s="9" t="s">
        <v>453</v>
      </c>
      <c r="C49" s="9"/>
      <c r="D49" s="15"/>
      <c r="E49" s="15"/>
      <c r="F49" s="15"/>
      <c r="G49" s="15"/>
      <c r="H49" s="15"/>
      <c r="I49" s="9"/>
      <c r="J49" s="9"/>
      <c r="K49" s="9"/>
      <c r="L49" s="9"/>
      <c r="M49" s="9"/>
      <c r="N49" s="9"/>
    </row>
    <row r="50" spans="1:14" x14ac:dyDescent="0.45">
      <c r="A50">
        <v>48</v>
      </c>
      <c r="B50" s="9" t="s">
        <v>454</v>
      </c>
      <c r="C50" s="9"/>
      <c r="D50" s="15"/>
      <c r="E50" s="15"/>
      <c r="F50" s="15"/>
      <c r="G50" s="15"/>
      <c r="H50" s="15"/>
      <c r="I50" s="9"/>
      <c r="J50" s="9"/>
      <c r="K50" s="9"/>
      <c r="L50" s="9"/>
      <c r="M50" s="9"/>
      <c r="N50" s="9"/>
    </row>
    <row r="51" spans="1:14" x14ac:dyDescent="0.45">
      <c r="A51">
        <v>49</v>
      </c>
      <c r="B51" s="9" t="s">
        <v>431</v>
      </c>
      <c r="C51" s="9"/>
      <c r="D51" s="15"/>
      <c r="E51" s="15"/>
      <c r="F51" s="15"/>
      <c r="G51" s="15"/>
      <c r="H51" s="9"/>
      <c r="I51" s="9"/>
      <c r="J51" s="9"/>
      <c r="K51" s="9"/>
      <c r="L51" s="9"/>
      <c r="M51" s="9"/>
      <c r="N51" s="9"/>
    </row>
    <row r="52" spans="1:14" x14ac:dyDescent="0.45">
      <c r="A52">
        <v>50</v>
      </c>
      <c r="B52" s="9" t="s">
        <v>455</v>
      </c>
      <c r="C52" s="9"/>
      <c r="D52" s="15"/>
      <c r="E52" s="15"/>
      <c r="F52" s="15"/>
      <c r="G52" s="15"/>
      <c r="H52" s="9"/>
      <c r="I52" s="9"/>
      <c r="J52" s="9"/>
      <c r="K52" s="9"/>
      <c r="L52" s="9"/>
      <c r="M52" s="9"/>
      <c r="N52" s="9"/>
    </row>
    <row r="53" spans="1:14" x14ac:dyDescent="0.45">
      <c r="A53">
        <v>51</v>
      </c>
      <c r="B53" s="9" t="s">
        <v>456</v>
      </c>
      <c r="C53" s="9"/>
      <c r="D53" s="15"/>
      <c r="E53" s="15"/>
      <c r="F53" s="15"/>
      <c r="G53" s="15"/>
      <c r="H53" s="9"/>
      <c r="I53" s="9"/>
      <c r="J53" s="9"/>
      <c r="K53" s="9"/>
      <c r="L53" s="9"/>
      <c r="M53" s="9"/>
      <c r="N53" s="9"/>
    </row>
    <row r="54" spans="1:14" x14ac:dyDescent="0.45">
      <c r="A54">
        <v>52</v>
      </c>
      <c r="B54" s="9" t="s">
        <v>457</v>
      </c>
      <c r="C54" s="9"/>
      <c r="D54" s="15"/>
      <c r="E54" s="15"/>
      <c r="F54" s="15"/>
      <c r="G54" s="15"/>
      <c r="H54" s="9"/>
      <c r="I54" s="9"/>
      <c r="J54" s="9"/>
      <c r="K54" s="9"/>
      <c r="L54" s="9"/>
      <c r="M54" s="9"/>
      <c r="N54" s="9"/>
    </row>
    <row r="55" spans="1:14" x14ac:dyDescent="0.45">
      <c r="A55">
        <v>53</v>
      </c>
      <c r="B55" s="9" t="s">
        <v>458</v>
      </c>
      <c r="C55" s="9"/>
      <c r="D55" s="15"/>
      <c r="E55" s="15"/>
      <c r="F55" s="9"/>
      <c r="G55" s="15"/>
      <c r="H55" s="9"/>
      <c r="I55" s="9"/>
      <c r="J55" s="9"/>
      <c r="K55" s="9"/>
      <c r="L55" s="9"/>
      <c r="M55" s="9"/>
      <c r="N55" s="9"/>
    </row>
    <row r="56" spans="1:14" x14ac:dyDescent="0.45">
      <c r="A56">
        <v>54</v>
      </c>
      <c r="B56" s="9" t="s">
        <v>459</v>
      </c>
      <c r="C56" s="9"/>
      <c r="D56" s="15"/>
      <c r="E56" s="15"/>
      <c r="F56" s="9"/>
      <c r="G56" s="15"/>
      <c r="H56" s="9"/>
      <c r="I56" s="9"/>
      <c r="J56" s="9"/>
      <c r="K56" s="9"/>
      <c r="L56" s="9"/>
      <c r="M56" s="9"/>
      <c r="N56" s="9"/>
    </row>
    <row r="57" spans="1:14" x14ac:dyDescent="0.45">
      <c r="A57">
        <v>55</v>
      </c>
      <c r="B57" s="9" t="s">
        <v>460</v>
      </c>
      <c r="C57" s="9"/>
      <c r="D57" s="15"/>
      <c r="E57" s="15"/>
      <c r="G57" s="15"/>
    </row>
    <row r="58" spans="1:14" x14ac:dyDescent="0.45">
      <c r="A58">
        <v>56</v>
      </c>
      <c r="B58" s="9" t="s">
        <v>461</v>
      </c>
      <c r="C58" s="9"/>
      <c r="D58" s="15"/>
      <c r="E58" s="15"/>
      <c r="G58" s="15"/>
    </row>
    <row r="59" spans="1:14" x14ac:dyDescent="0.45">
      <c r="A59">
        <v>57</v>
      </c>
      <c r="B59" s="9" t="s">
        <v>435</v>
      </c>
      <c r="C59" s="9"/>
      <c r="E59" s="15"/>
      <c r="G59" s="15"/>
    </row>
    <row r="60" spans="1:14" x14ac:dyDescent="0.45">
      <c r="A60">
        <v>58</v>
      </c>
      <c r="B60" s="9" t="s">
        <v>462</v>
      </c>
    </row>
    <row r="61" spans="1:14" x14ac:dyDescent="0.45">
      <c r="A61">
        <v>59</v>
      </c>
      <c r="B61" s="9" t="s">
        <v>437</v>
      </c>
    </row>
    <row r="62" spans="1:14" x14ac:dyDescent="0.45">
      <c r="A62">
        <v>60</v>
      </c>
      <c r="B62" s="9" t="s">
        <v>463</v>
      </c>
    </row>
    <row r="63" spans="1:14" x14ac:dyDescent="0.45">
      <c r="A63">
        <v>61</v>
      </c>
      <c r="B63" s="9" t="s">
        <v>432</v>
      </c>
    </row>
    <row r="64" spans="1:14" x14ac:dyDescent="0.45">
      <c r="A64">
        <v>62</v>
      </c>
      <c r="B64" s="9" t="s">
        <v>464</v>
      </c>
    </row>
    <row r="65" spans="1:2" x14ac:dyDescent="0.45">
      <c r="A65">
        <v>63</v>
      </c>
      <c r="B65" s="9" t="s">
        <v>465</v>
      </c>
    </row>
    <row r="66" spans="1:2" x14ac:dyDescent="0.45">
      <c r="A66">
        <v>64</v>
      </c>
      <c r="B66" s="9" t="s">
        <v>466</v>
      </c>
    </row>
    <row r="67" spans="1:2" x14ac:dyDescent="0.45">
      <c r="A67">
        <v>65</v>
      </c>
      <c r="B67" s="9" t="s">
        <v>467</v>
      </c>
    </row>
    <row r="68" spans="1:2" x14ac:dyDescent="0.45">
      <c r="A68">
        <v>66</v>
      </c>
      <c r="B68" s="9" t="s">
        <v>468</v>
      </c>
    </row>
    <row r="69" spans="1:2" x14ac:dyDescent="0.45">
      <c r="A69">
        <v>67</v>
      </c>
      <c r="B69" s="9" t="s">
        <v>469</v>
      </c>
    </row>
    <row r="70" spans="1:2" x14ac:dyDescent="0.45">
      <c r="A70">
        <v>68</v>
      </c>
      <c r="B70" s="9" t="s">
        <v>470</v>
      </c>
    </row>
    <row r="71" spans="1:2" x14ac:dyDescent="0.45">
      <c r="A71">
        <v>69</v>
      </c>
      <c r="B71" s="9" t="s">
        <v>434</v>
      </c>
    </row>
    <row r="72" spans="1:2" x14ac:dyDescent="0.45">
      <c r="A72">
        <v>70</v>
      </c>
      <c r="B72" s="9" t="s">
        <v>471</v>
      </c>
    </row>
    <row r="73" spans="1:2" x14ac:dyDescent="0.45">
      <c r="A73">
        <v>71</v>
      </c>
    </row>
    <row r="74" spans="1:2" x14ac:dyDescent="0.45">
      <c r="A74">
        <v>72</v>
      </c>
    </row>
    <row r="75" spans="1:2" x14ac:dyDescent="0.45">
      <c r="A75">
        <v>73</v>
      </c>
    </row>
  </sheetData>
  <mergeCells count="1">
    <mergeCell ref="A34:B3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AN186"/>
  <sheetViews>
    <sheetView showGridLines="0" tabSelected="1" zoomScale="60" zoomScaleNormal="60" workbookViewId="0">
      <selection activeCell="AF78" sqref="AF78"/>
    </sheetView>
  </sheetViews>
  <sheetFormatPr baseColWidth="10" defaultColWidth="14.3984375" defaultRowHeight="13.15" x14ac:dyDescent="0.4"/>
  <cols>
    <col min="1" max="1" width="4.59765625" style="1" bestFit="1" customWidth="1"/>
    <col min="2" max="2" width="34.3984375" style="2" bestFit="1" customWidth="1"/>
    <col min="3" max="3" width="13.73046875" style="2" bestFit="1" customWidth="1"/>
    <col min="4" max="4" width="7.86328125" style="2" bestFit="1" customWidth="1"/>
    <col min="5" max="6" width="6.3984375" style="2" bestFit="1" customWidth="1"/>
    <col min="7" max="7" width="7.86328125" style="2" bestFit="1" customWidth="1"/>
    <col min="8" max="12" width="6.3984375" style="2" bestFit="1" customWidth="1"/>
    <col min="13" max="13" width="7.86328125" style="2" bestFit="1" customWidth="1"/>
    <col min="14" max="18" width="6.3984375" style="2" bestFit="1" customWidth="1"/>
    <col min="19" max="19" width="7.86328125" style="2" bestFit="1" customWidth="1"/>
    <col min="20" max="21" width="6.3984375" style="2" bestFit="1" customWidth="1"/>
    <col min="22" max="22" width="7" style="2" bestFit="1" customWidth="1"/>
    <col min="23" max="23" width="6.86328125" style="2" customWidth="1"/>
    <col min="24" max="24" width="7" style="2" bestFit="1" customWidth="1"/>
    <col min="25" max="25" width="6.3984375" style="2" bestFit="1" customWidth="1"/>
    <col min="26" max="26" width="7.86328125" style="2" bestFit="1" customWidth="1"/>
    <col min="27" max="27" width="0.1328125" style="2" customWidth="1"/>
    <col min="28" max="28" width="6.3984375" style="2" hidden="1" customWidth="1"/>
    <col min="29" max="29" width="9.73046875" style="2" hidden="1" customWidth="1"/>
    <col min="30" max="30" width="3.265625" style="2" customWidth="1"/>
    <col min="31" max="31" width="8.86328125" style="2" customWidth="1"/>
    <col min="32" max="32" width="34.3984375" style="2" bestFit="1" customWidth="1"/>
    <col min="33" max="33" width="11.73046875" style="2" bestFit="1" customWidth="1"/>
    <col min="34" max="34" width="9" style="2" bestFit="1" customWidth="1"/>
    <col min="35" max="35" width="17.73046875" style="2" bestFit="1" customWidth="1"/>
    <col min="36" max="36" width="22.3984375" style="2" bestFit="1" customWidth="1"/>
    <col min="37" max="37" width="16.59765625" style="2" bestFit="1" customWidth="1"/>
    <col min="38" max="38" width="27.73046875" style="2" bestFit="1" customWidth="1"/>
    <col min="39" max="39" width="17.73046875" style="2" bestFit="1" customWidth="1"/>
    <col min="40" max="40" width="17.1328125" style="2" bestFit="1" customWidth="1"/>
    <col min="41" max="16384" width="14.3984375" style="2"/>
  </cols>
  <sheetData>
    <row r="1" spans="1:40" s="46" customFormat="1" ht="11.25" customHeight="1" x14ac:dyDescent="0.4">
      <c r="A1" s="267" t="s">
        <v>17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</row>
    <row r="2" spans="1:40" ht="22.5" customHeight="1" x14ac:dyDescent="0.5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E2" s="264" t="s">
        <v>54</v>
      </c>
      <c r="AF2" s="265"/>
      <c r="AG2" s="265"/>
      <c r="AH2" s="266"/>
      <c r="AI2" s="52">
        <v>1</v>
      </c>
      <c r="AJ2" s="52"/>
      <c r="AK2" s="52">
        <v>2</v>
      </c>
      <c r="AL2" s="52"/>
      <c r="AM2" s="52">
        <v>3</v>
      </c>
      <c r="AN2" s="52"/>
    </row>
    <row r="3" spans="1:40" ht="19.5" x14ac:dyDescent="0.5">
      <c r="A3" s="268"/>
      <c r="B3" s="268"/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E3" s="141" t="s">
        <v>37</v>
      </c>
      <c r="AF3" s="142" t="s">
        <v>14</v>
      </c>
      <c r="AG3" s="143" t="s">
        <v>15</v>
      </c>
      <c r="AH3" s="143" t="s">
        <v>52</v>
      </c>
      <c r="AI3" s="51" t="str">
        <f>"Prono Carrera "&amp;AI2</f>
        <v>Prono Carrera 1</v>
      </c>
      <c r="AJ3" s="51" t="s">
        <v>42</v>
      </c>
      <c r="AK3" s="51" t="str">
        <f>"Prono Carrera "&amp;AK2</f>
        <v>Prono Carrera 2</v>
      </c>
      <c r="AL3" s="51" t="s">
        <v>42</v>
      </c>
      <c r="AM3" s="51" t="str">
        <f>"Prono Carrera "&amp;AM2</f>
        <v>Prono Carrera 3</v>
      </c>
      <c r="AN3" s="51" t="s">
        <v>42</v>
      </c>
    </row>
    <row r="4" spans="1:40" ht="15" customHeight="1" x14ac:dyDescent="0.4">
      <c r="A4" s="115" t="s">
        <v>0</v>
      </c>
      <c r="B4" s="115" t="s">
        <v>14</v>
      </c>
      <c r="C4" s="115" t="s">
        <v>18</v>
      </c>
      <c r="D4" s="115">
        <v>1</v>
      </c>
      <c r="E4" s="115">
        <v>2</v>
      </c>
      <c r="F4" s="115">
        <v>3</v>
      </c>
      <c r="G4" s="115">
        <v>4</v>
      </c>
      <c r="H4" s="115">
        <v>5</v>
      </c>
      <c r="I4" s="115">
        <v>6</v>
      </c>
      <c r="J4" s="115">
        <v>7</v>
      </c>
      <c r="K4" s="115">
        <v>8</v>
      </c>
      <c r="L4" s="115">
        <v>9</v>
      </c>
      <c r="M4" s="115">
        <v>10</v>
      </c>
      <c r="N4" s="115">
        <v>11</v>
      </c>
      <c r="O4" s="115">
        <v>12</v>
      </c>
      <c r="P4" s="115">
        <v>13</v>
      </c>
      <c r="Q4" s="115">
        <v>14</v>
      </c>
      <c r="R4" s="115">
        <v>15</v>
      </c>
      <c r="S4" s="115">
        <v>16</v>
      </c>
      <c r="T4" s="115">
        <v>17</v>
      </c>
      <c r="U4" s="115">
        <v>18</v>
      </c>
      <c r="V4" s="115">
        <v>19</v>
      </c>
      <c r="W4" s="115">
        <v>20</v>
      </c>
      <c r="X4" s="115">
        <v>21</v>
      </c>
      <c r="Y4" s="115">
        <v>22</v>
      </c>
      <c r="Z4" s="115">
        <v>23</v>
      </c>
      <c r="AA4" s="115">
        <v>24</v>
      </c>
      <c r="AB4" s="115">
        <v>25</v>
      </c>
      <c r="AC4" s="115" t="s">
        <v>19</v>
      </c>
      <c r="AE4" s="228">
        <v>1</v>
      </c>
      <c r="AF4" s="145" t="str">
        <f>IF(ISBLANK(STUD!B9)," ",STUD!B9)</f>
        <v>SERVIFRENOS</v>
      </c>
      <c r="AG4" s="185">
        <f>IFERROR(VLOOKUP(AF4,$B$5:$C$68,2,0),0)</f>
        <v>13.700000000000001</v>
      </c>
      <c r="AH4" s="185"/>
      <c r="AI4" s="88">
        <f t="shared" ref="AI4:AI31" si="0">IFERROR(
   VLOOKUP(AF4, $B$5:$Y$68, CHOOSE($AI$2, 3, 4, 5, 6, 7, 8, 9, 10, 11, 12, 13, 14, 15, 16, 17, 18, 19, 20, 21, 22, 23, 24, 25, 26, 27, 28, 29), 0),
   " "
)</f>
        <v>9</v>
      </c>
      <c r="AJ4" s="53" t="str">
        <f>IF(AI4="","",IFERROR(IF(VLOOKUP(AI4,Programa!$B$3:$C$18,2,0)="","",VLOOKUP(AI4,Programa!$B$3:$C$18,2,0)),""))</f>
        <v>STORMY LUCKY</v>
      </c>
      <c r="AK4" s="53">
        <f t="shared" ref="AK4:AK31" si="1">IFERROR(
   VLOOKUP(AF4, $B$5:$Y$68, CHOOSE($AK$2, 3, 4, 5, 6, 7, 8, 9, 10, 11, 12, 13, 14, 15, 16, 17, 18, 19, 20, 21, 22, 23, 24, 25, 26, 27, 28, 29), 0),
   " "
)</f>
        <v>1</v>
      </c>
      <c r="AL4" s="53" t="str">
        <f>IF(AK4="","",IFERROR(IF(VLOOKUP(AK4,Programa!$B$19:$C$34,2,0)="","",VLOOKUP(AK4,Programa!$B$19:$C$34,2,0)),""))</f>
        <v>LADY IN BLACK</v>
      </c>
      <c r="AM4" s="53">
        <f t="shared" ref="AM4:AM31" si="2">IFERROR(
   VLOOKUP(AF4, $B$5:$Y$68, CHOOSE($AM$2, 3, 4, 5, 6, 7, 8, 9, 10, 11, 12, 13, 14, 15, 16, 17, 18, 19, 20, 21, 22, 23, 24, 25, 26, 27, 28, 29), 0),
   " "
)</f>
        <v>5</v>
      </c>
      <c r="AN4" s="53" t="str">
        <f>IF(AM4="","",IFERROR(IF(VLOOKUP(AM4,Programa!$B$35:$C$50,2,0)="","",VLOOKUP(AM4,Programa!$B$35:$C$50,2,0)),""))</f>
        <v>RIO PLATA</v>
      </c>
    </row>
    <row r="5" spans="1:40" ht="15.75" customHeight="1" x14ac:dyDescent="0.4">
      <c r="A5" s="246">
        <v>1</v>
      </c>
      <c r="B5" s="248" t="str">
        <f>+STUD!B2</f>
        <v>SOSAMAFIA</v>
      </c>
      <c r="C5" s="244">
        <f>SUM(D6:AB6)</f>
        <v>4</v>
      </c>
      <c r="D5" s="109">
        <v>14</v>
      </c>
      <c r="E5" s="109">
        <v>1</v>
      </c>
      <c r="F5" s="109">
        <v>11</v>
      </c>
      <c r="G5" s="109">
        <v>2</v>
      </c>
      <c r="H5" s="109">
        <v>5</v>
      </c>
      <c r="I5" s="109">
        <v>6</v>
      </c>
      <c r="J5" s="109">
        <v>5</v>
      </c>
      <c r="K5" s="109">
        <v>13</v>
      </c>
      <c r="L5" s="109">
        <v>5</v>
      </c>
      <c r="M5" s="109">
        <v>15</v>
      </c>
      <c r="N5" s="109">
        <v>2</v>
      </c>
      <c r="O5" s="112">
        <v>14</v>
      </c>
      <c r="P5" s="109">
        <v>5</v>
      </c>
      <c r="Q5" s="109">
        <v>3</v>
      </c>
      <c r="R5" s="109">
        <v>10</v>
      </c>
      <c r="S5" s="109">
        <v>4</v>
      </c>
      <c r="T5" s="109">
        <v>7</v>
      </c>
      <c r="U5" s="109">
        <v>8</v>
      </c>
      <c r="V5" s="109">
        <v>2</v>
      </c>
      <c r="W5" s="109">
        <v>3</v>
      </c>
      <c r="X5" s="109">
        <v>8</v>
      </c>
      <c r="Y5" s="109">
        <v>15</v>
      </c>
      <c r="Z5" s="109">
        <v>6</v>
      </c>
      <c r="AA5" s="109"/>
      <c r="AB5" s="109"/>
      <c r="AC5" s="243">
        <f>SUM(D6:AB6)</f>
        <v>4</v>
      </c>
      <c r="AE5" s="228">
        <v>2</v>
      </c>
      <c r="AF5" s="145" t="str">
        <f>IF(ISBLANK(STUD!B5)," ",STUD!B5)</f>
        <v>KUME</v>
      </c>
      <c r="AG5" s="185">
        <f>IFERROR(VLOOKUP(AF5,$B$5:$C$68,2,0),0)</f>
        <v>9.7000000000000011</v>
      </c>
      <c r="AH5" s="186">
        <f t="shared" ref="AH5:AH31" si="3">$AG$4-AG5</f>
        <v>4</v>
      </c>
      <c r="AI5" s="88">
        <f t="shared" si="0"/>
        <v>9</v>
      </c>
      <c r="AJ5" s="53" t="str">
        <f>IF(AI5="","",IFERROR(IF(VLOOKUP(AI5,Programa!$B$3:$C$18,2,0)="","",VLOOKUP(AI5,Programa!$B$3:$C$18,2,0)),""))</f>
        <v>STORMY LUCKY</v>
      </c>
      <c r="AK5" s="53">
        <f t="shared" si="1"/>
        <v>13</v>
      </c>
      <c r="AL5" s="53" t="str">
        <f>IF(AK5="","",IFERROR(IF(VLOOKUP(AK5,Programa!$B$19:$C$34,2,0)="","",VLOOKUP(AK5,Programa!$B$19:$C$34,2,0)),""))</f>
        <v/>
      </c>
      <c r="AM5" s="53">
        <f t="shared" si="2"/>
        <v>7</v>
      </c>
      <c r="AN5" s="53" t="str">
        <f>IF(AM5="","",IFERROR(IF(VLOOKUP(AM5,Programa!$B$35:$C$50,2,0)="","",VLOOKUP(AM5,Programa!$B$35:$C$50,2,0)),""))</f>
        <v>QUIROGUITA</v>
      </c>
    </row>
    <row r="6" spans="1:40" ht="15" customHeight="1" x14ac:dyDescent="0.4">
      <c r="A6" s="247"/>
      <c r="B6" s="249"/>
      <c r="C6" s="245"/>
      <c r="D6" s="138">
        <f t="shared" ref="D6:AB6" si="4">IF(IFERROR(IF(VLOOKUP(D5,D$181:D$185,1,0)&gt;=1,D$180,0),D5)=D$162,D$166,IF(IFERROR(IF(VLOOKUP(D5,D$181:D$185,1,0)&gt;=1,D$180,0),D5)=D$169,D$172,IF(IFERROR(IF(VLOOKUP(D5,D$181:D$185,1,0)&gt;=1,D$180,0),D5)=D$175,D$177,0)))</f>
        <v>0</v>
      </c>
      <c r="E6" s="138">
        <f t="shared" si="4"/>
        <v>4</v>
      </c>
      <c r="F6" s="138">
        <f t="shared" si="4"/>
        <v>0</v>
      </c>
      <c r="G6" s="138">
        <f t="shared" si="4"/>
        <v>0</v>
      </c>
      <c r="H6" s="138">
        <f t="shared" si="4"/>
        <v>0</v>
      </c>
      <c r="I6" s="138">
        <f t="shared" si="4"/>
        <v>0</v>
      </c>
      <c r="J6" s="138">
        <f t="shared" si="4"/>
        <v>0</v>
      </c>
      <c r="K6" s="138">
        <f t="shared" si="4"/>
        <v>0</v>
      </c>
      <c r="L6" s="138">
        <f t="shared" si="4"/>
        <v>0</v>
      </c>
      <c r="M6" s="138">
        <f t="shared" si="4"/>
        <v>0</v>
      </c>
      <c r="N6" s="138">
        <f t="shared" si="4"/>
        <v>0</v>
      </c>
      <c r="O6" s="138">
        <f t="shared" si="4"/>
        <v>0</v>
      </c>
      <c r="P6" s="138">
        <f t="shared" si="4"/>
        <v>0</v>
      </c>
      <c r="Q6" s="138">
        <f t="shared" si="4"/>
        <v>0</v>
      </c>
      <c r="R6" s="138">
        <f t="shared" si="4"/>
        <v>0</v>
      </c>
      <c r="S6" s="138">
        <f t="shared" si="4"/>
        <v>0</v>
      </c>
      <c r="T6" s="138">
        <f t="shared" si="4"/>
        <v>0</v>
      </c>
      <c r="U6" s="138">
        <f t="shared" si="4"/>
        <v>0</v>
      </c>
      <c r="V6" s="138">
        <f t="shared" si="4"/>
        <v>0</v>
      </c>
      <c r="W6" s="138">
        <f t="shared" si="4"/>
        <v>0</v>
      </c>
      <c r="X6" s="138">
        <f t="shared" si="4"/>
        <v>0</v>
      </c>
      <c r="Y6" s="138">
        <f t="shared" si="4"/>
        <v>0</v>
      </c>
      <c r="Z6" s="138">
        <f t="shared" si="4"/>
        <v>0</v>
      </c>
      <c r="AA6" s="108">
        <f t="shared" si="4"/>
        <v>0</v>
      </c>
      <c r="AB6" s="108">
        <f t="shared" si="4"/>
        <v>0</v>
      </c>
      <c r="AC6" s="243"/>
      <c r="AE6" s="228">
        <v>3</v>
      </c>
      <c r="AF6" s="145" t="str">
        <f>IF(ISBLANK(STUD!B8)," ",STUD!B8)</f>
        <v>MIS SOBRINOS</v>
      </c>
      <c r="AG6" s="185">
        <f>IFERROR(VLOOKUP(AF6,$B$5:$C$68,2,0),0)</f>
        <v>7.9</v>
      </c>
      <c r="AH6" s="186">
        <f t="shared" si="3"/>
        <v>5.8000000000000007</v>
      </c>
      <c r="AI6" s="88">
        <f t="shared" si="0"/>
        <v>12</v>
      </c>
      <c r="AJ6" s="53" t="str">
        <f>IF(AI6="","",IFERROR(IF(VLOOKUP(AI6,Programa!$B$3:$C$18,2,0)="","",VLOOKUP(AI6,Programa!$B$3:$C$18,2,0)),""))</f>
        <v/>
      </c>
      <c r="AK6" s="53">
        <f t="shared" si="1"/>
        <v>1</v>
      </c>
      <c r="AL6" s="53" t="str">
        <f>IF(AK6="","",IFERROR(IF(VLOOKUP(AK6,Programa!$B$19:$C$34,2,0)="","",VLOOKUP(AK6,Programa!$B$19:$C$34,2,0)),""))</f>
        <v>LADY IN BLACK</v>
      </c>
      <c r="AM6" s="53">
        <f t="shared" si="2"/>
        <v>5</v>
      </c>
      <c r="AN6" s="53" t="str">
        <f>IF(AM6="","",IFERROR(IF(VLOOKUP(AM6,Programa!$B$35:$C$50,2,0)="","",VLOOKUP(AM6,Programa!$B$35:$C$50,2,0)),""))</f>
        <v>RIO PLATA</v>
      </c>
    </row>
    <row r="7" spans="1:40" ht="15.75" customHeight="1" x14ac:dyDescent="0.4">
      <c r="A7" s="246">
        <f>+A5+1</f>
        <v>2</v>
      </c>
      <c r="B7" s="248" t="str">
        <f>+STUD!B3</f>
        <v>EL JOYERO</v>
      </c>
      <c r="C7" s="250">
        <f>SUM(D8:AB8)</f>
        <v>4</v>
      </c>
      <c r="D7" s="112">
        <v>7</v>
      </c>
      <c r="E7" s="112">
        <v>12</v>
      </c>
      <c r="F7" s="112">
        <v>5</v>
      </c>
      <c r="G7" s="112">
        <v>4</v>
      </c>
      <c r="H7" s="112">
        <v>12</v>
      </c>
      <c r="I7" s="112">
        <v>11</v>
      </c>
      <c r="J7" s="112">
        <v>4</v>
      </c>
      <c r="K7" s="112">
        <v>7</v>
      </c>
      <c r="L7" s="112">
        <v>6</v>
      </c>
      <c r="M7" s="112">
        <v>14</v>
      </c>
      <c r="N7" s="109">
        <v>1</v>
      </c>
      <c r="O7" s="109">
        <v>2</v>
      </c>
      <c r="P7" s="109">
        <v>14</v>
      </c>
      <c r="Q7" s="109">
        <v>9</v>
      </c>
      <c r="R7" s="109">
        <v>10</v>
      </c>
      <c r="S7" s="109">
        <v>8</v>
      </c>
      <c r="T7" s="109">
        <v>3</v>
      </c>
      <c r="U7" s="109">
        <v>6</v>
      </c>
      <c r="V7" s="109">
        <v>4</v>
      </c>
      <c r="W7" s="109">
        <v>2</v>
      </c>
      <c r="X7" s="109">
        <v>9</v>
      </c>
      <c r="Y7" s="109">
        <v>4</v>
      </c>
      <c r="Z7" s="109">
        <v>8</v>
      </c>
      <c r="AA7" s="109"/>
      <c r="AB7" s="109"/>
      <c r="AC7" s="243">
        <f>SUM(D8:AB8)</f>
        <v>4</v>
      </c>
      <c r="AE7" s="228">
        <v>4</v>
      </c>
      <c r="AF7" s="145" t="str">
        <f>IF(ISBLANK(STUD!B10)," ",STUD!B10)</f>
        <v>AUMENTA MEDINA</v>
      </c>
      <c r="AG7" s="185">
        <f>IFERROR(VLOOKUP(AF7,$B$5:$C$68,2,0),0)</f>
        <v>5.0999999999999996</v>
      </c>
      <c r="AH7" s="186">
        <f t="shared" si="3"/>
        <v>8.6000000000000014</v>
      </c>
      <c r="AI7" s="88">
        <f t="shared" si="0"/>
        <v>3</v>
      </c>
      <c r="AJ7" s="53" t="str">
        <f>IF(AI7="","",IFERROR(IF(VLOOKUP(AI7,Programa!$B$3:$C$18,2,0)="","",VLOOKUP(AI7,Programa!$B$3:$C$18,2,0)),""))</f>
        <v>ÑILCA</v>
      </c>
      <c r="AK7" s="53">
        <f t="shared" si="1"/>
        <v>1</v>
      </c>
      <c r="AL7" s="53" t="str">
        <f>IF(AK7="","",IFERROR(IF(VLOOKUP(AK7,Programa!$B$19:$C$34,2,0)="","",VLOOKUP(AK7,Programa!$B$19:$C$34,2,0)),""))</f>
        <v>LADY IN BLACK</v>
      </c>
      <c r="AM7" s="53">
        <f t="shared" si="2"/>
        <v>5</v>
      </c>
      <c r="AN7" s="53" t="str">
        <f>IF(AM7="","",IFERROR(IF(VLOOKUP(AM7,Programa!$B$35:$C$50,2,0)="","",VLOOKUP(AM7,Programa!$B$35:$C$50,2,0)),""))</f>
        <v>RIO PLATA</v>
      </c>
    </row>
    <row r="8" spans="1:40" ht="15" customHeight="1" x14ac:dyDescent="0.4">
      <c r="A8" s="247"/>
      <c r="B8" s="249"/>
      <c r="C8" s="251"/>
      <c r="D8" s="138">
        <f t="shared" ref="D8:AB8" si="5">IF(IFERROR(IF(VLOOKUP(D7,D$181:D$185,1,0)&gt;=1,D$180,0),D7)=D$162,D$166,IF(IFERROR(IF(VLOOKUP(D7,D$181:D$185,1,0)&gt;=1,D$180,0),D7)=D$169,D$172,IF(IFERROR(IF(VLOOKUP(D7,D$181:D$185,1,0)&gt;=1,D$180,0),D7)=D$175,D$177,0)))</f>
        <v>0</v>
      </c>
      <c r="E8" s="138">
        <f t="shared" si="5"/>
        <v>4</v>
      </c>
      <c r="F8" s="138">
        <f t="shared" si="5"/>
        <v>0</v>
      </c>
      <c r="G8" s="138">
        <f t="shared" si="5"/>
        <v>0</v>
      </c>
      <c r="H8" s="138">
        <f t="shared" si="5"/>
        <v>0</v>
      </c>
      <c r="I8" s="138">
        <f t="shared" si="5"/>
        <v>0</v>
      </c>
      <c r="J8" s="138">
        <f t="shared" si="5"/>
        <v>0</v>
      </c>
      <c r="K8" s="138">
        <f t="shared" si="5"/>
        <v>0</v>
      </c>
      <c r="L8" s="138">
        <f t="shared" si="5"/>
        <v>0</v>
      </c>
      <c r="M8" s="138">
        <f t="shared" si="5"/>
        <v>0</v>
      </c>
      <c r="N8" s="138">
        <f t="shared" si="5"/>
        <v>0</v>
      </c>
      <c r="O8" s="138">
        <f t="shared" si="5"/>
        <v>0</v>
      </c>
      <c r="P8" s="138">
        <f t="shared" si="5"/>
        <v>0</v>
      </c>
      <c r="Q8" s="138">
        <f t="shared" si="5"/>
        <v>0</v>
      </c>
      <c r="R8" s="138">
        <f t="shared" si="5"/>
        <v>0</v>
      </c>
      <c r="S8" s="138">
        <f t="shared" si="5"/>
        <v>0</v>
      </c>
      <c r="T8" s="138">
        <f t="shared" si="5"/>
        <v>0</v>
      </c>
      <c r="U8" s="138">
        <f t="shared" si="5"/>
        <v>0</v>
      </c>
      <c r="V8" s="138">
        <f t="shared" si="5"/>
        <v>0</v>
      </c>
      <c r="W8" s="138">
        <f t="shared" si="5"/>
        <v>0</v>
      </c>
      <c r="X8" s="138">
        <f t="shared" si="5"/>
        <v>0</v>
      </c>
      <c r="Y8" s="138">
        <f t="shared" si="5"/>
        <v>0</v>
      </c>
      <c r="Z8" s="138">
        <f t="shared" si="5"/>
        <v>0</v>
      </c>
      <c r="AA8" s="108">
        <f t="shared" si="5"/>
        <v>0</v>
      </c>
      <c r="AB8" s="108">
        <f t="shared" si="5"/>
        <v>0</v>
      </c>
      <c r="AC8" s="243"/>
      <c r="AE8" s="228">
        <v>5</v>
      </c>
      <c r="AF8" s="145" t="str">
        <f>IF(ISBLANK(STUD!B2)," ",STUD!B2)</f>
        <v>SOSAMAFIA</v>
      </c>
      <c r="AG8" s="185">
        <f>IFERROR(VLOOKUP(AF8,$B$5:$C$68,2,0),0)</f>
        <v>4</v>
      </c>
      <c r="AH8" s="186">
        <f t="shared" si="3"/>
        <v>9.7000000000000011</v>
      </c>
      <c r="AI8" s="88">
        <f t="shared" si="0"/>
        <v>14</v>
      </c>
      <c r="AJ8" s="53" t="str">
        <f>IF(AI8="","",IFERROR(IF(VLOOKUP(AI8,Programa!$B$3:$C$18,2,0)="","",VLOOKUP(AI8,Programa!$B$3:$C$18,2,0)),""))</f>
        <v/>
      </c>
      <c r="AK8" s="53">
        <f t="shared" si="1"/>
        <v>1</v>
      </c>
      <c r="AL8" s="53" t="str">
        <f>IF(AK8="","",IFERROR(IF(VLOOKUP(AK8,Programa!$B$19:$C$34,2,0)="","",VLOOKUP(AK8,Programa!$B$19:$C$34,2,0)),""))</f>
        <v>LADY IN BLACK</v>
      </c>
      <c r="AM8" s="53">
        <f t="shared" si="2"/>
        <v>11</v>
      </c>
      <c r="AN8" s="53" t="str">
        <f>IF(AM8="","",IFERROR(IF(VLOOKUP(AM8,Programa!$B$35:$C$50,2,0)="","",VLOOKUP(AM8,Programa!$B$35:$C$50,2,0)),""))</f>
        <v/>
      </c>
    </row>
    <row r="9" spans="1:40" ht="15.75" customHeight="1" x14ac:dyDescent="0.4">
      <c r="A9" s="246">
        <f>+A7+1</f>
        <v>3</v>
      </c>
      <c r="B9" s="248" t="str">
        <f>+STUD!B4</f>
        <v>PAP</v>
      </c>
      <c r="C9" s="244">
        <f>SUM(D10:AB10)</f>
        <v>0</v>
      </c>
      <c r="D9" s="109">
        <v>15</v>
      </c>
      <c r="E9" s="109">
        <v>4</v>
      </c>
      <c r="F9" s="109">
        <v>5</v>
      </c>
      <c r="G9" s="109">
        <v>7</v>
      </c>
      <c r="H9" s="109">
        <v>1</v>
      </c>
      <c r="I9" s="109">
        <v>7</v>
      </c>
      <c r="J9" s="109">
        <v>5</v>
      </c>
      <c r="K9" s="109">
        <v>10</v>
      </c>
      <c r="L9" s="109">
        <v>1</v>
      </c>
      <c r="M9" s="109">
        <v>8</v>
      </c>
      <c r="N9" s="109">
        <v>2</v>
      </c>
      <c r="O9" s="112">
        <v>14</v>
      </c>
      <c r="P9" s="109">
        <v>14</v>
      </c>
      <c r="Q9" s="109">
        <v>6</v>
      </c>
      <c r="R9" s="109">
        <v>8</v>
      </c>
      <c r="S9" s="109">
        <v>9</v>
      </c>
      <c r="T9" s="109">
        <v>7</v>
      </c>
      <c r="U9" s="109">
        <v>13</v>
      </c>
      <c r="V9" s="109">
        <v>8</v>
      </c>
      <c r="W9" s="109">
        <v>2</v>
      </c>
      <c r="X9" s="109">
        <v>14</v>
      </c>
      <c r="Y9" s="109">
        <v>5</v>
      </c>
      <c r="Z9" s="109">
        <v>13</v>
      </c>
      <c r="AA9" s="109"/>
      <c r="AB9" s="109"/>
      <c r="AC9" s="243">
        <f>SUM(D10:AB10)</f>
        <v>0</v>
      </c>
      <c r="AE9" s="228">
        <v>6</v>
      </c>
      <c r="AF9" s="145" t="str">
        <f>IF(ISBLANK(STUD!B11)," ",STUD!B11)</f>
        <v>PASASTE BANDIDO</v>
      </c>
      <c r="AG9" s="185">
        <f>IFERROR(VLOOKUP(AF9,$B$5:$C$68,2,0),0)</f>
        <v>4</v>
      </c>
      <c r="AH9" s="186">
        <f t="shared" si="3"/>
        <v>9.7000000000000011</v>
      </c>
      <c r="AI9" s="88">
        <f t="shared" si="0"/>
        <v>10</v>
      </c>
      <c r="AJ9" s="53" t="str">
        <f>IF(AI9="","",IFERROR(IF(VLOOKUP(AI9,Programa!$B$3:$C$18,2,0)="","",VLOOKUP(AI9,Programa!$B$3:$C$18,2,0)),""))</f>
        <v>NAHUEN</v>
      </c>
      <c r="AK9" s="53">
        <f t="shared" si="1"/>
        <v>1</v>
      </c>
      <c r="AL9" s="53" t="str">
        <f>IF(AK9="","",IFERROR(IF(VLOOKUP(AK9,Programa!$B$19:$C$34,2,0)="","",VLOOKUP(AK9,Programa!$B$19:$C$34,2,0)),""))</f>
        <v>LADY IN BLACK</v>
      </c>
      <c r="AM9" s="53">
        <f t="shared" si="2"/>
        <v>5</v>
      </c>
      <c r="AN9" s="53" t="str">
        <f>IF(AM9="","",IFERROR(IF(VLOOKUP(AM9,Programa!$B$35:$C$50,2,0)="","",VLOOKUP(AM9,Programa!$B$35:$C$50,2,0)),""))</f>
        <v>RIO PLATA</v>
      </c>
    </row>
    <row r="10" spans="1:40" ht="15" customHeight="1" x14ac:dyDescent="0.4">
      <c r="A10" s="247"/>
      <c r="B10" s="249"/>
      <c r="C10" s="245"/>
      <c r="D10" s="138">
        <f t="shared" ref="D10:AB10" si="6">IF(IFERROR(IF(VLOOKUP(D9,D$181:D$185,1,0)&gt;=1,D$180,0),D9)=D$162,D$166,IF(IFERROR(IF(VLOOKUP(D9,D$181:D$185,1,0)&gt;=1,D$180,0),D9)=D$169,D$172,IF(IFERROR(IF(VLOOKUP(D9,D$181:D$185,1,0)&gt;=1,D$180,0),D9)=D$175,D$177,0)))</f>
        <v>0</v>
      </c>
      <c r="E10" s="138">
        <f t="shared" si="6"/>
        <v>0</v>
      </c>
      <c r="F10" s="138">
        <f t="shared" si="6"/>
        <v>0</v>
      </c>
      <c r="G10" s="138">
        <f t="shared" si="6"/>
        <v>0</v>
      </c>
      <c r="H10" s="138">
        <f t="shared" si="6"/>
        <v>0</v>
      </c>
      <c r="I10" s="138">
        <f t="shared" si="6"/>
        <v>0</v>
      </c>
      <c r="J10" s="138">
        <f t="shared" si="6"/>
        <v>0</v>
      </c>
      <c r="K10" s="138">
        <f t="shared" si="6"/>
        <v>0</v>
      </c>
      <c r="L10" s="138">
        <f t="shared" si="6"/>
        <v>0</v>
      </c>
      <c r="M10" s="138">
        <f t="shared" si="6"/>
        <v>0</v>
      </c>
      <c r="N10" s="138">
        <f t="shared" si="6"/>
        <v>0</v>
      </c>
      <c r="O10" s="138">
        <f t="shared" si="6"/>
        <v>0</v>
      </c>
      <c r="P10" s="138">
        <f t="shared" si="6"/>
        <v>0</v>
      </c>
      <c r="Q10" s="138">
        <f t="shared" si="6"/>
        <v>0</v>
      </c>
      <c r="R10" s="138">
        <f t="shared" si="6"/>
        <v>0</v>
      </c>
      <c r="S10" s="138">
        <f t="shared" si="6"/>
        <v>0</v>
      </c>
      <c r="T10" s="138">
        <f t="shared" si="6"/>
        <v>0</v>
      </c>
      <c r="U10" s="138">
        <f t="shared" si="6"/>
        <v>0</v>
      </c>
      <c r="V10" s="138">
        <f t="shared" si="6"/>
        <v>0</v>
      </c>
      <c r="W10" s="138">
        <f t="shared" si="6"/>
        <v>0</v>
      </c>
      <c r="X10" s="138">
        <f t="shared" si="6"/>
        <v>0</v>
      </c>
      <c r="Y10" s="138">
        <f t="shared" si="6"/>
        <v>0</v>
      </c>
      <c r="Z10" s="138">
        <f t="shared" si="6"/>
        <v>0</v>
      </c>
      <c r="AA10" s="108">
        <f t="shared" si="6"/>
        <v>0</v>
      </c>
      <c r="AB10" s="108">
        <f t="shared" si="6"/>
        <v>0</v>
      </c>
      <c r="AC10" s="243"/>
      <c r="AE10" s="228">
        <v>7</v>
      </c>
      <c r="AF10" s="145" t="str">
        <f>IF(ISBLANK(STUD!B3)," ",STUD!B3)</f>
        <v>EL JOYERO</v>
      </c>
      <c r="AG10" s="185">
        <f>IFERROR(VLOOKUP(AF10,$B$5:$C$68,2,0),0)</f>
        <v>4</v>
      </c>
      <c r="AH10" s="186">
        <f t="shared" si="3"/>
        <v>9.7000000000000011</v>
      </c>
      <c r="AI10" s="88">
        <f t="shared" si="0"/>
        <v>7</v>
      </c>
      <c r="AJ10" s="53" t="str">
        <f>IF(AI10="","",IFERROR(IF(VLOOKUP(AI10,Programa!$B$3:$C$18,2,0)="","",VLOOKUP(AI10,Programa!$B$3:$C$18,2,0)),""))</f>
        <v>ALQASWA</v>
      </c>
      <c r="AK10" s="53">
        <f t="shared" si="1"/>
        <v>12</v>
      </c>
      <c r="AL10" s="53" t="str">
        <f>IF(AK10="","",IFERROR(IF(VLOOKUP(AK10,Programa!$B$19:$C$34,2,0)="","",VLOOKUP(AK10,Programa!$B$19:$C$34,2,0)),""))</f>
        <v/>
      </c>
      <c r="AM10" s="53">
        <f t="shared" si="2"/>
        <v>5</v>
      </c>
      <c r="AN10" s="53" t="str">
        <f>IF(AM10="","",IFERROR(IF(VLOOKUP(AM10,Programa!$B$35:$C$50,2,0)="","",VLOOKUP(AM10,Programa!$B$35:$C$50,2,0)),""))</f>
        <v>RIO PLATA</v>
      </c>
    </row>
    <row r="11" spans="1:40" ht="15.75" customHeight="1" x14ac:dyDescent="0.4">
      <c r="A11" s="246">
        <f>+A9+1</f>
        <v>4</v>
      </c>
      <c r="B11" s="248" t="str">
        <f>+STUD!B5</f>
        <v>KUME</v>
      </c>
      <c r="C11" s="250">
        <f>SUM(D12:AB12)</f>
        <v>9.7000000000000011</v>
      </c>
      <c r="D11" s="112">
        <v>9</v>
      </c>
      <c r="E11" s="112">
        <v>13</v>
      </c>
      <c r="F11" s="112">
        <v>7</v>
      </c>
      <c r="G11" s="112">
        <v>1</v>
      </c>
      <c r="H11" s="112">
        <v>12</v>
      </c>
      <c r="I11" s="112">
        <v>7</v>
      </c>
      <c r="J11" s="112">
        <v>5</v>
      </c>
      <c r="K11" s="112">
        <v>14</v>
      </c>
      <c r="L11" s="112">
        <v>9</v>
      </c>
      <c r="M11" s="112">
        <v>15</v>
      </c>
      <c r="N11" s="109">
        <v>2</v>
      </c>
      <c r="O11" s="109">
        <v>5</v>
      </c>
      <c r="P11" s="109">
        <v>6</v>
      </c>
      <c r="Q11" s="109">
        <v>3</v>
      </c>
      <c r="R11" s="109">
        <v>3</v>
      </c>
      <c r="S11" s="109">
        <v>11</v>
      </c>
      <c r="T11" s="109">
        <v>11</v>
      </c>
      <c r="U11" s="109">
        <v>14</v>
      </c>
      <c r="V11" s="109">
        <v>3</v>
      </c>
      <c r="W11" s="109">
        <v>4</v>
      </c>
      <c r="X11" s="109">
        <v>11</v>
      </c>
      <c r="Y11" s="109">
        <v>7</v>
      </c>
      <c r="Z11" s="109">
        <v>6</v>
      </c>
      <c r="AA11" s="109"/>
      <c r="AB11" s="109"/>
      <c r="AC11" s="243">
        <f>SUM(D12:AB12)</f>
        <v>9.7000000000000011</v>
      </c>
      <c r="AE11" s="228">
        <v>8</v>
      </c>
      <c r="AF11" s="145" t="str">
        <f>IF(ISBLANK(STUD!B7)," ",STUD!B7)</f>
        <v>ALF</v>
      </c>
      <c r="AG11" s="185">
        <f>IFERROR(VLOOKUP(AF11,$B$5:$C$68,2,0),0)</f>
        <v>4</v>
      </c>
      <c r="AH11" s="185">
        <f t="shared" si="3"/>
        <v>9.7000000000000011</v>
      </c>
      <c r="AI11" s="88">
        <f t="shared" si="0"/>
        <v>15</v>
      </c>
      <c r="AJ11" s="53" t="str">
        <f>IF(AI11="","",IFERROR(IF(VLOOKUP(AI11,Programa!$B$3:$C$18,2,0)="","",VLOOKUP(AI11,Programa!$B$3:$C$18,2,0)),""))</f>
        <v/>
      </c>
      <c r="AK11" s="53">
        <f t="shared" si="1"/>
        <v>1</v>
      </c>
      <c r="AL11" s="53" t="str">
        <f>IF(AK11="","",IFERROR(IF(VLOOKUP(AK11,Programa!$B$19:$C$34,2,0)="","",VLOOKUP(AK11,Programa!$B$19:$C$34,2,0)),""))</f>
        <v>LADY IN BLACK</v>
      </c>
      <c r="AM11" s="53">
        <f t="shared" si="2"/>
        <v>5</v>
      </c>
      <c r="AN11" s="53" t="str">
        <f>IF(AM11="","",IFERROR(IF(VLOOKUP(AM11,Programa!$B$35:$C$50,2,0)="","",VLOOKUP(AM11,Programa!$B$35:$C$50,2,0)),""))</f>
        <v>RIO PLATA</v>
      </c>
    </row>
    <row r="12" spans="1:40" ht="15" customHeight="1" x14ac:dyDescent="0.4">
      <c r="A12" s="247"/>
      <c r="B12" s="249"/>
      <c r="C12" s="251"/>
      <c r="D12" s="138">
        <f t="shared" ref="D12:AB12" si="7">IF(IFERROR(IF(VLOOKUP(D11,D$181:D$185,1,0)&gt;=1,D$180,0),D11)=D$162,D$166,IF(IFERROR(IF(VLOOKUP(D11,D$181:D$185,1,0)&gt;=1,D$180,0),D11)=D$169,D$172,IF(IFERROR(IF(VLOOKUP(D11,D$181:D$185,1,0)&gt;=1,D$180,0),D11)=D$175,D$177,0)))</f>
        <v>9.7000000000000011</v>
      </c>
      <c r="E12" s="138">
        <f t="shared" si="7"/>
        <v>0</v>
      </c>
      <c r="F12" s="138">
        <f t="shared" si="7"/>
        <v>0</v>
      </c>
      <c r="G12" s="138">
        <f t="shared" si="7"/>
        <v>0</v>
      </c>
      <c r="H12" s="138">
        <f t="shared" si="7"/>
        <v>0</v>
      </c>
      <c r="I12" s="138">
        <f t="shared" si="7"/>
        <v>0</v>
      </c>
      <c r="J12" s="138">
        <f t="shared" si="7"/>
        <v>0</v>
      </c>
      <c r="K12" s="138">
        <f t="shared" si="7"/>
        <v>0</v>
      </c>
      <c r="L12" s="138">
        <f t="shared" si="7"/>
        <v>0</v>
      </c>
      <c r="M12" s="138">
        <f t="shared" si="7"/>
        <v>0</v>
      </c>
      <c r="N12" s="138">
        <f t="shared" si="7"/>
        <v>0</v>
      </c>
      <c r="O12" s="138">
        <f t="shared" si="7"/>
        <v>0</v>
      </c>
      <c r="P12" s="138">
        <f t="shared" si="7"/>
        <v>0</v>
      </c>
      <c r="Q12" s="138">
        <f t="shared" si="7"/>
        <v>0</v>
      </c>
      <c r="R12" s="138">
        <f t="shared" si="7"/>
        <v>0</v>
      </c>
      <c r="S12" s="138">
        <f t="shared" si="7"/>
        <v>0</v>
      </c>
      <c r="T12" s="138">
        <f t="shared" si="7"/>
        <v>0</v>
      </c>
      <c r="U12" s="138">
        <f t="shared" si="7"/>
        <v>0</v>
      </c>
      <c r="V12" s="138">
        <f t="shared" si="7"/>
        <v>0</v>
      </c>
      <c r="W12" s="138">
        <f t="shared" si="7"/>
        <v>0</v>
      </c>
      <c r="X12" s="138">
        <f t="shared" si="7"/>
        <v>0</v>
      </c>
      <c r="Y12" s="138">
        <f t="shared" si="7"/>
        <v>0</v>
      </c>
      <c r="Z12" s="138">
        <f t="shared" si="7"/>
        <v>0</v>
      </c>
      <c r="AA12" s="108">
        <f t="shared" si="7"/>
        <v>0</v>
      </c>
      <c r="AB12" s="108">
        <f t="shared" si="7"/>
        <v>0</v>
      </c>
      <c r="AC12" s="243"/>
      <c r="AE12" s="229">
        <v>10</v>
      </c>
      <c r="AF12" s="145" t="str">
        <f>IF(ISBLANK(STUD!B6)," ",STUD!B6)</f>
        <v>TRES COPAS</v>
      </c>
      <c r="AG12" s="185">
        <f>IFERROR(VLOOKUP(AF12,$B$5:$C$68,2,0),0)</f>
        <v>1.1000000000000001</v>
      </c>
      <c r="AH12" s="186">
        <f t="shared" si="3"/>
        <v>12.600000000000001</v>
      </c>
      <c r="AI12" s="88">
        <f t="shared" si="0"/>
        <v>3</v>
      </c>
      <c r="AJ12" s="53" t="str">
        <f>IF(AI12="","",IFERROR(IF(VLOOKUP(AI12,Programa!$B$3:$C$18,2,0)="","",VLOOKUP(AI12,Programa!$B$3:$C$18,2,0)),""))</f>
        <v>ÑILCA</v>
      </c>
      <c r="AK12" s="53">
        <f t="shared" si="1"/>
        <v>3</v>
      </c>
      <c r="AL12" s="53" t="str">
        <f>IF(AK12="","",IFERROR(IF(VLOOKUP(AK12,Programa!$B$19:$C$34,2,0)="","",VLOOKUP(AK12,Programa!$B$19:$C$34,2,0)),""))</f>
        <v>POENNI</v>
      </c>
      <c r="AM12" s="53">
        <f t="shared" si="2"/>
        <v>11</v>
      </c>
      <c r="AN12" s="53" t="str">
        <f>IF(AM12="","",IFERROR(IF(VLOOKUP(AM12,Programa!$B$35:$C$50,2,0)="","",VLOOKUP(AM12,Programa!$B$35:$C$50,2,0)),""))</f>
        <v/>
      </c>
    </row>
    <row r="13" spans="1:40" ht="15.75" customHeight="1" x14ac:dyDescent="0.4">
      <c r="A13" s="246">
        <f>+A11+1</f>
        <v>5</v>
      </c>
      <c r="B13" s="248" t="str">
        <f>+STUD!B6</f>
        <v>TRES COPAS</v>
      </c>
      <c r="C13" s="244">
        <f>SUM(D14:AB14)</f>
        <v>1.1000000000000001</v>
      </c>
      <c r="D13" s="112">
        <v>3</v>
      </c>
      <c r="E13" s="112">
        <v>3</v>
      </c>
      <c r="F13" s="112">
        <v>11</v>
      </c>
      <c r="G13" s="112">
        <v>7</v>
      </c>
      <c r="H13" s="112">
        <v>5</v>
      </c>
      <c r="I13" s="112">
        <v>11</v>
      </c>
      <c r="J13" s="112">
        <v>4</v>
      </c>
      <c r="K13" s="112">
        <v>9</v>
      </c>
      <c r="L13" s="112">
        <v>9</v>
      </c>
      <c r="M13" s="112">
        <v>8</v>
      </c>
      <c r="N13" s="112">
        <v>3</v>
      </c>
      <c r="O13" s="112">
        <v>8</v>
      </c>
      <c r="P13" s="112">
        <v>11</v>
      </c>
      <c r="Q13" s="112">
        <v>6</v>
      </c>
      <c r="R13" s="112">
        <v>5</v>
      </c>
      <c r="S13" s="112">
        <v>9</v>
      </c>
      <c r="T13" s="112">
        <v>11</v>
      </c>
      <c r="U13" s="112">
        <v>4</v>
      </c>
      <c r="V13" s="112">
        <v>1</v>
      </c>
      <c r="W13" s="112">
        <v>8</v>
      </c>
      <c r="X13" s="109">
        <v>9</v>
      </c>
      <c r="Y13" s="109">
        <v>8</v>
      </c>
      <c r="Z13" s="109">
        <v>3</v>
      </c>
      <c r="AA13" s="109"/>
      <c r="AB13" s="109"/>
      <c r="AC13" s="243">
        <f>SUM(D14:AB14)</f>
        <v>1.1000000000000001</v>
      </c>
      <c r="AE13" s="229">
        <v>11</v>
      </c>
      <c r="AF13" s="145" t="str">
        <f>IF(ISBLANK(STUD!B4)," ",STUD!B4)</f>
        <v>PAP</v>
      </c>
      <c r="AG13" s="185">
        <f>IFERROR(VLOOKUP(AF13,$B$5:$C$68,2,0),0)</f>
        <v>0</v>
      </c>
      <c r="AH13" s="185">
        <f t="shared" si="3"/>
        <v>13.700000000000001</v>
      </c>
      <c r="AI13" s="88">
        <f t="shared" si="0"/>
        <v>15</v>
      </c>
      <c r="AJ13" s="53" t="str">
        <f>IF(AI13="","",IFERROR(IF(VLOOKUP(AI13,Programa!$B$3:$C$18,2,0)="","",VLOOKUP(AI13,Programa!$B$3:$C$18,2,0)),""))</f>
        <v/>
      </c>
      <c r="AK13" s="53">
        <f t="shared" si="1"/>
        <v>4</v>
      </c>
      <c r="AL13" s="53" t="str">
        <f>IF(AK13="","",IFERROR(IF(VLOOKUP(AK13,Programa!$B$19:$C$34,2,0)="","",VLOOKUP(AK13,Programa!$B$19:$C$34,2,0)),""))</f>
        <v>ESTRELLA DEL SOL</v>
      </c>
      <c r="AM13" s="53">
        <f t="shared" si="2"/>
        <v>5</v>
      </c>
      <c r="AN13" s="53" t="str">
        <f>IF(AM13="","",IFERROR(IF(VLOOKUP(AM13,Programa!$B$35:$C$50,2,0)="","",VLOOKUP(AM13,Programa!$B$35:$C$50,2,0)),""))</f>
        <v>RIO PLATA</v>
      </c>
    </row>
    <row r="14" spans="1:40" ht="15" customHeight="1" x14ac:dyDescent="0.4">
      <c r="A14" s="247"/>
      <c r="B14" s="249"/>
      <c r="C14" s="245"/>
      <c r="D14" s="138">
        <f t="shared" ref="D14:AB14" si="8">IF(IFERROR(IF(VLOOKUP(D13,D$181:D$185,1,0)&gt;=1,D$180,0),D13)=D$162,D$166,IF(IFERROR(IF(VLOOKUP(D13,D$181:D$185,1,0)&gt;=1,D$180,0),D13)=D$169,D$172,IF(IFERROR(IF(VLOOKUP(D13,D$181:D$185,1,0)&gt;=1,D$180,0),D13)=D$175,D$177,0)))</f>
        <v>1.1000000000000001</v>
      </c>
      <c r="E14" s="138">
        <f t="shared" si="8"/>
        <v>0</v>
      </c>
      <c r="F14" s="138">
        <f t="shared" si="8"/>
        <v>0</v>
      </c>
      <c r="G14" s="138">
        <f t="shared" si="8"/>
        <v>0</v>
      </c>
      <c r="H14" s="138">
        <f t="shared" si="8"/>
        <v>0</v>
      </c>
      <c r="I14" s="138">
        <f t="shared" si="8"/>
        <v>0</v>
      </c>
      <c r="J14" s="138">
        <f t="shared" si="8"/>
        <v>0</v>
      </c>
      <c r="K14" s="138">
        <f t="shared" si="8"/>
        <v>0</v>
      </c>
      <c r="L14" s="138">
        <f t="shared" si="8"/>
        <v>0</v>
      </c>
      <c r="M14" s="138">
        <f t="shared" si="8"/>
        <v>0</v>
      </c>
      <c r="N14" s="138">
        <f t="shared" si="8"/>
        <v>0</v>
      </c>
      <c r="O14" s="138">
        <f t="shared" si="8"/>
        <v>0</v>
      </c>
      <c r="P14" s="138">
        <f t="shared" si="8"/>
        <v>0</v>
      </c>
      <c r="Q14" s="138">
        <f t="shared" si="8"/>
        <v>0</v>
      </c>
      <c r="R14" s="138">
        <f t="shared" si="8"/>
        <v>0</v>
      </c>
      <c r="S14" s="138">
        <f t="shared" si="8"/>
        <v>0</v>
      </c>
      <c r="T14" s="138">
        <f t="shared" si="8"/>
        <v>0</v>
      </c>
      <c r="U14" s="138">
        <f t="shared" si="8"/>
        <v>0</v>
      </c>
      <c r="V14" s="138">
        <f t="shared" si="8"/>
        <v>0</v>
      </c>
      <c r="W14" s="138">
        <f t="shared" si="8"/>
        <v>0</v>
      </c>
      <c r="X14" s="138">
        <f t="shared" si="8"/>
        <v>0</v>
      </c>
      <c r="Y14" s="138">
        <f t="shared" si="8"/>
        <v>0</v>
      </c>
      <c r="Z14" s="138">
        <f t="shared" si="8"/>
        <v>0</v>
      </c>
      <c r="AA14" s="108">
        <f t="shared" si="8"/>
        <v>0</v>
      </c>
      <c r="AB14" s="108">
        <f t="shared" si="8"/>
        <v>0</v>
      </c>
      <c r="AC14" s="243"/>
      <c r="AE14" s="229">
        <v>11</v>
      </c>
      <c r="AF14" s="145" t="str">
        <f>IF(ISBLANK(STUD!B12)," ",STUD!B12)</f>
        <v xml:space="preserve"> </v>
      </c>
      <c r="AG14" s="185">
        <f>IFERROR(VLOOKUP(AF14,$B$5:$C$68,2,0),0)</f>
        <v>0</v>
      </c>
      <c r="AH14" s="186">
        <f t="shared" si="3"/>
        <v>13.700000000000001</v>
      </c>
      <c r="AI14" s="88" t="str">
        <f t="shared" si="0"/>
        <v xml:space="preserve"> </v>
      </c>
      <c r="AJ14" s="53" t="str">
        <f>IF(AI14="","",IFERROR(IF(VLOOKUP(AI14,Programa!$B$3:$C$18,2,0)="","",VLOOKUP(AI14,Programa!$B$3:$C$18,2,0)),""))</f>
        <v/>
      </c>
      <c r="AK14" s="53" t="str">
        <f t="shared" si="1"/>
        <v xml:space="preserve"> </v>
      </c>
      <c r="AL14" s="53" t="str">
        <f>IF(AK14="","",IFERROR(IF(VLOOKUP(AK14,Programa!$B$19:$C$34,2,0)="","",VLOOKUP(AK14,Programa!$B$19:$C$34,2,0)),""))</f>
        <v/>
      </c>
      <c r="AM14" s="53" t="str">
        <f t="shared" si="2"/>
        <v xml:space="preserve"> </v>
      </c>
      <c r="AN14" s="53" t="str">
        <f>IF(AM14="","",IFERROR(IF(VLOOKUP(AM14,Programa!$B$35:$C$50,2,0)="","",VLOOKUP(AM14,Programa!$B$35:$C$50,2,0)),""))</f>
        <v/>
      </c>
    </row>
    <row r="15" spans="1:40" ht="15.75" customHeight="1" x14ac:dyDescent="0.4">
      <c r="A15" s="246">
        <f>+A13+1</f>
        <v>6</v>
      </c>
      <c r="B15" s="248" t="str">
        <f>+STUD!B7</f>
        <v>ALF</v>
      </c>
      <c r="C15" s="250">
        <f>SUM(D16:AB16)</f>
        <v>4</v>
      </c>
      <c r="D15" s="112">
        <v>15</v>
      </c>
      <c r="E15" s="112">
        <v>1</v>
      </c>
      <c r="F15" s="112">
        <v>5</v>
      </c>
      <c r="G15" s="112">
        <v>11</v>
      </c>
      <c r="H15" s="112">
        <v>9</v>
      </c>
      <c r="I15" s="112">
        <v>6</v>
      </c>
      <c r="J15" s="112">
        <v>4</v>
      </c>
      <c r="K15" s="112">
        <v>9</v>
      </c>
      <c r="L15" s="112">
        <v>8</v>
      </c>
      <c r="M15" s="112">
        <v>4</v>
      </c>
      <c r="N15" s="112">
        <v>1</v>
      </c>
      <c r="O15" s="112">
        <v>11</v>
      </c>
      <c r="P15" s="112">
        <v>10</v>
      </c>
      <c r="Q15" s="112">
        <v>7</v>
      </c>
      <c r="R15" s="112">
        <v>9</v>
      </c>
      <c r="S15" s="112">
        <v>2</v>
      </c>
      <c r="T15" s="112">
        <v>1</v>
      </c>
      <c r="U15" s="112">
        <v>4</v>
      </c>
      <c r="V15" s="112">
        <v>14</v>
      </c>
      <c r="W15" s="112">
        <v>5</v>
      </c>
      <c r="X15" s="109">
        <v>13</v>
      </c>
      <c r="Y15" s="109">
        <v>5</v>
      </c>
      <c r="Z15" s="109">
        <v>11</v>
      </c>
      <c r="AA15" s="109"/>
      <c r="AB15" s="109"/>
      <c r="AC15" s="243">
        <f>SUM(D16:AB16)</f>
        <v>4</v>
      </c>
      <c r="AE15" s="229">
        <v>12</v>
      </c>
      <c r="AF15" s="145" t="str">
        <f>IF(ISBLANK(STUD!B15)," ",STUD!B15)</f>
        <v xml:space="preserve"> </v>
      </c>
      <c r="AG15" s="185">
        <f>IFERROR(VLOOKUP(AF15,$B$5:$C$68,2,0),0)</f>
        <v>0</v>
      </c>
      <c r="AH15" s="186">
        <f t="shared" si="3"/>
        <v>13.700000000000001</v>
      </c>
      <c r="AI15" s="88" t="str">
        <f t="shared" si="0"/>
        <v xml:space="preserve"> </v>
      </c>
      <c r="AJ15" s="53" t="str">
        <f>IF(AI15="","",IFERROR(IF(VLOOKUP(AI15,Programa!$B$3:$C$18,2,0)="","",VLOOKUP(AI15,Programa!$B$3:$C$18,2,0)),""))</f>
        <v/>
      </c>
      <c r="AK15" s="53" t="str">
        <f t="shared" si="1"/>
        <v xml:space="preserve"> </v>
      </c>
      <c r="AL15" s="53" t="str">
        <f>IF(AK15="","",IFERROR(IF(VLOOKUP(AK15,Programa!$B$19:$C$34,2,0)="","",VLOOKUP(AK15,Programa!$B$19:$C$34,2,0)),""))</f>
        <v/>
      </c>
      <c r="AM15" s="53" t="str">
        <f t="shared" si="2"/>
        <v xml:space="preserve"> </v>
      </c>
      <c r="AN15" s="53" t="str">
        <f>IF(AM15="","",IFERROR(IF(VLOOKUP(AM15,Programa!$B$35:$C$50,2,0)="","",VLOOKUP(AM15,Programa!$B$35:$C$50,2,0)),""))</f>
        <v/>
      </c>
    </row>
    <row r="16" spans="1:40" ht="15" customHeight="1" x14ac:dyDescent="0.4">
      <c r="A16" s="247"/>
      <c r="B16" s="249"/>
      <c r="C16" s="251"/>
      <c r="D16" s="138">
        <f t="shared" ref="D16:AB16" si="9">IF(IFERROR(IF(VLOOKUP(D15,D$181:D$185,1,0)&gt;=1,D$180,0),D15)=D$162,D$166,IF(IFERROR(IF(VLOOKUP(D15,D$181:D$185,1,0)&gt;=1,D$180,0),D15)=D$169,D$172,IF(IFERROR(IF(VLOOKUP(D15,D$181:D$185,1,0)&gt;=1,D$180,0),D15)=D$175,D$177,0)))</f>
        <v>0</v>
      </c>
      <c r="E16" s="138">
        <f t="shared" si="9"/>
        <v>4</v>
      </c>
      <c r="F16" s="138">
        <f t="shared" si="9"/>
        <v>0</v>
      </c>
      <c r="G16" s="138">
        <f t="shared" si="9"/>
        <v>0</v>
      </c>
      <c r="H16" s="138">
        <f t="shared" si="9"/>
        <v>0</v>
      </c>
      <c r="I16" s="138">
        <f t="shared" si="9"/>
        <v>0</v>
      </c>
      <c r="J16" s="138">
        <f t="shared" si="9"/>
        <v>0</v>
      </c>
      <c r="K16" s="138">
        <f t="shared" si="9"/>
        <v>0</v>
      </c>
      <c r="L16" s="138">
        <f t="shared" si="9"/>
        <v>0</v>
      </c>
      <c r="M16" s="138">
        <f t="shared" si="9"/>
        <v>0</v>
      </c>
      <c r="N16" s="138">
        <f t="shared" si="9"/>
        <v>0</v>
      </c>
      <c r="O16" s="138">
        <f t="shared" si="9"/>
        <v>0</v>
      </c>
      <c r="P16" s="138">
        <f t="shared" si="9"/>
        <v>0</v>
      </c>
      <c r="Q16" s="138">
        <f t="shared" si="9"/>
        <v>0</v>
      </c>
      <c r="R16" s="138">
        <f t="shared" si="9"/>
        <v>0</v>
      </c>
      <c r="S16" s="138">
        <f t="shared" si="9"/>
        <v>0</v>
      </c>
      <c r="T16" s="138">
        <f t="shared" si="9"/>
        <v>0</v>
      </c>
      <c r="U16" s="138">
        <f t="shared" si="9"/>
        <v>0</v>
      </c>
      <c r="V16" s="138">
        <f t="shared" si="9"/>
        <v>0</v>
      </c>
      <c r="W16" s="138">
        <f t="shared" si="9"/>
        <v>0</v>
      </c>
      <c r="X16" s="138">
        <f t="shared" si="9"/>
        <v>0</v>
      </c>
      <c r="Y16" s="138">
        <f t="shared" si="9"/>
        <v>0</v>
      </c>
      <c r="Z16" s="138">
        <f t="shared" si="9"/>
        <v>0</v>
      </c>
      <c r="AA16" s="108">
        <f t="shared" si="9"/>
        <v>0</v>
      </c>
      <c r="AB16" s="108">
        <f t="shared" si="9"/>
        <v>0</v>
      </c>
      <c r="AC16" s="243"/>
      <c r="AE16" s="229">
        <v>13</v>
      </c>
      <c r="AF16" s="145" t="str">
        <f>IF(ISBLANK(STUD!B16)," ",STUD!B16)</f>
        <v xml:space="preserve"> </v>
      </c>
      <c r="AG16" s="185">
        <f>IFERROR(VLOOKUP(AF16,$B$5:$C$68,2,0),0)</f>
        <v>0</v>
      </c>
      <c r="AH16" s="186">
        <f t="shared" si="3"/>
        <v>13.700000000000001</v>
      </c>
      <c r="AI16" s="88" t="str">
        <f t="shared" si="0"/>
        <v xml:space="preserve"> </v>
      </c>
      <c r="AJ16" s="53" t="str">
        <f>IF(AI16="","",IFERROR(IF(VLOOKUP(AI16,Programa!$B$3:$C$18,2,0)="","",VLOOKUP(AI16,Programa!$B$3:$C$18,2,0)),""))</f>
        <v/>
      </c>
      <c r="AK16" s="53" t="str">
        <f t="shared" si="1"/>
        <v xml:space="preserve"> </v>
      </c>
      <c r="AL16" s="53" t="str">
        <f>IF(AK16="","",IFERROR(IF(VLOOKUP(AK16,Programa!$B$19:$C$34,2,0)="","",VLOOKUP(AK16,Programa!$B$19:$C$34,2,0)),""))</f>
        <v/>
      </c>
      <c r="AM16" s="53" t="str">
        <f t="shared" si="2"/>
        <v xml:space="preserve"> </v>
      </c>
      <c r="AN16" s="53" t="str">
        <f>IF(AM16="","",IFERROR(IF(VLOOKUP(AM16,Programa!$B$35:$C$50,2,0)="","",VLOOKUP(AM16,Programa!$B$35:$C$50,2,0)),""))</f>
        <v/>
      </c>
    </row>
    <row r="17" spans="1:40" ht="15.75" customHeight="1" x14ac:dyDescent="0.4">
      <c r="A17" s="246">
        <f>+A15+1</f>
        <v>7</v>
      </c>
      <c r="B17" s="248" t="str">
        <f>+STUD!B8</f>
        <v>MIS SOBRINOS</v>
      </c>
      <c r="C17" s="244">
        <f>SUM(D18:AB18)</f>
        <v>7.9</v>
      </c>
      <c r="D17" s="109">
        <v>12</v>
      </c>
      <c r="E17" s="109">
        <v>1</v>
      </c>
      <c r="F17" s="109">
        <v>5</v>
      </c>
      <c r="G17" s="109">
        <v>2</v>
      </c>
      <c r="H17" s="109">
        <v>13</v>
      </c>
      <c r="I17" s="109">
        <v>4</v>
      </c>
      <c r="J17" s="109">
        <v>4</v>
      </c>
      <c r="K17" s="109">
        <v>9</v>
      </c>
      <c r="L17" s="109">
        <v>4</v>
      </c>
      <c r="M17" s="109">
        <v>9</v>
      </c>
      <c r="N17" s="109">
        <v>2</v>
      </c>
      <c r="O17" s="109">
        <v>6</v>
      </c>
      <c r="P17" s="109">
        <v>8</v>
      </c>
      <c r="Q17" s="109">
        <v>3</v>
      </c>
      <c r="R17" s="109">
        <v>6</v>
      </c>
      <c r="S17" s="109">
        <v>1</v>
      </c>
      <c r="T17" s="109">
        <v>11</v>
      </c>
      <c r="U17" s="109">
        <v>9</v>
      </c>
      <c r="V17" s="109">
        <v>5</v>
      </c>
      <c r="W17" s="109">
        <v>11</v>
      </c>
      <c r="X17" s="109">
        <v>11</v>
      </c>
      <c r="Y17" s="109">
        <v>7</v>
      </c>
      <c r="Z17" s="109">
        <v>3</v>
      </c>
      <c r="AA17" s="109"/>
      <c r="AB17" s="109"/>
      <c r="AC17" s="243">
        <f>SUM(D18:AB18)</f>
        <v>7.9</v>
      </c>
      <c r="AE17" s="229">
        <v>14</v>
      </c>
      <c r="AF17" s="145" t="str">
        <f>IF(ISBLANK(STUD!B13)," ",STUD!B13)</f>
        <v xml:space="preserve"> </v>
      </c>
      <c r="AG17" s="185">
        <f>IFERROR(VLOOKUP(AF17,$B$5:$C$68,2,0),0)</f>
        <v>0</v>
      </c>
      <c r="AH17" s="186">
        <f t="shared" si="3"/>
        <v>13.700000000000001</v>
      </c>
      <c r="AI17" s="88" t="str">
        <f t="shared" si="0"/>
        <v xml:space="preserve"> </v>
      </c>
      <c r="AJ17" s="53" t="str">
        <f>IF(AI17="","",IFERROR(IF(VLOOKUP(AI17,Programa!$B$3:$C$18,2,0)="","",VLOOKUP(AI17,Programa!$B$3:$C$18,2,0)),""))</f>
        <v/>
      </c>
      <c r="AK17" s="53" t="str">
        <f t="shared" si="1"/>
        <v xml:space="preserve"> </v>
      </c>
      <c r="AL17" s="53" t="str">
        <f>IF(AK17="","",IFERROR(IF(VLOOKUP(AK17,Programa!$B$19:$C$34,2,0)="","",VLOOKUP(AK17,Programa!$B$19:$C$34,2,0)),""))</f>
        <v/>
      </c>
      <c r="AM17" s="53" t="str">
        <f t="shared" si="2"/>
        <v xml:space="preserve"> </v>
      </c>
      <c r="AN17" s="53" t="str">
        <f>IF(AM17="","",IFERROR(IF(VLOOKUP(AM17,Programa!$B$35:$C$50,2,0)="","",VLOOKUP(AM17,Programa!$B$35:$C$50,2,0)),""))</f>
        <v/>
      </c>
    </row>
    <row r="18" spans="1:40" ht="15.75" customHeight="1" x14ac:dyDescent="0.4">
      <c r="A18" s="247"/>
      <c r="B18" s="249"/>
      <c r="C18" s="245"/>
      <c r="D18" s="138">
        <f t="shared" ref="D18:AB18" si="10">IF(IFERROR(IF(VLOOKUP(D17,D$181:D$185,1,0)&gt;=1,D$180,0),D17)=D$162,D$166,IF(IFERROR(IF(VLOOKUP(D17,D$181:D$185,1,0)&gt;=1,D$180,0),D17)=D$169,D$172,IF(IFERROR(IF(VLOOKUP(D17,D$181:D$185,1,0)&gt;=1,D$180,0),D17)=D$175,D$177,0)))</f>
        <v>3.9000000000000004</v>
      </c>
      <c r="E18" s="138">
        <f t="shared" si="10"/>
        <v>4</v>
      </c>
      <c r="F18" s="138">
        <f t="shared" si="10"/>
        <v>0</v>
      </c>
      <c r="G18" s="138">
        <f t="shared" si="10"/>
        <v>0</v>
      </c>
      <c r="H18" s="138">
        <f t="shared" si="10"/>
        <v>0</v>
      </c>
      <c r="I18" s="138">
        <f t="shared" si="10"/>
        <v>0</v>
      </c>
      <c r="J18" s="138">
        <f t="shared" si="10"/>
        <v>0</v>
      </c>
      <c r="K18" s="138">
        <f t="shared" si="10"/>
        <v>0</v>
      </c>
      <c r="L18" s="138">
        <f t="shared" si="10"/>
        <v>0</v>
      </c>
      <c r="M18" s="138">
        <f t="shared" si="10"/>
        <v>0</v>
      </c>
      <c r="N18" s="138">
        <f t="shared" si="10"/>
        <v>0</v>
      </c>
      <c r="O18" s="138">
        <f t="shared" si="10"/>
        <v>0</v>
      </c>
      <c r="P18" s="138">
        <f t="shared" si="10"/>
        <v>0</v>
      </c>
      <c r="Q18" s="138">
        <f t="shared" si="10"/>
        <v>0</v>
      </c>
      <c r="R18" s="138">
        <f t="shared" si="10"/>
        <v>0</v>
      </c>
      <c r="S18" s="138">
        <f t="shared" si="10"/>
        <v>0</v>
      </c>
      <c r="T18" s="138">
        <f t="shared" si="10"/>
        <v>0</v>
      </c>
      <c r="U18" s="138">
        <f t="shared" si="10"/>
        <v>0</v>
      </c>
      <c r="V18" s="138">
        <f t="shared" si="10"/>
        <v>0</v>
      </c>
      <c r="W18" s="138">
        <f t="shared" si="10"/>
        <v>0</v>
      </c>
      <c r="X18" s="138">
        <f t="shared" si="10"/>
        <v>0</v>
      </c>
      <c r="Y18" s="138">
        <f t="shared" si="10"/>
        <v>0</v>
      </c>
      <c r="Z18" s="138">
        <f t="shared" si="10"/>
        <v>0</v>
      </c>
      <c r="AA18" s="108">
        <f t="shared" si="10"/>
        <v>0</v>
      </c>
      <c r="AB18" s="108">
        <f t="shared" si="10"/>
        <v>0</v>
      </c>
      <c r="AC18" s="243"/>
      <c r="AE18" s="229">
        <v>15</v>
      </c>
      <c r="AF18" s="145" t="str">
        <f>IF(ISBLANK(STUD!B14)," ",STUD!B14)</f>
        <v xml:space="preserve"> </v>
      </c>
      <c r="AG18" s="185">
        <f>IFERROR(VLOOKUP(AF18,$B$5:$C$68,2,0),0)</f>
        <v>0</v>
      </c>
      <c r="AH18" s="186">
        <f t="shared" si="3"/>
        <v>13.700000000000001</v>
      </c>
      <c r="AI18" s="88" t="str">
        <f t="shared" si="0"/>
        <v xml:space="preserve"> </v>
      </c>
      <c r="AJ18" s="53" t="str">
        <f>IF(AI18="","",IFERROR(IF(VLOOKUP(AI18,Programa!$B$3:$C$18,2,0)="","",VLOOKUP(AI18,Programa!$B$3:$C$18,2,0)),""))</f>
        <v/>
      </c>
      <c r="AK18" s="53" t="str">
        <f t="shared" si="1"/>
        <v xml:space="preserve"> </v>
      </c>
      <c r="AL18" s="53" t="str">
        <f>IF(AK18="","",IFERROR(IF(VLOOKUP(AK18,Programa!$B$19:$C$34,2,0)="","",VLOOKUP(AK18,Programa!$B$19:$C$34,2,0)),""))</f>
        <v/>
      </c>
      <c r="AM18" s="53" t="str">
        <f t="shared" si="2"/>
        <v xml:space="preserve"> </v>
      </c>
      <c r="AN18" s="53" t="str">
        <f>IF(AM18="","",IFERROR(IF(VLOOKUP(AM18,Programa!$B$35:$C$50,2,0)="","",VLOOKUP(AM18,Programa!$B$35:$C$50,2,0)),""))</f>
        <v/>
      </c>
    </row>
    <row r="19" spans="1:40" ht="15.75" customHeight="1" x14ac:dyDescent="0.4">
      <c r="A19" s="252">
        <f>+A17+1</f>
        <v>8</v>
      </c>
      <c r="B19" s="253" t="str">
        <f>+STUD!B9</f>
        <v>SERVIFRENOS</v>
      </c>
      <c r="C19" s="244">
        <f>SUM(D20:AB20)</f>
        <v>13.700000000000001</v>
      </c>
      <c r="D19" s="109">
        <v>9</v>
      </c>
      <c r="E19" s="109">
        <v>1</v>
      </c>
      <c r="F19" s="109">
        <v>5</v>
      </c>
      <c r="G19" s="109">
        <v>2</v>
      </c>
      <c r="H19" s="109">
        <v>9</v>
      </c>
      <c r="I19" s="109">
        <v>2</v>
      </c>
      <c r="J19" s="109">
        <v>7</v>
      </c>
      <c r="K19" s="109">
        <v>5</v>
      </c>
      <c r="L19" s="109">
        <v>9</v>
      </c>
      <c r="M19" s="109">
        <v>8</v>
      </c>
      <c r="N19" s="109">
        <v>4</v>
      </c>
      <c r="O19" s="109">
        <v>11</v>
      </c>
      <c r="P19" s="109">
        <v>3</v>
      </c>
      <c r="Q19" s="109">
        <v>1</v>
      </c>
      <c r="R19" s="109">
        <v>2</v>
      </c>
      <c r="S19" s="109">
        <v>8</v>
      </c>
      <c r="T19" s="109">
        <v>8</v>
      </c>
      <c r="U19" s="109">
        <v>10</v>
      </c>
      <c r="V19" s="109">
        <v>3</v>
      </c>
      <c r="W19" s="109">
        <v>3</v>
      </c>
      <c r="X19" s="109">
        <v>14</v>
      </c>
      <c r="Y19" s="109">
        <v>8</v>
      </c>
      <c r="Z19" s="109">
        <v>4</v>
      </c>
      <c r="AA19" s="109"/>
      <c r="AB19" s="109"/>
      <c r="AC19" s="243">
        <f>SUM(D20:AB20)</f>
        <v>13.700000000000001</v>
      </c>
      <c r="AE19" s="161">
        <v>16</v>
      </c>
      <c r="AF19" s="145" t="str">
        <f>IF(ISBLANK(STUD!B17)," ",STUD!B17)</f>
        <v xml:space="preserve"> </v>
      </c>
      <c r="AG19" s="185">
        <f>IFERROR(VLOOKUP(AF19,$B$5:$C$68,2,0),0)</f>
        <v>0</v>
      </c>
      <c r="AH19" s="186">
        <f t="shared" si="3"/>
        <v>13.700000000000001</v>
      </c>
      <c r="AI19" s="88" t="str">
        <f t="shared" si="0"/>
        <v xml:space="preserve"> </v>
      </c>
      <c r="AJ19" s="53" t="str">
        <f>IF(AI19="","",IFERROR(IF(VLOOKUP(AI19,Programa!$B$3:$C$18,2,0)="","",VLOOKUP(AI19,Programa!$B$3:$C$18,2,0)),""))</f>
        <v/>
      </c>
      <c r="AK19" s="53" t="str">
        <f t="shared" si="1"/>
        <v xml:space="preserve"> </v>
      </c>
      <c r="AL19" s="53" t="str">
        <f>IF(AK19="","",IFERROR(IF(VLOOKUP(AK19,Programa!$B$19:$C$34,2,0)="","",VLOOKUP(AK19,Programa!$B$19:$C$34,2,0)),""))</f>
        <v/>
      </c>
      <c r="AM19" s="53" t="str">
        <f t="shared" si="2"/>
        <v xml:space="preserve"> </v>
      </c>
      <c r="AN19" s="53" t="str">
        <f>IF(AM19="","",IFERROR(IF(VLOOKUP(AM19,Programa!$B$35:$C$50,2,0)="","",VLOOKUP(AM19,Programa!$B$35:$C$50,2,0)),""))</f>
        <v/>
      </c>
    </row>
    <row r="20" spans="1:40" ht="15.75" customHeight="1" x14ac:dyDescent="0.4">
      <c r="A20" s="242"/>
      <c r="B20" s="253"/>
      <c r="C20" s="245"/>
      <c r="D20" s="138">
        <f t="shared" ref="D20:AB20" si="11">IF(IFERROR(IF(VLOOKUP(D19,D$181:D$185,1,0)&gt;=1,D$180,0),D19)=D$162,D$166,IF(IFERROR(IF(VLOOKUP(D19,D$181:D$185,1,0)&gt;=1,D$180,0),D19)=D$169,D$172,IF(IFERROR(IF(VLOOKUP(D19,D$181:D$185,1,0)&gt;=1,D$180,0),D19)=D$175,D$177,0)))</f>
        <v>9.7000000000000011</v>
      </c>
      <c r="E20" s="138">
        <f t="shared" si="11"/>
        <v>4</v>
      </c>
      <c r="F20" s="138">
        <f t="shared" si="11"/>
        <v>0</v>
      </c>
      <c r="G20" s="138">
        <f t="shared" si="11"/>
        <v>0</v>
      </c>
      <c r="H20" s="138">
        <f t="shared" si="11"/>
        <v>0</v>
      </c>
      <c r="I20" s="138">
        <f t="shared" si="11"/>
        <v>0</v>
      </c>
      <c r="J20" s="138">
        <f t="shared" si="11"/>
        <v>0</v>
      </c>
      <c r="K20" s="138">
        <f t="shared" si="11"/>
        <v>0</v>
      </c>
      <c r="L20" s="138">
        <f t="shared" si="11"/>
        <v>0</v>
      </c>
      <c r="M20" s="138">
        <f t="shared" si="11"/>
        <v>0</v>
      </c>
      <c r="N20" s="138">
        <f t="shared" si="11"/>
        <v>0</v>
      </c>
      <c r="O20" s="138">
        <f t="shared" si="11"/>
        <v>0</v>
      </c>
      <c r="P20" s="138">
        <f>IF(IFERROR(IF(VLOOKUP(P19,P$181:P$185,1,0)&gt;=1,P$180,0),P19)=P$162,P$166,IF(IFERROR(IF(VLOOKUP(P19,P$181:P$185,1,0)&gt;=1,P$180,0),P19)=P$169,P$172,IF(IFERROR(IF(VLOOKUP(P19,P$181:P$185,1,0)&gt;=1,P$180,0),P19)=P$175,P$177,0)))</f>
        <v>0</v>
      </c>
      <c r="Q20" s="138">
        <f t="shared" si="11"/>
        <v>0</v>
      </c>
      <c r="R20" s="138">
        <f t="shared" si="11"/>
        <v>0</v>
      </c>
      <c r="S20" s="138">
        <f t="shared" si="11"/>
        <v>0</v>
      </c>
      <c r="T20" s="138">
        <f t="shared" si="11"/>
        <v>0</v>
      </c>
      <c r="U20" s="138">
        <f t="shared" si="11"/>
        <v>0</v>
      </c>
      <c r="V20" s="138">
        <f t="shared" si="11"/>
        <v>0</v>
      </c>
      <c r="W20" s="138">
        <f t="shared" si="11"/>
        <v>0</v>
      </c>
      <c r="X20" s="138">
        <f t="shared" si="11"/>
        <v>0</v>
      </c>
      <c r="Y20" s="138">
        <f t="shared" si="11"/>
        <v>0</v>
      </c>
      <c r="Z20" s="138">
        <f t="shared" si="11"/>
        <v>0</v>
      </c>
      <c r="AA20" s="108">
        <f t="shared" si="11"/>
        <v>0</v>
      </c>
      <c r="AB20" s="108">
        <f t="shared" si="11"/>
        <v>0</v>
      </c>
      <c r="AC20" s="243"/>
      <c r="AE20" s="162">
        <v>17</v>
      </c>
      <c r="AF20" s="145" t="str">
        <f>IF(ISBLANK(STUD!B18)," ",STUD!B18)</f>
        <v xml:space="preserve"> </v>
      </c>
      <c r="AG20" s="185">
        <f>IFERROR(VLOOKUP(AF20,$B$5:$C$68,2,0),0)</f>
        <v>0</v>
      </c>
      <c r="AH20" s="186">
        <f t="shared" si="3"/>
        <v>13.700000000000001</v>
      </c>
      <c r="AI20" s="88" t="str">
        <f t="shared" si="0"/>
        <v xml:space="preserve"> </v>
      </c>
      <c r="AJ20" s="53" t="str">
        <f>IF(AI20="","",IFERROR(IF(VLOOKUP(AI20,Programa!$B$3:$C$18,2,0)="","",VLOOKUP(AI20,Programa!$B$3:$C$18,2,0)),""))</f>
        <v/>
      </c>
      <c r="AK20" s="53" t="str">
        <f t="shared" si="1"/>
        <v xml:space="preserve"> </v>
      </c>
      <c r="AL20" s="53" t="str">
        <f>IF(AK20="","",IFERROR(IF(VLOOKUP(AK20,Programa!$B$19:$C$34,2,0)="","",VLOOKUP(AK20,Programa!$B$19:$C$34,2,0)),""))</f>
        <v/>
      </c>
      <c r="AM20" s="53" t="str">
        <f t="shared" si="2"/>
        <v xml:space="preserve"> </v>
      </c>
      <c r="AN20" s="53" t="str">
        <f>IF(AM20="","",IFERROR(IF(VLOOKUP(AM20,Programa!$B$35:$C$50,2,0)="","",VLOOKUP(AM20,Programa!$B$35:$C$50,2,0)),""))</f>
        <v/>
      </c>
    </row>
    <row r="21" spans="1:40" ht="15.75" customHeight="1" x14ac:dyDescent="0.4">
      <c r="A21" s="252">
        <f>+A19+1</f>
        <v>9</v>
      </c>
      <c r="B21" s="253" t="str">
        <f>+STUD!B10</f>
        <v>AUMENTA MEDINA</v>
      </c>
      <c r="C21" s="244">
        <f>SUM(D22:AB22)</f>
        <v>5.0999999999999996</v>
      </c>
      <c r="D21" s="109">
        <v>3</v>
      </c>
      <c r="E21" s="109">
        <v>1</v>
      </c>
      <c r="F21" s="109">
        <v>5</v>
      </c>
      <c r="G21" s="109">
        <v>3</v>
      </c>
      <c r="H21" s="109">
        <v>14</v>
      </c>
      <c r="I21" s="109">
        <v>1</v>
      </c>
      <c r="J21" s="109">
        <v>7</v>
      </c>
      <c r="K21" s="109">
        <v>13</v>
      </c>
      <c r="L21" s="109">
        <v>2</v>
      </c>
      <c r="M21" s="109">
        <v>2</v>
      </c>
      <c r="N21" s="109">
        <v>4</v>
      </c>
      <c r="O21" s="109">
        <v>7</v>
      </c>
      <c r="P21" s="109">
        <v>1</v>
      </c>
      <c r="Q21" s="109">
        <v>1</v>
      </c>
      <c r="R21" s="109">
        <v>10</v>
      </c>
      <c r="S21" s="109">
        <v>8</v>
      </c>
      <c r="T21" s="109">
        <v>4</v>
      </c>
      <c r="U21" s="109">
        <v>10</v>
      </c>
      <c r="V21" s="109">
        <v>10</v>
      </c>
      <c r="W21" s="109">
        <v>6</v>
      </c>
      <c r="X21" s="109">
        <v>3</v>
      </c>
      <c r="Y21" s="109">
        <v>8</v>
      </c>
      <c r="Z21" s="109">
        <v>4</v>
      </c>
      <c r="AA21" s="109"/>
      <c r="AB21" s="109"/>
      <c r="AC21" s="243">
        <f>SUM(D22:AB22)</f>
        <v>5.0999999999999996</v>
      </c>
      <c r="AE21" s="163">
        <v>18</v>
      </c>
      <c r="AF21" s="145" t="str">
        <f>IF(ISBLANK(STUD!B19)," ",STUD!B19)</f>
        <v xml:space="preserve"> </v>
      </c>
      <c r="AG21" s="185">
        <f>IFERROR(VLOOKUP(AF21,$B$5:$C$68,2,0),0)</f>
        <v>0</v>
      </c>
      <c r="AH21" s="186">
        <f t="shared" si="3"/>
        <v>13.700000000000001</v>
      </c>
      <c r="AI21" s="88" t="str">
        <f t="shared" si="0"/>
        <v xml:space="preserve"> </v>
      </c>
      <c r="AJ21" s="53" t="str">
        <f>IF(AI21="","",IFERROR(IF(VLOOKUP(AI21,Programa!$B$3:$C$18,2,0)="","",VLOOKUP(AI21,Programa!$B$3:$C$18,2,0)),""))</f>
        <v/>
      </c>
      <c r="AK21" s="53" t="str">
        <f t="shared" si="1"/>
        <v xml:space="preserve"> </v>
      </c>
      <c r="AL21" s="53" t="str">
        <f>IF(AK21="","",IFERROR(IF(VLOOKUP(AK21,Programa!$B$19:$C$34,2,0)="","",VLOOKUP(AK21,Programa!$B$19:$C$34,2,0)),""))</f>
        <v/>
      </c>
      <c r="AM21" s="53" t="str">
        <f t="shared" si="2"/>
        <v xml:space="preserve"> </v>
      </c>
      <c r="AN21" s="53" t="str">
        <f>IF(AM21="","",IFERROR(IF(VLOOKUP(AM21,Programa!$B$35:$C$50,2,0)="","",VLOOKUP(AM21,Programa!$B$35:$C$50,2,0)),""))</f>
        <v/>
      </c>
    </row>
    <row r="22" spans="1:40" ht="15.75" customHeight="1" x14ac:dyDescent="0.4">
      <c r="A22" s="242"/>
      <c r="B22" s="253"/>
      <c r="C22" s="245"/>
      <c r="D22" s="138">
        <f t="shared" ref="D22:AB22" si="12">IF(IFERROR(IF(VLOOKUP(D21,D$181:D$185,1,0)&gt;=1,D$180,0),D21)=D$162,D$166,IF(IFERROR(IF(VLOOKUP(D21,D$181:D$185,1,0)&gt;=1,D$180,0),D21)=D$169,D$172,IF(IFERROR(IF(VLOOKUP(D21,D$181:D$185,1,0)&gt;=1,D$180,0),D21)=D$175,D$177,0)))</f>
        <v>1.1000000000000001</v>
      </c>
      <c r="E22" s="138">
        <f t="shared" si="12"/>
        <v>4</v>
      </c>
      <c r="F22" s="138">
        <f t="shared" si="12"/>
        <v>0</v>
      </c>
      <c r="G22" s="138">
        <f t="shared" si="12"/>
        <v>0</v>
      </c>
      <c r="H22" s="138">
        <f t="shared" si="12"/>
        <v>0</v>
      </c>
      <c r="I22" s="138">
        <f t="shared" si="12"/>
        <v>0</v>
      </c>
      <c r="J22" s="138">
        <f t="shared" si="12"/>
        <v>0</v>
      </c>
      <c r="K22" s="138">
        <f t="shared" si="12"/>
        <v>0</v>
      </c>
      <c r="L22" s="138">
        <f t="shared" si="12"/>
        <v>0</v>
      </c>
      <c r="M22" s="138">
        <f t="shared" si="12"/>
        <v>0</v>
      </c>
      <c r="N22" s="138">
        <f t="shared" si="12"/>
        <v>0</v>
      </c>
      <c r="O22" s="138">
        <f t="shared" si="12"/>
        <v>0</v>
      </c>
      <c r="P22" s="138">
        <f t="shared" si="12"/>
        <v>0</v>
      </c>
      <c r="Q22" s="138">
        <f t="shared" si="12"/>
        <v>0</v>
      </c>
      <c r="R22" s="138">
        <f t="shared" si="12"/>
        <v>0</v>
      </c>
      <c r="S22" s="138">
        <f t="shared" si="12"/>
        <v>0</v>
      </c>
      <c r="T22" s="138">
        <f t="shared" si="12"/>
        <v>0</v>
      </c>
      <c r="U22" s="138">
        <f t="shared" si="12"/>
        <v>0</v>
      </c>
      <c r="V22" s="138">
        <f t="shared" si="12"/>
        <v>0</v>
      </c>
      <c r="W22" s="138">
        <f t="shared" si="12"/>
        <v>0</v>
      </c>
      <c r="X22" s="138">
        <f t="shared" si="12"/>
        <v>0</v>
      </c>
      <c r="Y22" s="138">
        <f t="shared" si="12"/>
        <v>0</v>
      </c>
      <c r="Z22" s="138">
        <f t="shared" si="12"/>
        <v>0</v>
      </c>
      <c r="AA22" s="108">
        <f t="shared" si="12"/>
        <v>0</v>
      </c>
      <c r="AB22" s="108">
        <f t="shared" si="12"/>
        <v>0</v>
      </c>
      <c r="AC22" s="243"/>
      <c r="AE22" s="164">
        <v>19</v>
      </c>
      <c r="AF22" s="145" t="str">
        <f>IF(ISBLANK(STUD!B20)," ",STUD!B20)</f>
        <v xml:space="preserve"> </v>
      </c>
      <c r="AG22" s="185">
        <f>IFERROR(VLOOKUP(AF22,$B$5:$C$68,2,0),0)</f>
        <v>0</v>
      </c>
      <c r="AH22" s="186">
        <f t="shared" si="3"/>
        <v>13.700000000000001</v>
      </c>
      <c r="AI22" s="88" t="str">
        <f t="shared" si="0"/>
        <v xml:space="preserve"> </v>
      </c>
      <c r="AJ22" s="53" t="str">
        <f>IF(AI22="","",IFERROR(IF(VLOOKUP(AI22,Programa!$B$3:$C$18,2,0)="","",VLOOKUP(AI22,Programa!$B$3:$C$18,2,0)),""))</f>
        <v/>
      </c>
      <c r="AK22" s="53" t="str">
        <f t="shared" si="1"/>
        <v xml:space="preserve"> </v>
      </c>
      <c r="AL22" s="53" t="str">
        <f>IF(AK22="","",IFERROR(IF(VLOOKUP(AK22,Programa!$B$19:$C$34,2,0)="","",VLOOKUP(AK22,Programa!$B$19:$C$34,2,0)),""))</f>
        <v/>
      </c>
      <c r="AM22" s="53" t="str">
        <f t="shared" si="2"/>
        <v xml:space="preserve"> </v>
      </c>
      <c r="AN22" s="53" t="str">
        <f>IF(AM22="","",IFERROR(IF(VLOOKUP(AM22,Programa!$B$35:$C$50,2,0)="","",VLOOKUP(AM22,Programa!$B$35:$C$50,2,0)),""))</f>
        <v/>
      </c>
    </row>
    <row r="23" spans="1:40" ht="15.75" customHeight="1" x14ac:dyDescent="0.4">
      <c r="A23" s="252">
        <f>+A21+1</f>
        <v>10</v>
      </c>
      <c r="B23" s="253" t="str">
        <f>+STUD!B11</f>
        <v>PASASTE BANDIDO</v>
      </c>
      <c r="C23" s="244">
        <f>SUM(D24:AB24)</f>
        <v>4</v>
      </c>
      <c r="D23" s="109">
        <v>10</v>
      </c>
      <c r="E23" s="109">
        <v>1</v>
      </c>
      <c r="F23" s="109">
        <v>5</v>
      </c>
      <c r="G23" s="109">
        <v>11</v>
      </c>
      <c r="H23" s="109">
        <v>14</v>
      </c>
      <c r="I23" s="109">
        <v>9</v>
      </c>
      <c r="J23" s="109">
        <v>5</v>
      </c>
      <c r="K23" s="109">
        <v>2</v>
      </c>
      <c r="L23" s="109">
        <v>1</v>
      </c>
      <c r="M23" s="109">
        <v>14</v>
      </c>
      <c r="N23" s="109">
        <v>4</v>
      </c>
      <c r="O23" s="109">
        <v>11</v>
      </c>
      <c r="P23" s="109">
        <v>3</v>
      </c>
      <c r="Q23" s="109">
        <v>1</v>
      </c>
      <c r="R23" s="109">
        <v>2</v>
      </c>
      <c r="S23" s="109">
        <v>8</v>
      </c>
      <c r="T23" s="109">
        <v>2</v>
      </c>
      <c r="U23" s="109">
        <v>10</v>
      </c>
      <c r="V23" s="109">
        <v>7</v>
      </c>
      <c r="W23" s="109">
        <v>8</v>
      </c>
      <c r="X23" s="109">
        <v>13</v>
      </c>
      <c r="Y23" s="109">
        <v>7</v>
      </c>
      <c r="Z23" s="109">
        <v>4</v>
      </c>
      <c r="AA23" s="109"/>
      <c r="AB23" s="109"/>
      <c r="AC23" s="243">
        <f>SUM(D24:AB24)</f>
        <v>4</v>
      </c>
      <c r="AE23" s="165">
        <v>20</v>
      </c>
      <c r="AF23" s="145" t="str">
        <f>IF(ISBLANK(STUD!B21)," ",STUD!B21)</f>
        <v xml:space="preserve"> </v>
      </c>
      <c r="AG23" s="185">
        <f>IFERROR(VLOOKUP(AF23,$B$5:$C$68,2,0),0)</f>
        <v>0</v>
      </c>
      <c r="AH23" s="186">
        <f t="shared" si="3"/>
        <v>13.700000000000001</v>
      </c>
      <c r="AI23" s="88" t="str">
        <f t="shared" si="0"/>
        <v xml:space="preserve"> </v>
      </c>
      <c r="AJ23" s="53" t="str">
        <f>IF(AI23="","",IFERROR(IF(VLOOKUP(AI23,Programa!$B$3:$C$18,2,0)="","",VLOOKUP(AI23,Programa!$B$3:$C$18,2,0)),""))</f>
        <v/>
      </c>
      <c r="AK23" s="53" t="str">
        <f t="shared" si="1"/>
        <v xml:space="preserve"> </v>
      </c>
      <c r="AL23" s="53" t="str">
        <f>IF(AK23="","",IFERROR(IF(VLOOKUP(AK23,Programa!$B$19:$C$34,2,0)="","",VLOOKUP(AK23,Programa!$B$19:$C$34,2,0)),""))</f>
        <v/>
      </c>
      <c r="AM23" s="53" t="str">
        <f t="shared" si="2"/>
        <v xml:space="preserve"> </v>
      </c>
      <c r="AN23" s="53" t="str">
        <f>IF(AM23="","",IFERROR(IF(VLOOKUP(AM23,Programa!$B$35:$C$50,2,0)="","",VLOOKUP(AM23,Programa!$B$35:$C$50,2,0)),""))</f>
        <v/>
      </c>
    </row>
    <row r="24" spans="1:40" ht="15.75" customHeight="1" x14ac:dyDescent="0.4">
      <c r="A24" s="242"/>
      <c r="B24" s="253"/>
      <c r="C24" s="245"/>
      <c r="D24" s="138">
        <f t="shared" ref="D24:AB24" si="13">IF(IFERROR(IF(VLOOKUP(D23,D$181:D$185,1,0)&gt;=1,D$180,0),D23)=D$162,D$166,IF(IFERROR(IF(VLOOKUP(D23,D$181:D$185,1,0)&gt;=1,D$180,0),D23)=D$169,D$172,IF(IFERROR(IF(VLOOKUP(D23,D$181:D$185,1,0)&gt;=1,D$180,0),D23)=D$175,D$177,0)))</f>
        <v>0</v>
      </c>
      <c r="E24" s="138">
        <f t="shared" si="13"/>
        <v>4</v>
      </c>
      <c r="F24" s="138">
        <f t="shared" si="13"/>
        <v>0</v>
      </c>
      <c r="G24" s="138">
        <f t="shared" si="13"/>
        <v>0</v>
      </c>
      <c r="H24" s="138">
        <f t="shared" si="13"/>
        <v>0</v>
      </c>
      <c r="I24" s="138">
        <f t="shared" si="13"/>
        <v>0</v>
      </c>
      <c r="J24" s="138">
        <f t="shared" si="13"/>
        <v>0</v>
      </c>
      <c r="K24" s="138">
        <f t="shared" si="13"/>
        <v>0</v>
      </c>
      <c r="L24" s="138">
        <f t="shared" si="13"/>
        <v>0</v>
      </c>
      <c r="M24" s="138">
        <f t="shared" si="13"/>
        <v>0</v>
      </c>
      <c r="N24" s="138">
        <f t="shared" si="13"/>
        <v>0</v>
      </c>
      <c r="O24" s="138">
        <f t="shared" si="13"/>
        <v>0</v>
      </c>
      <c r="P24" s="138">
        <f t="shared" si="13"/>
        <v>0</v>
      </c>
      <c r="Q24" s="138">
        <f t="shared" si="13"/>
        <v>0</v>
      </c>
      <c r="R24" s="138">
        <f t="shared" si="13"/>
        <v>0</v>
      </c>
      <c r="S24" s="138">
        <f t="shared" si="13"/>
        <v>0</v>
      </c>
      <c r="T24" s="138">
        <f t="shared" si="13"/>
        <v>0</v>
      </c>
      <c r="U24" s="138">
        <f t="shared" si="13"/>
        <v>0</v>
      </c>
      <c r="V24" s="138">
        <f t="shared" si="13"/>
        <v>0</v>
      </c>
      <c r="W24" s="138">
        <f t="shared" si="13"/>
        <v>0</v>
      </c>
      <c r="X24" s="138">
        <f t="shared" si="13"/>
        <v>0</v>
      </c>
      <c r="Y24" s="138">
        <f t="shared" si="13"/>
        <v>0</v>
      </c>
      <c r="Z24" s="138">
        <f t="shared" si="13"/>
        <v>0</v>
      </c>
      <c r="AA24" s="108">
        <f t="shared" si="13"/>
        <v>0</v>
      </c>
      <c r="AB24" s="108">
        <f t="shared" si="13"/>
        <v>0</v>
      </c>
      <c r="AC24" s="243"/>
      <c r="AE24" s="166">
        <v>21</v>
      </c>
      <c r="AF24" s="145" t="str">
        <f>IF(ISBLANK(STUD!B22)," ",STUD!B22)</f>
        <v xml:space="preserve"> </v>
      </c>
      <c r="AG24" s="185">
        <f>IFERROR(VLOOKUP(AF24,$B$5:$C$68,2,0),0)</f>
        <v>0</v>
      </c>
      <c r="AH24" s="186">
        <f t="shared" si="3"/>
        <v>13.700000000000001</v>
      </c>
      <c r="AI24" s="88" t="str">
        <f t="shared" si="0"/>
        <v xml:space="preserve"> </v>
      </c>
      <c r="AJ24" s="53" t="str">
        <f>IF(AI24="","",IFERROR(IF(VLOOKUP(AI24,Programa!$B$3:$C$18,2,0)="","",VLOOKUP(AI24,Programa!$B$3:$C$18,2,0)),""))</f>
        <v/>
      </c>
      <c r="AK24" s="53" t="str">
        <f t="shared" si="1"/>
        <v xml:space="preserve"> </v>
      </c>
      <c r="AL24" s="53" t="str">
        <f>IF(AK24="","",IFERROR(IF(VLOOKUP(AK24,Programa!$B$19:$C$34,2,0)="","",VLOOKUP(AK24,Programa!$B$19:$C$34,2,0)),""))</f>
        <v/>
      </c>
      <c r="AM24" s="53" t="str">
        <f t="shared" si="2"/>
        <v xml:space="preserve"> </v>
      </c>
      <c r="AN24" s="53" t="str">
        <f>IF(AM24="","",IFERROR(IF(VLOOKUP(AM24,Programa!$B$35:$C$50,2,0)="","",VLOOKUP(AM24,Programa!$B$35:$C$50,2,0)),""))</f>
        <v/>
      </c>
    </row>
    <row r="25" spans="1:40" ht="15.75" hidden="1" customHeight="1" x14ac:dyDescent="0.4">
      <c r="A25" s="252">
        <f>+A23+1</f>
        <v>11</v>
      </c>
      <c r="B25" s="253">
        <f>+STUD!B12</f>
        <v>0</v>
      </c>
      <c r="C25" s="244">
        <f>SUM(D26:AB26)</f>
        <v>0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243">
        <f>SUM(D26:AB26)</f>
        <v>0</v>
      </c>
      <c r="AE25" s="167">
        <v>22</v>
      </c>
      <c r="AF25" s="145" t="str">
        <f>IF(ISBLANK(STUD!B23)," ",STUD!B23)</f>
        <v xml:space="preserve"> </v>
      </c>
      <c r="AG25" s="185">
        <f t="shared" ref="AG21:AG31" si="14">IFERROR(VLOOKUP(AF25,$B$5:$C$68,2,0),0)</f>
        <v>0</v>
      </c>
      <c r="AH25" s="186">
        <f t="shared" si="3"/>
        <v>13.700000000000001</v>
      </c>
      <c r="AI25" s="88" t="str">
        <f t="shared" si="0"/>
        <v xml:space="preserve"> </v>
      </c>
      <c r="AJ25" s="53" t="str">
        <f>IF(AI25="","",IFERROR(IF(VLOOKUP(AI25,Programa!$B$3:$C$18,2,0)="","",VLOOKUP(AI25,Programa!$B$3:$C$18,2,0)),""))</f>
        <v/>
      </c>
      <c r="AK25" s="53" t="str">
        <f t="shared" si="1"/>
        <v xml:space="preserve"> </v>
      </c>
      <c r="AL25" s="53" t="str">
        <f>IF(AK25="","",IFERROR(IF(VLOOKUP(AK25,Programa!$B$19:$C$34,2,0)="","",VLOOKUP(AK25,Programa!$B$19:$C$34,2,0)),""))</f>
        <v/>
      </c>
      <c r="AM25" s="53" t="str">
        <f t="shared" si="2"/>
        <v xml:space="preserve"> </v>
      </c>
      <c r="AN25" s="53" t="str">
        <f>IF(AM25="","",IFERROR(IF(VLOOKUP(AM25,Programa!$B$35:$C$50,2,0)="","",VLOOKUP(AM25,Programa!$B$35:$C$50,2,0)),""))</f>
        <v/>
      </c>
    </row>
    <row r="26" spans="1:40" ht="15.75" hidden="1" customHeight="1" x14ac:dyDescent="0.4">
      <c r="A26" s="242"/>
      <c r="B26" s="253"/>
      <c r="C26" s="245"/>
      <c r="D26" s="138">
        <f t="shared" ref="D26:AB26" si="15">IF(IFERROR(IF(VLOOKUP(D25,D$181:D$185,1,0)&gt;=1,D$180,0),D25)=D$162,D$166,IF(IFERROR(IF(VLOOKUP(D25,D$181:D$185,1,0)&gt;=1,D$180,0),D25)=D$169,D$172,IF(IFERROR(IF(VLOOKUP(D25,D$181:D$185,1,0)&gt;=1,D$180,0),D25)=D$175,D$177,0)))</f>
        <v>0</v>
      </c>
      <c r="E26" s="138">
        <f t="shared" si="15"/>
        <v>0</v>
      </c>
      <c r="F26" s="138">
        <f t="shared" si="15"/>
        <v>0</v>
      </c>
      <c r="G26" s="138">
        <f t="shared" si="15"/>
        <v>0</v>
      </c>
      <c r="H26" s="138">
        <f t="shared" si="15"/>
        <v>0</v>
      </c>
      <c r="I26" s="138">
        <f t="shared" si="15"/>
        <v>0</v>
      </c>
      <c r="J26" s="138">
        <f t="shared" si="15"/>
        <v>0</v>
      </c>
      <c r="K26" s="138">
        <f t="shared" si="15"/>
        <v>0</v>
      </c>
      <c r="L26" s="138">
        <f t="shared" si="15"/>
        <v>0</v>
      </c>
      <c r="M26" s="138">
        <f t="shared" si="15"/>
        <v>0</v>
      </c>
      <c r="N26" s="138">
        <f t="shared" si="15"/>
        <v>0</v>
      </c>
      <c r="O26" s="138">
        <f t="shared" si="15"/>
        <v>0</v>
      </c>
      <c r="P26" s="138">
        <f t="shared" si="15"/>
        <v>0</v>
      </c>
      <c r="Q26" s="138">
        <f t="shared" si="15"/>
        <v>0</v>
      </c>
      <c r="R26" s="138">
        <f t="shared" si="15"/>
        <v>0</v>
      </c>
      <c r="S26" s="138">
        <f t="shared" si="15"/>
        <v>0</v>
      </c>
      <c r="T26" s="138">
        <f t="shared" si="15"/>
        <v>0</v>
      </c>
      <c r="U26" s="138">
        <f t="shared" si="15"/>
        <v>0</v>
      </c>
      <c r="V26" s="138">
        <f t="shared" si="15"/>
        <v>0</v>
      </c>
      <c r="W26" s="138">
        <f t="shared" si="15"/>
        <v>0</v>
      </c>
      <c r="X26" s="138">
        <f t="shared" si="15"/>
        <v>0</v>
      </c>
      <c r="Y26" s="108">
        <f t="shared" si="15"/>
        <v>0</v>
      </c>
      <c r="Z26" s="108">
        <f t="shared" si="15"/>
        <v>0</v>
      </c>
      <c r="AA26" s="108">
        <f t="shared" si="15"/>
        <v>0</v>
      </c>
      <c r="AB26" s="108">
        <f t="shared" si="15"/>
        <v>0</v>
      </c>
      <c r="AC26" s="243"/>
      <c r="AE26" s="168">
        <v>23</v>
      </c>
      <c r="AF26" s="145" t="str">
        <f>IF(ISBLANK(STUD!B24)," ",STUD!B24)</f>
        <v xml:space="preserve"> </v>
      </c>
      <c r="AG26" s="185">
        <f t="shared" si="14"/>
        <v>0</v>
      </c>
      <c r="AH26" s="186">
        <f t="shared" si="3"/>
        <v>13.700000000000001</v>
      </c>
      <c r="AI26" s="88" t="str">
        <f t="shared" si="0"/>
        <v xml:space="preserve"> </v>
      </c>
      <c r="AJ26" s="53" t="str">
        <f>IF(AI26="","",IFERROR(IF(VLOOKUP(AI26,Programa!$B$3:$C$18,2,0)="","",VLOOKUP(AI26,Programa!$B$3:$C$18,2,0)),""))</f>
        <v/>
      </c>
      <c r="AK26" s="53" t="str">
        <f t="shared" si="1"/>
        <v xml:space="preserve"> </v>
      </c>
      <c r="AL26" s="53" t="str">
        <f>IF(AK26="","",IFERROR(IF(VLOOKUP(AK26,Programa!$B$19:$C$34,2,0)="","",VLOOKUP(AK26,Programa!$B$19:$C$34,2,0)),""))</f>
        <v/>
      </c>
      <c r="AM26" s="53" t="str">
        <f t="shared" si="2"/>
        <v xml:space="preserve"> </v>
      </c>
      <c r="AN26" s="53" t="str">
        <f>IF(AM26="","",IFERROR(IF(VLOOKUP(AM26,Programa!$B$35:$C$50,2,0)="","",VLOOKUP(AM26,Programa!$B$35:$C$50,2,0)),""))</f>
        <v/>
      </c>
    </row>
    <row r="27" spans="1:40" ht="15.75" hidden="1" customHeight="1" x14ac:dyDescent="0.4">
      <c r="A27" s="252">
        <f>+A25+1</f>
        <v>12</v>
      </c>
      <c r="B27" s="253">
        <f>+STUD!B13</f>
        <v>0</v>
      </c>
      <c r="C27" s="244">
        <f>SUM(D28:AB28)</f>
        <v>0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243">
        <f>SUM(D28:AB28)</f>
        <v>0</v>
      </c>
      <c r="AE27" s="189">
        <v>24</v>
      </c>
      <c r="AF27" s="145" t="str">
        <f>IF(ISBLANK(STUD!B25)," ",STUD!B25)</f>
        <v xml:space="preserve"> </v>
      </c>
      <c r="AG27" s="185">
        <f t="shared" si="14"/>
        <v>0</v>
      </c>
      <c r="AH27" s="186">
        <f t="shared" si="3"/>
        <v>13.700000000000001</v>
      </c>
      <c r="AI27" s="88" t="str">
        <f t="shared" si="0"/>
        <v xml:space="preserve"> </v>
      </c>
      <c r="AJ27" s="53" t="str">
        <f>IF(AI27="","",IFERROR(IF(VLOOKUP(AI27,Programa!$B$3:$C$18,2,0)="","",VLOOKUP(AI27,Programa!$B$3:$C$18,2,0)),""))</f>
        <v/>
      </c>
      <c r="AK27" s="53" t="str">
        <f t="shared" si="1"/>
        <v xml:space="preserve"> </v>
      </c>
      <c r="AL27" s="53" t="str">
        <f>IF(AK27="","",IFERROR(IF(VLOOKUP(AK27,Programa!$B$19:$C$34,2,0)="","",VLOOKUP(AK27,Programa!$B$19:$C$34,2,0)),""))</f>
        <v/>
      </c>
      <c r="AM27" s="53" t="str">
        <f t="shared" si="2"/>
        <v xml:space="preserve"> </v>
      </c>
      <c r="AN27" s="53" t="str">
        <f>IF(AM27="","",IFERROR(IF(VLOOKUP(AM27,Programa!$B$35:$C$50,2,0)="","",VLOOKUP(AM27,Programa!$B$35:$C$50,2,0)),""))</f>
        <v/>
      </c>
    </row>
    <row r="28" spans="1:40" ht="15.75" hidden="1" customHeight="1" x14ac:dyDescent="0.4">
      <c r="A28" s="242"/>
      <c r="B28" s="253"/>
      <c r="C28" s="245"/>
      <c r="D28" s="138">
        <f t="shared" ref="D28:AB28" si="16">IF(IFERROR(IF(VLOOKUP(D27,D$181:D$185,1,0)&gt;=1,D$180,0),D27)=D$162,D$166,IF(IFERROR(IF(VLOOKUP(D27,D$181:D$185,1,0)&gt;=1,D$180,0),D27)=D$169,D$172,IF(IFERROR(IF(VLOOKUP(D27,D$181:D$185,1,0)&gt;=1,D$180,0),D27)=D$175,D$177,0)))</f>
        <v>0</v>
      </c>
      <c r="E28" s="138">
        <f t="shared" si="16"/>
        <v>0</v>
      </c>
      <c r="F28" s="138">
        <f t="shared" si="16"/>
        <v>0</v>
      </c>
      <c r="G28" s="138">
        <f t="shared" si="16"/>
        <v>0</v>
      </c>
      <c r="H28" s="138">
        <f t="shared" si="16"/>
        <v>0</v>
      </c>
      <c r="I28" s="138">
        <f t="shared" si="16"/>
        <v>0</v>
      </c>
      <c r="J28" s="138">
        <f t="shared" si="16"/>
        <v>0</v>
      </c>
      <c r="K28" s="138">
        <f t="shared" si="16"/>
        <v>0</v>
      </c>
      <c r="L28" s="138">
        <f t="shared" si="16"/>
        <v>0</v>
      </c>
      <c r="M28" s="138">
        <f t="shared" si="16"/>
        <v>0</v>
      </c>
      <c r="N28" s="138">
        <f t="shared" si="16"/>
        <v>0</v>
      </c>
      <c r="O28" s="138">
        <f t="shared" si="16"/>
        <v>0</v>
      </c>
      <c r="P28" s="138">
        <f t="shared" si="16"/>
        <v>0</v>
      </c>
      <c r="Q28" s="138">
        <f t="shared" si="16"/>
        <v>0</v>
      </c>
      <c r="R28" s="138">
        <f t="shared" si="16"/>
        <v>0</v>
      </c>
      <c r="S28" s="138">
        <f t="shared" si="16"/>
        <v>0</v>
      </c>
      <c r="T28" s="138">
        <f t="shared" si="16"/>
        <v>0</v>
      </c>
      <c r="U28" s="138">
        <f t="shared" si="16"/>
        <v>0</v>
      </c>
      <c r="V28" s="138">
        <f t="shared" si="16"/>
        <v>0</v>
      </c>
      <c r="W28" s="138">
        <f t="shared" si="16"/>
        <v>0</v>
      </c>
      <c r="X28" s="138">
        <f t="shared" si="16"/>
        <v>0</v>
      </c>
      <c r="Y28" s="108">
        <f t="shared" si="16"/>
        <v>0</v>
      </c>
      <c r="Z28" s="108">
        <f t="shared" si="16"/>
        <v>0</v>
      </c>
      <c r="AA28" s="108">
        <f t="shared" si="16"/>
        <v>0</v>
      </c>
      <c r="AB28" s="108">
        <f t="shared" si="16"/>
        <v>0</v>
      </c>
      <c r="AC28" s="243"/>
      <c r="AE28" s="190">
        <v>25</v>
      </c>
      <c r="AF28" s="145" t="str">
        <f>IF(ISBLANK(STUD!B26)," ",STUD!B26)</f>
        <v xml:space="preserve"> </v>
      </c>
      <c r="AG28" s="185">
        <f t="shared" si="14"/>
        <v>0</v>
      </c>
      <c r="AH28" s="186">
        <f t="shared" si="3"/>
        <v>13.700000000000001</v>
      </c>
      <c r="AI28" s="88" t="str">
        <f t="shared" si="0"/>
        <v xml:space="preserve"> </v>
      </c>
      <c r="AJ28" s="53" t="str">
        <f>IF(AI28="","",IFERROR(IF(VLOOKUP(AI28,Programa!$B$3:$C$18,2,0)="","",VLOOKUP(AI28,Programa!$B$3:$C$18,2,0)),""))</f>
        <v/>
      </c>
      <c r="AK28" s="53" t="str">
        <f t="shared" si="1"/>
        <v xml:space="preserve"> </v>
      </c>
      <c r="AL28" s="53" t="str">
        <f>IF(AK28="","",IFERROR(IF(VLOOKUP(AK28,Programa!$B$19:$C$34,2,0)="","",VLOOKUP(AK28,Programa!$B$19:$C$34,2,0)),""))</f>
        <v/>
      </c>
      <c r="AM28" s="53" t="str">
        <f t="shared" si="2"/>
        <v xml:space="preserve"> </v>
      </c>
      <c r="AN28" s="53" t="str">
        <f>IF(AM28="","",IFERROR(IF(VLOOKUP(AM28,Programa!$B$35:$C$50,2,0)="","",VLOOKUP(AM28,Programa!$B$35:$C$50,2,0)),""))</f>
        <v/>
      </c>
    </row>
    <row r="29" spans="1:40" ht="15.75" hidden="1" customHeight="1" x14ac:dyDescent="0.4">
      <c r="A29" s="252">
        <f>+A27+1</f>
        <v>13</v>
      </c>
      <c r="B29" s="253">
        <f>+STUD!B14</f>
        <v>0</v>
      </c>
      <c r="C29" s="244">
        <f>SUM(D30:AB30)</f>
        <v>0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09"/>
      <c r="W29" s="109"/>
      <c r="X29" s="109"/>
      <c r="Y29" s="109"/>
      <c r="Z29" s="111"/>
      <c r="AA29" s="111"/>
      <c r="AB29" s="111"/>
      <c r="AC29" s="243">
        <f>SUM(D30:AB30)</f>
        <v>0</v>
      </c>
      <c r="AE29" s="85">
        <v>26</v>
      </c>
      <c r="AF29" s="91" t="str">
        <f>IF(ISBLANK(STUD!B27)," ",STUD!B27)</f>
        <v xml:space="preserve"> </v>
      </c>
      <c r="AG29" s="91">
        <f t="shared" si="14"/>
        <v>0</v>
      </c>
      <c r="AH29" s="92">
        <f t="shared" si="3"/>
        <v>13.700000000000001</v>
      </c>
      <c r="AI29" s="88" t="str">
        <f t="shared" si="0"/>
        <v xml:space="preserve"> </v>
      </c>
      <c r="AJ29" s="53" t="str">
        <f>IF(AI29="","",IFERROR(IF(VLOOKUP(AI29,Programa!$B$3:$C$18,2,0)="","",VLOOKUP(AI29,Programa!$B$3:$C$18,2,0)),""))</f>
        <v/>
      </c>
      <c r="AK29" s="53" t="str">
        <f t="shared" si="1"/>
        <v xml:space="preserve"> </v>
      </c>
      <c r="AL29" s="53" t="str">
        <f>IF(AK29="","",IFERROR(IF(VLOOKUP(AK29,Programa!$B$19:$C$34,2,0)="","",VLOOKUP(AK29,Programa!$B$19:$C$34,2,0)),""))</f>
        <v/>
      </c>
      <c r="AM29" s="53" t="str">
        <f t="shared" si="2"/>
        <v xml:space="preserve"> </v>
      </c>
      <c r="AN29" s="53" t="str">
        <f>IF(AM29="","",IFERROR(IF(VLOOKUP(AM29,Programa!$B$35:$C$50,2,0)="","",VLOOKUP(AM29,Programa!$B$35:$C$50,2,0)),""))</f>
        <v/>
      </c>
    </row>
    <row r="30" spans="1:40" ht="15.75" hidden="1" customHeight="1" x14ac:dyDescent="0.4">
      <c r="A30" s="242"/>
      <c r="B30" s="253"/>
      <c r="C30" s="245"/>
      <c r="D30" s="138">
        <f t="shared" ref="D30:AB30" si="17">IF(IFERROR(IF(VLOOKUP(D29,D$181:D$185,1,0)&gt;=1,D$180,0),D29)=D$162,D$166,IF(IFERROR(IF(VLOOKUP(D29,D$181:D$185,1,0)&gt;=1,D$180,0),D29)=D$169,D$172,IF(IFERROR(IF(VLOOKUP(D29,D$181:D$185,1,0)&gt;=1,D$180,0),D29)=D$175,D$177,0)))</f>
        <v>0</v>
      </c>
      <c r="E30" s="138">
        <f t="shared" si="17"/>
        <v>0</v>
      </c>
      <c r="F30" s="138">
        <f t="shared" si="17"/>
        <v>0</v>
      </c>
      <c r="G30" s="138">
        <f t="shared" si="17"/>
        <v>0</v>
      </c>
      <c r="H30" s="138">
        <f t="shared" si="17"/>
        <v>0</v>
      </c>
      <c r="I30" s="138">
        <f t="shared" si="17"/>
        <v>0</v>
      </c>
      <c r="J30" s="138">
        <f t="shared" si="17"/>
        <v>0</v>
      </c>
      <c r="K30" s="138">
        <f t="shared" si="17"/>
        <v>0</v>
      </c>
      <c r="L30" s="138">
        <f t="shared" si="17"/>
        <v>0</v>
      </c>
      <c r="M30" s="138">
        <f t="shared" si="17"/>
        <v>0</v>
      </c>
      <c r="N30" s="138">
        <f t="shared" si="17"/>
        <v>0</v>
      </c>
      <c r="O30" s="138">
        <f t="shared" si="17"/>
        <v>0</v>
      </c>
      <c r="P30" s="138">
        <f t="shared" si="17"/>
        <v>0</v>
      </c>
      <c r="Q30" s="138">
        <f t="shared" si="17"/>
        <v>0</v>
      </c>
      <c r="R30" s="138">
        <f t="shared" si="17"/>
        <v>0</v>
      </c>
      <c r="S30" s="138">
        <f t="shared" si="17"/>
        <v>0</v>
      </c>
      <c r="T30" s="138">
        <f t="shared" si="17"/>
        <v>0</v>
      </c>
      <c r="U30" s="138">
        <f t="shared" si="17"/>
        <v>0</v>
      </c>
      <c r="V30" s="138">
        <f t="shared" si="17"/>
        <v>0</v>
      </c>
      <c r="W30" s="138">
        <f t="shared" si="17"/>
        <v>0</v>
      </c>
      <c r="X30" s="138">
        <f t="shared" si="17"/>
        <v>0</v>
      </c>
      <c r="Y30" s="108">
        <f t="shared" si="17"/>
        <v>0</v>
      </c>
      <c r="Z30" s="108">
        <f t="shared" si="17"/>
        <v>0</v>
      </c>
      <c r="AA30" s="108">
        <f t="shared" si="17"/>
        <v>0</v>
      </c>
      <c r="AB30" s="108">
        <f t="shared" si="17"/>
        <v>0</v>
      </c>
      <c r="AC30" s="243"/>
      <c r="AE30" s="86">
        <v>27</v>
      </c>
      <c r="AF30" s="91" t="str">
        <f>IF(ISBLANK(STUD!B28)," ",STUD!B28)</f>
        <v xml:space="preserve"> </v>
      </c>
      <c r="AG30" s="91">
        <f t="shared" si="14"/>
        <v>0</v>
      </c>
      <c r="AH30" s="92">
        <f t="shared" si="3"/>
        <v>13.700000000000001</v>
      </c>
      <c r="AI30" s="88" t="str">
        <f t="shared" si="0"/>
        <v xml:space="preserve"> </v>
      </c>
      <c r="AJ30" s="53" t="str">
        <f>IF(AI30="","",IFERROR(IF(VLOOKUP(AI30,Programa!$B$3:$C$18,2,0)="","",VLOOKUP(AI30,Programa!$B$3:$C$18,2,0)),""))</f>
        <v/>
      </c>
      <c r="AK30" s="53" t="str">
        <f t="shared" si="1"/>
        <v xml:space="preserve"> </v>
      </c>
      <c r="AL30" s="53" t="str">
        <f>IF(AK30="","",IFERROR(IF(VLOOKUP(AK30,Programa!$B$19:$C$34,2,0)="","",VLOOKUP(AK30,Programa!$B$19:$C$34,2,0)),""))</f>
        <v/>
      </c>
      <c r="AM30" s="53" t="str">
        <f t="shared" si="2"/>
        <v xml:space="preserve"> </v>
      </c>
      <c r="AN30" s="53" t="str">
        <f>IF(AM30="","",IFERROR(IF(VLOOKUP(AM30,Programa!$B$35:$C$50,2,0)="","",VLOOKUP(AM30,Programa!$B$35:$C$50,2,0)),""))</f>
        <v/>
      </c>
    </row>
    <row r="31" spans="1:40" ht="15.75" hidden="1" customHeight="1" x14ac:dyDescent="0.4">
      <c r="A31" s="252">
        <f>+A29+1</f>
        <v>14</v>
      </c>
      <c r="B31" s="253">
        <f>+STUD!B15</f>
        <v>0</v>
      </c>
      <c r="C31" s="244">
        <f>SUM(D32:AB32)</f>
        <v>0</v>
      </c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09"/>
      <c r="W31" s="109"/>
      <c r="X31" s="109"/>
      <c r="Y31" s="109"/>
      <c r="Z31" s="111"/>
      <c r="AA31" s="111"/>
      <c r="AB31" s="111"/>
      <c r="AC31" s="243">
        <f>SUM(D32:AB32)</f>
        <v>0</v>
      </c>
      <c r="AE31" s="87">
        <v>28</v>
      </c>
      <c r="AF31" s="91" t="str">
        <f>IF(ISBLANK(STUD!B29)," ",STUD!B29)</f>
        <v xml:space="preserve"> </v>
      </c>
      <c r="AG31" s="91">
        <f t="shared" si="14"/>
        <v>0</v>
      </c>
      <c r="AH31" s="92">
        <f t="shared" si="3"/>
        <v>13.700000000000001</v>
      </c>
      <c r="AI31" s="88" t="str">
        <f t="shared" si="0"/>
        <v xml:space="preserve"> </v>
      </c>
      <c r="AJ31" s="53" t="str">
        <f>IF(AI31="","",IFERROR(IF(VLOOKUP(AI31,Programa!$B$3:$C$18,2,0)="","",VLOOKUP(AI31,Programa!$B$3:$C$18,2,0)),""))</f>
        <v/>
      </c>
      <c r="AK31" s="53" t="str">
        <f t="shared" si="1"/>
        <v xml:space="preserve"> </v>
      </c>
      <c r="AL31" s="53" t="str">
        <f>IF(AK31="","",IFERROR(IF(VLOOKUP(AK31,Programa!$B$19:$C$34,2,0)="","",VLOOKUP(AK31,Programa!$B$19:$C$34,2,0)),""))</f>
        <v/>
      </c>
      <c r="AM31" s="53" t="str">
        <f t="shared" si="2"/>
        <v xml:space="preserve"> </v>
      </c>
      <c r="AN31" s="53" t="str">
        <f>IF(AM31="","",IFERROR(IF(VLOOKUP(AM31,Programa!$B$35:$C$50,2,0)="","",VLOOKUP(AM31,Programa!$B$35:$C$50,2,0)),""))</f>
        <v/>
      </c>
    </row>
    <row r="32" spans="1:40" ht="15.75" hidden="1" customHeight="1" x14ac:dyDescent="0.4">
      <c r="A32" s="242"/>
      <c r="B32" s="253"/>
      <c r="C32" s="245"/>
      <c r="D32" s="138">
        <f t="shared" ref="D32:AB32" si="18">IF(IFERROR(IF(VLOOKUP(D31,D$181:D$185,1,0)&gt;=1,D$180,0),D31)=D$162,D$166,IF(IFERROR(IF(VLOOKUP(D31,D$181:D$185,1,0)&gt;=1,D$180,0),D31)=D$169,D$172,IF(IFERROR(IF(VLOOKUP(D31,D$181:D$185,1,0)&gt;=1,D$180,0),D31)=D$175,D$177,0)))</f>
        <v>0</v>
      </c>
      <c r="E32" s="138">
        <f t="shared" si="18"/>
        <v>0</v>
      </c>
      <c r="F32" s="138">
        <f t="shared" si="18"/>
        <v>0</v>
      </c>
      <c r="G32" s="138">
        <f t="shared" si="18"/>
        <v>0</v>
      </c>
      <c r="H32" s="138">
        <f t="shared" si="18"/>
        <v>0</v>
      </c>
      <c r="I32" s="138">
        <f t="shared" si="18"/>
        <v>0</v>
      </c>
      <c r="J32" s="138">
        <f t="shared" si="18"/>
        <v>0</v>
      </c>
      <c r="K32" s="138">
        <f t="shared" si="18"/>
        <v>0</v>
      </c>
      <c r="L32" s="138">
        <f t="shared" si="18"/>
        <v>0</v>
      </c>
      <c r="M32" s="138">
        <f t="shared" si="18"/>
        <v>0</v>
      </c>
      <c r="N32" s="138">
        <f t="shared" si="18"/>
        <v>0</v>
      </c>
      <c r="O32" s="138">
        <f t="shared" si="18"/>
        <v>0</v>
      </c>
      <c r="P32" s="138">
        <f t="shared" si="18"/>
        <v>0</v>
      </c>
      <c r="Q32" s="138">
        <f t="shared" si="18"/>
        <v>0</v>
      </c>
      <c r="R32" s="138">
        <f t="shared" si="18"/>
        <v>0</v>
      </c>
      <c r="S32" s="138">
        <f t="shared" si="18"/>
        <v>0</v>
      </c>
      <c r="T32" s="138">
        <f t="shared" si="18"/>
        <v>0</v>
      </c>
      <c r="U32" s="138">
        <f t="shared" si="18"/>
        <v>0</v>
      </c>
      <c r="V32" s="138">
        <f t="shared" si="18"/>
        <v>0</v>
      </c>
      <c r="W32" s="138">
        <f t="shared" si="18"/>
        <v>0</v>
      </c>
      <c r="X32" s="138">
        <f t="shared" si="18"/>
        <v>0</v>
      </c>
      <c r="Y32" s="108">
        <f t="shared" si="18"/>
        <v>0</v>
      </c>
      <c r="Z32" s="108">
        <f t="shared" si="18"/>
        <v>0</v>
      </c>
      <c r="AA32" s="108">
        <f t="shared" si="18"/>
        <v>0</v>
      </c>
      <c r="AB32" s="108">
        <f t="shared" si="18"/>
        <v>0</v>
      </c>
      <c r="AC32" s="243"/>
      <c r="AI32" s="54"/>
      <c r="AJ32" s="54"/>
      <c r="AK32" s="54"/>
      <c r="AL32" s="54"/>
      <c r="AM32" s="54"/>
      <c r="AN32" s="54"/>
    </row>
    <row r="33" spans="1:34" ht="15.75" hidden="1" customHeight="1" x14ac:dyDescent="0.45">
      <c r="A33" s="252">
        <f>+A31+1</f>
        <v>15</v>
      </c>
      <c r="B33" s="253">
        <f>+STUD!B16</f>
        <v>0</v>
      </c>
      <c r="C33" s="244">
        <f>SUM(D34:AB34)</f>
        <v>0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11"/>
      <c r="AA33" s="111"/>
      <c r="AB33" s="111"/>
      <c r="AC33" s="243">
        <f>SUM(D34:AB34)</f>
        <v>0</v>
      </c>
      <c r="AE33" s="55" t="s">
        <v>51</v>
      </c>
      <c r="AF33" s="61">
        <f>COUNTA(STUD!B2:B29)</f>
        <v>10</v>
      </c>
      <c r="AG33" s="55" t="s">
        <v>16</v>
      </c>
      <c r="AH33" s="56">
        <f>(AF33-1)*10000</f>
        <v>90000</v>
      </c>
    </row>
    <row r="34" spans="1:34" ht="15.75" hidden="1" customHeight="1" x14ac:dyDescent="0.4">
      <c r="A34" s="242"/>
      <c r="B34" s="253"/>
      <c r="C34" s="245"/>
      <c r="D34" s="138">
        <f t="shared" ref="D34:AB34" si="19">IF(IFERROR(IF(VLOOKUP(D33,D$181:D$185,1,0)&gt;=1,D$180,0),D33)=D$162,D$166,IF(IFERROR(IF(VLOOKUP(D33,D$181:D$185,1,0)&gt;=1,D$180,0),D33)=D$169,D$172,IF(IFERROR(IF(VLOOKUP(D33,D$181:D$185,1,0)&gt;=1,D$180,0),D33)=D$175,D$177,0)))</f>
        <v>0</v>
      </c>
      <c r="E34" s="138">
        <f t="shared" si="19"/>
        <v>0</v>
      </c>
      <c r="F34" s="138">
        <f t="shared" si="19"/>
        <v>0</v>
      </c>
      <c r="G34" s="138">
        <f t="shared" si="19"/>
        <v>0</v>
      </c>
      <c r="H34" s="138">
        <f t="shared" si="19"/>
        <v>0</v>
      </c>
      <c r="I34" s="138">
        <f t="shared" si="19"/>
        <v>0</v>
      </c>
      <c r="J34" s="138">
        <f t="shared" si="19"/>
        <v>0</v>
      </c>
      <c r="K34" s="138">
        <f t="shared" si="19"/>
        <v>0</v>
      </c>
      <c r="L34" s="138">
        <f t="shared" si="19"/>
        <v>0</v>
      </c>
      <c r="M34" s="138">
        <f t="shared" si="19"/>
        <v>0</v>
      </c>
      <c r="N34" s="138">
        <f t="shared" si="19"/>
        <v>0</v>
      </c>
      <c r="O34" s="138">
        <f t="shared" si="19"/>
        <v>0</v>
      </c>
      <c r="P34" s="138">
        <f t="shared" si="19"/>
        <v>0</v>
      </c>
      <c r="Q34" s="138">
        <f t="shared" si="19"/>
        <v>0</v>
      </c>
      <c r="R34" s="138">
        <f t="shared" si="19"/>
        <v>0</v>
      </c>
      <c r="S34" s="138">
        <f t="shared" si="19"/>
        <v>0</v>
      </c>
      <c r="T34" s="138">
        <f t="shared" si="19"/>
        <v>0</v>
      </c>
      <c r="U34" s="138">
        <f t="shared" si="19"/>
        <v>0</v>
      </c>
      <c r="V34" s="138">
        <f t="shared" si="19"/>
        <v>0</v>
      </c>
      <c r="W34" s="138">
        <f t="shared" si="19"/>
        <v>0</v>
      </c>
      <c r="X34" s="138">
        <f t="shared" si="19"/>
        <v>0</v>
      </c>
      <c r="Y34" s="108">
        <f t="shared" si="19"/>
        <v>0</v>
      </c>
      <c r="Z34" s="108">
        <f t="shared" si="19"/>
        <v>0</v>
      </c>
      <c r="AA34" s="108">
        <f t="shared" si="19"/>
        <v>0</v>
      </c>
      <c r="AB34" s="108">
        <f t="shared" si="19"/>
        <v>0</v>
      </c>
      <c r="AC34" s="243"/>
      <c r="AE34" s="58" t="s">
        <v>38</v>
      </c>
      <c r="AF34" s="58"/>
      <c r="AG34" s="59">
        <f>($AH$33-$AG$36)*80%</f>
        <v>64800</v>
      </c>
      <c r="AH34" s="59"/>
    </row>
    <row r="35" spans="1:34" ht="15.75" hidden="1" customHeight="1" x14ac:dyDescent="0.4">
      <c r="A35" s="252">
        <f>+A33+1</f>
        <v>16</v>
      </c>
      <c r="B35" s="253">
        <f>+STUD!B17</f>
        <v>0</v>
      </c>
      <c r="C35" s="244">
        <f>SUM(D36:AB36)</f>
        <v>0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11"/>
      <c r="AA35" s="111"/>
      <c r="AB35" s="111"/>
      <c r="AC35" s="243">
        <f>SUM(D36:AB36)</f>
        <v>0</v>
      </c>
      <c r="AE35" s="58" t="s">
        <v>39</v>
      </c>
      <c r="AF35" s="58"/>
      <c r="AG35" s="59">
        <f>($AH$33-$AG$36)*20%</f>
        <v>16200</v>
      </c>
      <c r="AH35" s="59"/>
    </row>
    <row r="36" spans="1:34" ht="15.75" hidden="1" customHeight="1" x14ac:dyDescent="0.4">
      <c r="A36" s="242"/>
      <c r="B36" s="253"/>
      <c r="C36" s="245"/>
      <c r="D36" s="138">
        <f t="shared" ref="D36:AB36" si="20">IF(IFERROR(IF(VLOOKUP(D35,D$181:D$185,1,0)&gt;=1,D$180,0),D35)=D$162,D$166,IF(IFERROR(IF(VLOOKUP(D35,D$181:D$185,1,0)&gt;=1,D$180,0),D35)=D$169,D$172,IF(IFERROR(IF(VLOOKUP(D35,D$181:D$185,1,0)&gt;=1,D$180,0),D35)=D$175,D$177,0)))</f>
        <v>0</v>
      </c>
      <c r="E36" s="138">
        <f t="shared" si="20"/>
        <v>0</v>
      </c>
      <c r="F36" s="138">
        <f t="shared" si="20"/>
        <v>0</v>
      </c>
      <c r="G36" s="138">
        <f t="shared" si="20"/>
        <v>0</v>
      </c>
      <c r="H36" s="138">
        <f t="shared" si="20"/>
        <v>0</v>
      </c>
      <c r="I36" s="138">
        <f t="shared" si="20"/>
        <v>0</v>
      </c>
      <c r="J36" s="138">
        <f t="shared" si="20"/>
        <v>0</v>
      </c>
      <c r="K36" s="138">
        <f t="shared" si="20"/>
        <v>0</v>
      </c>
      <c r="L36" s="138">
        <f t="shared" si="20"/>
        <v>0</v>
      </c>
      <c r="M36" s="138">
        <f t="shared" si="20"/>
        <v>0</v>
      </c>
      <c r="N36" s="138">
        <f t="shared" si="20"/>
        <v>0</v>
      </c>
      <c r="O36" s="138">
        <f t="shared" si="20"/>
        <v>0</v>
      </c>
      <c r="P36" s="138">
        <f t="shared" si="20"/>
        <v>0</v>
      </c>
      <c r="Q36" s="138">
        <f t="shared" si="20"/>
        <v>0</v>
      </c>
      <c r="R36" s="138">
        <f t="shared" si="20"/>
        <v>0</v>
      </c>
      <c r="S36" s="138">
        <f t="shared" si="20"/>
        <v>0</v>
      </c>
      <c r="T36" s="138">
        <f t="shared" si="20"/>
        <v>0</v>
      </c>
      <c r="U36" s="138">
        <f t="shared" si="20"/>
        <v>0</v>
      </c>
      <c r="V36" s="138">
        <f t="shared" si="20"/>
        <v>0</v>
      </c>
      <c r="W36" s="138">
        <f t="shared" si="20"/>
        <v>0</v>
      </c>
      <c r="X36" s="138">
        <f t="shared" si="20"/>
        <v>0</v>
      </c>
      <c r="Y36" s="108">
        <f t="shared" si="20"/>
        <v>0</v>
      </c>
      <c r="Z36" s="108">
        <f t="shared" si="20"/>
        <v>0</v>
      </c>
      <c r="AA36" s="108">
        <f t="shared" si="20"/>
        <v>0</v>
      </c>
      <c r="AB36" s="108">
        <f t="shared" si="20"/>
        <v>0</v>
      </c>
      <c r="AC36" s="243"/>
      <c r="AE36" s="58" t="s">
        <v>40</v>
      </c>
      <c r="AF36" s="58"/>
      <c r="AG36" s="60">
        <f>(AH33*10%)</f>
        <v>9000</v>
      </c>
      <c r="AH36" s="60"/>
    </row>
    <row r="37" spans="1:34" ht="15.75" hidden="1" customHeight="1" x14ac:dyDescent="0.4">
      <c r="A37" s="252">
        <f>+A35+1</f>
        <v>17</v>
      </c>
      <c r="B37" s="253">
        <f>+STUD!B18</f>
        <v>0</v>
      </c>
      <c r="C37" s="244">
        <f>SUM(D38:AB38)</f>
        <v>0</v>
      </c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11"/>
      <c r="AA37" s="111"/>
      <c r="AB37" s="111"/>
      <c r="AC37" s="243">
        <f>SUM(D38:AB38)</f>
        <v>0</v>
      </c>
    </row>
    <row r="38" spans="1:34" ht="15.75" hidden="1" customHeight="1" x14ac:dyDescent="0.4">
      <c r="A38" s="242"/>
      <c r="B38" s="253"/>
      <c r="C38" s="245"/>
      <c r="D38" s="108">
        <f t="shared" ref="D38:AB38" si="21">IF(IFERROR(IF(VLOOKUP(D37,D$181:D$185,1,0)&gt;=1,D$180,0),D37)=D$162,D$166,IF(IFERROR(IF(VLOOKUP(D37,D$181:D$185,1,0)&gt;=1,D$180,0),D37)=D$169,D$172,IF(IFERROR(IF(VLOOKUP(D37,D$181:D$185,1,0)&gt;=1,D$180,0),D37)=D$175,D$177,0)))</f>
        <v>0</v>
      </c>
      <c r="E38" s="108">
        <f t="shared" si="21"/>
        <v>0</v>
      </c>
      <c r="F38" s="108">
        <f t="shared" si="21"/>
        <v>0</v>
      </c>
      <c r="G38" s="108">
        <f t="shared" si="21"/>
        <v>0</v>
      </c>
      <c r="H38" s="108">
        <f t="shared" si="21"/>
        <v>0</v>
      </c>
      <c r="I38" s="108">
        <f t="shared" si="21"/>
        <v>0</v>
      </c>
      <c r="J38" s="108">
        <f t="shared" si="21"/>
        <v>0</v>
      </c>
      <c r="K38" s="108">
        <f t="shared" si="21"/>
        <v>0</v>
      </c>
      <c r="L38" s="108">
        <f t="shared" si="21"/>
        <v>0</v>
      </c>
      <c r="M38" s="108">
        <f t="shared" si="21"/>
        <v>0</v>
      </c>
      <c r="N38" s="108">
        <f t="shared" si="21"/>
        <v>0</v>
      </c>
      <c r="O38" s="108">
        <f t="shared" si="21"/>
        <v>0</v>
      </c>
      <c r="P38" s="108">
        <f t="shared" si="21"/>
        <v>0</v>
      </c>
      <c r="Q38" s="108">
        <f t="shared" si="21"/>
        <v>0</v>
      </c>
      <c r="R38" s="108">
        <f t="shared" si="21"/>
        <v>0</v>
      </c>
      <c r="S38" s="108">
        <f t="shared" si="21"/>
        <v>0</v>
      </c>
      <c r="T38" s="108">
        <f t="shared" si="21"/>
        <v>0</v>
      </c>
      <c r="U38" s="108">
        <f t="shared" si="21"/>
        <v>0</v>
      </c>
      <c r="V38" s="108">
        <f t="shared" si="21"/>
        <v>0</v>
      </c>
      <c r="W38" s="108">
        <f t="shared" si="21"/>
        <v>0</v>
      </c>
      <c r="X38" s="108">
        <f t="shared" si="21"/>
        <v>0</v>
      </c>
      <c r="Y38" s="108">
        <f t="shared" si="21"/>
        <v>0</v>
      </c>
      <c r="Z38" s="108">
        <f t="shared" si="21"/>
        <v>0</v>
      </c>
      <c r="AA38" s="108">
        <f t="shared" si="21"/>
        <v>0</v>
      </c>
      <c r="AB38" s="108">
        <f t="shared" si="21"/>
        <v>0</v>
      </c>
      <c r="AC38" s="243"/>
    </row>
    <row r="39" spans="1:34" ht="15.75" hidden="1" customHeight="1" x14ac:dyDescent="0.4">
      <c r="A39" s="252">
        <f>+A37+1</f>
        <v>18</v>
      </c>
      <c r="B39" s="253">
        <f>+STUD!B19</f>
        <v>0</v>
      </c>
      <c r="C39" s="244">
        <f>SUM(D40:AB40)</f>
        <v>0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11"/>
      <c r="Y39" s="111"/>
      <c r="Z39" s="111"/>
      <c r="AA39" s="111"/>
      <c r="AB39" s="111"/>
      <c r="AC39" s="243">
        <f>SUM(D40:AB40)</f>
        <v>0</v>
      </c>
    </row>
    <row r="40" spans="1:34" ht="15.75" hidden="1" customHeight="1" x14ac:dyDescent="0.4">
      <c r="A40" s="242"/>
      <c r="B40" s="253"/>
      <c r="C40" s="245"/>
      <c r="D40" s="108">
        <f t="shared" ref="D40:AB40" si="22">IF(IFERROR(IF(VLOOKUP(D39,D$181:D$185,1,0)&gt;=1,D$180,0),D39)=D$162,D$166,IF(IFERROR(IF(VLOOKUP(D39,D$181:D$185,1,0)&gt;=1,D$180,0),D39)=D$169,D$172,IF(IFERROR(IF(VLOOKUP(D39,D$181:D$185,1,0)&gt;=1,D$180,0),D39)=D$175,D$177,0)))</f>
        <v>0</v>
      </c>
      <c r="E40" s="108">
        <f t="shared" si="22"/>
        <v>0</v>
      </c>
      <c r="F40" s="108">
        <f t="shared" si="22"/>
        <v>0</v>
      </c>
      <c r="G40" s="108">
        <f t="shared" si="22"/>
        <v>0</v>
      </c>
      <c r="H40" s="108">
        <f t="shared" si="22"/>
        <v>0</v>
      </c>
      <c r="I40" s="108">
        <f t="shared" si="22"/>
        <v>0</v>
      </c>
      <c r="J40" s="108">
        <f t="shared" si="22"/>
        <v>0</v>
      </c>
      <c r="K40" s="108">
        <f t="shared" si="22"/>
        <v>0</v>
      </c>
      <c r="L40" s="108">
        <f t="shared" si="22"/>
        <v>0</v>
      </c>
      <c r="M40" s="108">
        <f t="shared" si="22"/>
        <v>0</v>
      </c>
      <c r="N40" s="108">
        <f t="shared" si="22"/>
        <v>0</v>
      </c>
      <c r="O40" s="108">
        <f t="shared" si="22"/>
        <v>0</v>
      </c>
      <c r="P40" s="108">
        <f t="shared" si="22"/>
        <v>0</v>
      </c>
      <c r="Q40" s="108">
        <f t="shared" si="22"/>
        <v>0</v>
      </c>
      <c r="R40" s="108">
        <f t="shared" si="22"/>
        <v>0</v>
      </c>
      <c r="S40" s="108">
        <f t="shared" si="22"/>
        <v>0</v>
      </c>
      <c r="T40" s="108">
        <f t="shared" si="22"/>
        <v>0</v>
      </c>
      <c r="U40" s="108">
        <f t="shared" si="22"/>
        <v>0</v>
      </c>
      <c r="V40" s="108">
        <f t="shared" si="22"/>
        <v>0</v>
      </c>
      <c r="W40" s="108">
        <f t="shared" si="22"/>
        <v>0</v>
      </c>
      <c r="X40" s="108">
        <f t="shared" si="22"/>
        <v>0</v>
      </c>
      <c r="Y40" s="108">
        <f t="shared" si="22"/>
        <v>0</v>
      </c>
      <c r="Z40" s="108">
        <f t="shared" si="22"/>
        <v>0</v>
      </c>
      <c r="AA40" s="108">
        <f t="shared" si="22"/>
        <v>0</v>
      </c>
      <c r="AB40" s="108">
        <f t="shared" si="22"/>
        <v>0</v>
      </c>
      <c r="AC40" s="243"/>
    </row>
    <row r="41" spans="1:34" ht="15.75" hidden="1" customHeight="1" x14ac:dyDescent="0.4">
      <c r="A41" s="252">
        <f>+A39+1</f>
        <v>19</v>
      </c>
      <c r="B41" s="253">
        <f>+STUD!B20</f>
        <v>0</v>
      </c>
      <c r="C41" s="244">
        <f>SUM(D42:AB42)</f>
        <v>0</v>
      </c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11"/>
      <c r="Y41" s="111"/>
      <c r="Z41" s="111"/>
      <c r="AA41" s="111"/>
      <c r="AB41" s="111"/>
      <c r="AC41" s="243">
        <f>SUM(D42:AB42)</f>
        <v>0</v>
      </c>
    </row>
    <row r="42" spans="1:34" ht="15.75" hidden="1" customHeight="1" x14ac:dyDescent="0.4">
      <c r="A42" s="242"/>
      <c r="B42" s="253"/>
      <c r="C42" s="245"/>
      <c r="D42" s="108">
        <f t="shared" ref="D42:AB42" si="23">IF(IFERROR(IF(VLOOKUP(D41,D$181:D$185,1,0)&gt;=1,D$180,0),D41)=D$162,D$166,IF(IFERROR(IF(VLOOKUP(D41,D$181:D$185,1,0)&gt;=1,D$180,0),D41)=D$169,D$172,IF(IFERROR(IF(VLOOKUP(D41,D$181:D$185,1,0)&gt;=1,D$180,0),D41)=D$175,D$177,0)))</f>
        <v>0</v>
      </c>
      <c r="E42" s="108">
        <f t="shared" si="23"/>
        <v>0</v>
      </c>
      <c r="F42" s="108">
        <f t="shared" si="23"/>
        <v>0</v>
      </c>
      <c r="G42" s="108">
        <f t="shared" si="23"/>
        <v>0</v>
      </c>
      <c r="H42" s="108">
        <f t="shared" si="23"/>
        <v>0</v>
      </c>
      <c r="I42" s="108">
        <f t="shared" si="23"/>
        <v>0</v>
      </c>
      <c r="J42" s="108">
        <f t="shared" si="23"/>
        <v>0</v>
      </c>
      <c r="K42" s="108">
        <f t="shared" si="23"/>
        <v>0</v>
      </c>
      <c r="L42" s="108">
        <f t="shared" si="23"/>
        <v>0</v>
      </c>
      <c r="M42" s="108">
        <f t="shared" si="23"/>
        <v>0</v>
      </c>
      <c r="N42" s="108">
        <f t="shared" si="23"/>
        <v>0</v>
      </c>
      <c r="O42" s="108">
        <f t="shared" si="23"/>
        <v>0</v>
      </c>
      <c r="P42" s="108">
        <f t="shared" si="23"/>
        <v>0</v>
      </c>
      <c r="Q42" s="108">
        <f t="shared" si="23"/>
        <v>0</v>
      </c>
      <c r="R42" s="108">
        <f t="shared" si="23"/>
        <v>0</v>
      </c>
      <c r="S42" s="108">
        <f t="shared" si="23"/>
        <v>0</v>
      </c>
      <c r="T42" s="108">
        <f t="shared" si="23"/>
        <v>0</v>
      </c>
      <c r="U42" s="108">
        <f t="shared" si="23"/>
        <v>0</v>
      </c>
      <c r="V42" s="108">
        <f t="shared" si="23"/>
        <v>0</v>
      </c>
      <c r="W42" s="108">
        <f t="shared" si="23"/>
        <v>0</v>
      </c>
      <c r="X42" s="108">
        <f t="shared" si="23"/>
        <v>0</v>
      </c>
      <c r="Y42" s="108">
        <f t="shared" si="23"/>
        <v>0</v>
      </c>
      <c r="Z42" s="108">
        <f t="shared" si="23"/>
        <v>0</v>
      </c>
      <c r="AA42" s="108">
        <f t="shared" si="23"/>
        <v>0</v>
      </c>
      <c r="AB42" s="108">
        <f t="shared" si="23"/>
        <v>0</v>
      </c>
      <c r="AC42" s="243"/>
    </row>
    <row r="43" spans="1:34" ht="15.75" hidden="1" customHeight="1" x14ac:dyDescent="0.4">
      <c r="A43" s="252">
        <f>+A41+1</f>
        <v>20</v>
      </c>
      <c r="B43" s="253">
        <f>+STUD!B21</f>
        <v>0</v>
      </c>
      <c r="C43" s="244">
        <f>SUM(D44:AB44)</f>
        <v>0</v>
      </c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11"/>
      <c r="Y43" s="111"/>
      <c r="Z43" s="111"/>
      <c r="AA43" s="111"/>
      <c r="AB43" s="111"/>
      <c r="AC43" s="243">
        <f>SUM(D44:AB44)</f>
        <v>0</v>
      </c>
    </row>
    <row r="44" spans="1:34" ht="15.75" hidden="1" customHeight="1" x14ac:dyDescent="0.4">
      <c r="A44" s="242"/>
      <c r="B44" s="253"/>
      <c r="C44" s="245"/>
      <c r="D44" s="108">
        <f t="shared" ref="D44:AB44" si="24">IF(IFERROR(IF(VLOOKUP(D43,D$181:D$185,1,0)&gt;=1,D$180,0),D43)=D$162,D$166,IF(IFERROR(IF(VLOOKUP(D43,D$181:D$185,1,0)&gt;=1,D$180,0),D43)=D$169,D$172,IF(IFERROR(IF(VLOOKUP(D43,D$181:D$185,1,0)&gt;=1,D$180,0),D43)=D$175,D$177,0)))</f>
        <v>0</v>
      </c>
      <c r="E44" s="108">
        <f t="shared" si="24"/>
        <v>0</v>
      </c>
      <c r="F44" s="108">
        <f t="shared" si="24"/>
        <v>0</v>
      </c>
      <c r="G44" s="108">
        <f t="shared" si="24"/>
        <v>0</v>
      </c>
      <c r="H44" s="108">
        <f t="shared" si="24"/>
        <v>0</v>
      </c>
      <c r="I44" s="108">
        <f t="shared" si="24"/>
        <v>0</v>
      </c>
      <c r="J44" s="108">
        <f t="shared" si="24"/>
        <v>0</v>
      </c>
      <c r="K44" s="108">
        <f t="shared" si="24"/>
        <v>0</v>
      </c>
      <c r="L44" s="108">
        <f t="shared" si="24"/>
        <v>0</v>
      </c>
      <c r="M44" s="108">
        <f t="shared" si="24"/>
        <v>0</v>
      </c>
      <c r="N44" s="108">
        <f t="shared" si="24"/>
        <v>0</v>
      </c>
      <c r="O44" s="108">
        <f t="shared" si="24"/>
        <v>0</v>
      </c>
      <c r="P44" s="108">
        <f t="shared" si="24"/>
        <v>0</v>
      </c>
      <c r="Q44" s="108">
        <f t="shared" si="24"/>
        <v>0</v>
      </c>
      <c r="R44" s="108">
        <f t="shared" si="24"/>
        <v>0</v>
      </c>
      <c r="S44" s="108">
        <f t="shared" si="24"/>
        <v>0</v>
      </c>
      <c r="T44" s="108">
        <f t="shared" si="24"/>
        <v>0</v>
      </c>
      <c r="U44" s="108">
        <f t="shared" si="24"/>
        <v>0</v>
      </c>
      <c r="V44" s="108">
        <f t="shared" si="24"/>
        <v>0</v>
      </c>
      <c r="W44" s="108">
        <f t="shared" si="24"/>
        <v>0</v>
      </c>
      <c r="X44" s="108">
        <f t="shared" si="24"/>
        <v>0</v>
      </c>
      <c r="Y44" s="108">
        <f t="shared" si="24"/>
        <v>0</v>
      </c>
      <c r="Z44" s="108">
        <f t="shared" si="24"/>
        <v>0</v>
      </c>
      <c r="AA44" s="108">
        <f t="shared" si="24"/>
        <v>0</v>
      </c>
      <c r="AB44" s="108">
        <f t="shared" si="24"/>
        <v>0</v>
      </c>
      <c r="AC44" s="243"/>
    </row>
    <row r="45" spans="1:34" ht="15.75" hidden="1" customHeight="1" x14ac:dyDescent="0.4">
      <c r="A45" s="252">
        <f>+A43+1</f>
        <v>21</v>
      </c>
      <c r="B45" s="253">
        <f>+STUD!B22</f>
        <v>0</v>
      </c>
      <c r="C45" s="244">
        <f>SUM(D46:AB46)</f>
        <v>0</v>
      </c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11"/>
      <c r="Y45" s="111"/>
      <c r="Z45" s="111"/>
      <c r="AA45" s="111"/>
      <c r="AB45" s="111"/>
      <c r="AC45" s="243">
        <f>SUM(D46:AB46)</f>
        <v>0</v>
      </c>
    </row>
    <row r="46" spans="1:34" ht="15.75" hidden="1" customHeight="1" x14ac:dyDescent="0.4">
      <c r="A46" s="242"/>
      <c r="B46" s="253"/>
      <c r="C46" s="245"/>
      <c r="D46" s="108">
        <f t="shared" ref="D46:AB46" si="25">IF(IFERROR(IF(VLOOKUP(D45,D$181:D$185,1,0)&gt;=1,D$180,0),D45)=D$162,D$166,IF(IFERROR(IF(VLOOKUP(D45,D$181:D$185,1,0)&gt;=1,D$180,0),D45)=D$169,D$172,IF(IFERROR(IF(VLOOKUP(D45,D$181:D$185,1,0)&gt;=1,D$180,0),D45)=D$175,D$177,0)))</f>
        <v>0</v>
      </c>
      <c r="E46" s="108">
        <f t="shared" si="25"/>
        <v>0</v>
      </c>
      <c r="F46" s="108">
        <f t="shared" si="25"/>
        <v>0</v>
      </c>
      <c r="G46" s="108">
        <f t="shared" si="25"/>
        <v>0</v>
      </c>
      <c r="H46" s="108">
        <f t="shared" si="25"/>
        <v>0</v>
      </c>
      <c r="I46" s="108">
        <f t="shared" si="25"/>
        <v>0</v>
      </c>
      <c r="J46" s="108">
        <f t="shared" si="25"/>
        <v>0</v>
      </c>
      <c r="K46" s="108">
        <f t="shared" si="25"/>
        <v>0</v>
      </c>
      <c r="L46" s="108">
        <f t="shared" si="25"/>
        <v>0</v>
      </c>
      <c r="M46" s="108">
        <f t="shared" si="25"/>
        <v>0</v>
      </c>
      <c r="N46" s="108">
        <f t="shared" si="25"/>
        <v>0</v>
      </c>
      <c r="O46" s="108">
        <f t="shared" si="25"/>
        <v>0</v>
      </c>
      <c r="P46" s="108">
        <f t="shared" si="25"/>
        <v>0</v>
      </c>
      <c r="Q46" s="108">
        <f t="shared" si="25"/>
        <v>0</v>
      </c>
      <c r="R46" s="108">
        <f t="shared" si="25"/>
        <v>0</v>
      </c>
      <c r="S46" s="108">
        <f t="shared" si="25"/>
        <v>0</v>
      </c>
      <c r="T46" s="108">
        <f t="shared" si="25"/>
        <v>0</v>
      </c>
      <c r="U46" s="108">
        <f t="shared" si="25"/>
        <v>0</v>
      </c>
      <c r="V46" s="108">
        <f t="shared" si="25"/>
        <v>0</v>
      </c>
      <c r="W46" s="108">
        <f t="shared" si="25"/>
        <v>0</v>
      </c>
      <c r="X46" s="108">
        <f t="shared" si="25"/>
        <v>0</v>
      </c>
      <c r="Y46" s="108">
        <f t="shared" si="25"/>
        <v>0</v>
      </c>
      <c r="Z46" s="108">
        <f t="shared" si="25"/>
        <v>0</v>
      </c>
      <c r="AA46" s="108">
        <f t="shared" si="25"/>
        <v>0</v>
      </c>
      <c r="AB46" s="108">
        <f t="shared" si="25"/>
        <v>0</v>
      </c>
      <c r="AC46" s="243"/>
    </row>
    <row r="47" spans="1:34" ht="15.75" hidden="1" customHeight="1" x14ac:dyDescent="0.4">
      <c r="A47" s="252">
        <f>+A45+1</f>
        <v>22</v>
      </c>
      <c r="B47" s="253">
        <f>+STUD!B23</f>
        <v>0</v>
      </c>
      <c r="C47" s="244">
        <f>SUM(D48:AB48)</f>
        <v>0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11"/>
      <c r="Y47" s="111"/>
      <c r="Z47" s="111"/>
      <c r="AA47" s="111"/>
      <c r="AB47" s="111"/>
      <c r="AC47" s="243">
        <f>SUM(D48:AB48)</f>
        <v>0</v>
      </c>
    </row>
    <row r="48" spans="1:34" ht="15.75" hidden="1" customHeight="1" x14ac:dyDescent="0.4">
      <c r="A48" s="242"/>
      <c r="B48" s="253"/>
      <c r="C48" s="245"/>
      <c r="D48" s="108">
        <f t="shared" ref="D48:AB48" si="26">IF(IFERROR(IF(VLOOKUP(D47,D$181:D$185,1,0)&gt;=1,D$180,0),D47)=D$162,D$166,IF(IFERROR(IF(VLOOKUP(D47,D$181:D$185,1,0)&gt;=1,D$180,0),D47)=D$169,D$172,IF(IFERROR(IF(VLOOKUP(D47,D$181:D$185,1,0)&gt;=1,D$180,0),D47)=D$175,D$177,0)))</f>
        <v>0</v>
      </c>
      <c r="E48" s="108">
        <f t="shared" si="26"/>
        <v>0</v>
      </c>
      <c r="F48" s="108">
        <f t="shared" si="26"/>
        <v>0</v>
      </c>
      <c r="G48" s="108">
        <f t="shared" si="26"/>
        <v>0</v>
      </c>
      <c r="H48" s="108">
        <f t="shared" si="26"/>
        <v>0</v>
      </c>
      <c r="I48" s="108">
        <f t="shared" si="26"/>
        <v>0</v>
      </c>
      <c r="J48" s="108">
        <f t="shared" si="26"/>
        <v>0</v>
      </c>
      <c r="K48" s="108">
        <f t="shared" si="26"/>
        <v>0</v>
      </c>
      <c r="L48" s="108">
        <f t="shared" si="26"/>
        <v>0</v>
      </c>
      <c r="M48" s="108">
        <f t="shared" si="26"/>
        <v>0</v>
      </c>
      <c r="N48" s="108">
        <f t="shared" si="26"/>
        <v>0</v>
      </c>
      <c r="O48" s="108">
        <f t="shared" si="26"/>
        <v>0</v>
      </c>
      <c r="P48" s="108">
        <f t="shared" si="26"/>
        <v>0</v>
      </c>
      <c r="Q48" s="108">
        <f t="shared" si="26"/>
        <v>0</v>
      </c>
      <c r="R48" s="108">
        <f t="shared" si="26"/>
        <v>0</v>
      </c>
      <c r="S48" s="108">
        <f t="shared" si="26"/>
        <v>0</v>
      </c>
      <c r="T48" s="108">
        <f t="shared" si="26"/>
        <v>0</v>
      </c>
      <c r="U48" s="108">
        <f t="shared" si="26"/>
        <v>0</v>
      </c>
      <c r="V48" s="108">
        <f t="shared" si="26"/>
        <v>0</v>
      </c>
      <c r="W48" s="108">
        <f t="shared" si="26"/>
        <v>0</v>
      </c>
      <c r="X48" s="108">
        <f t="shared" si="26"/>
        <v>0</v>
      </c>
      <c r="Y48" s="108">
        <f t="shared" si="26"/>
        <v>0</v>
      </c>
      <c r="Z48" s="108">
        <f t="shared" si="26"/>
        <v>0</v>
      </c>
      <c r="AA48" s="108">
        <f t="shared" si="26"/>
        <v>0</v>
      </c>
      <c r="AB48" s="108">
        <f t="shared" si="26"/>
        <v>0</v>
      </c>
      <c r="AC48" s="243"/>
    </row>
    <row r="49" spans="1:29" ht="15.75" hidden="1" customHeight="1" x14ac:dyDescent="0.4">
      <c r="A49" s="252">
        <f>+A47+1</f>
        <v>23</v>
      </c>
      <c r="B49" s="253">
        <f>+STUD!B24</f>
        <v>0</v>
      </c>
      <c r="C49" s="244">
        <f>SUM(D50:AB50)</f>
        <v>0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11"/>
      <c r="Y49" s="111"/>
      <c r="Z49" s="111"/>
      <c r="AA49" s="111"/>
      <c r="AB49" s="111"/>
      <c r="AC49" s="243">
        <f>SUM(D50:AB50)</f>
        <v>0</v>
      </c>
    </row>
    <row r="50" spans="1:29" ht="15.75" hidden="1" customHeight="1" x14ac:dyDescent="0.4">
      <c r="A50" s="242"/>
      <c r="B50" s="253"/>
      <c r="C50" s="245"/>
      <c r="D50" s="108">
        <f t="shared" ref="D50:AB50" si="27">IF(IFERROR(IF(VLOOKUP(D49,D$181:D$185,1,0)&gt;=1,D$180,0),D49)=D$162,D$166,IF(IFERROR(IF(VLOOKUP(D49,D$181:D$185,1,0)&gt;=1,D$180,0),D49)=D$169,D$172,IF(IFERROR(IF(VLOOKUP(D49,D$181:D$185,1,0)&gt;=1,D$180,0),D49)=D$175,D$177,0)))</f>
        <v>0</v>
      </c>
      <c r="E50" s="108">
        <f t="shared" si="27"/>
        <v>0</v>
      </c>
      <c r="F50" s="108">
        <f t="shared" si="27"/>
        <v>0</v>
      </c>
      <c r="G50" s="108">
        <f t="shared" si="27"/>
        <v>0</v>
      </c>
      <c r="H50" s="108">
        <f t="shared" si="27"/>
        <v>0</v>
      </c>
      <c r="I50" s="108">
        <f t="shared" si="27"/>
        <v>0</v>
      </c>
      <c r="J50" s="108">
        <f t="shared" si="27"/>
        <v>0</v>
      </c>
      <c r="K50" s="108">
        <f t="shared" si="27"/>
        <v>0</v>
      </c>
      <c r="L50" s="108">
        <f t="shared" si="27"/>
        <v>0</v>
      </c>
      <c r="M50" s="108">
        <f t="shared" si="27"/>
        <v>0</v>
      </c>
      <c r="N50" s="108">
        <f t="shared" si="27"/>
        <v>0</v>
      </c>
      <c r="O50" s="108">
        <f t="shared" si="27"/>
        <v>0</v>
      </c>
      <c r="P50" s="108">
        <f t="shared" si="27"/>
        <v>0</v>
      </c>
      <c r="Q50" s="108">
        <f t="shared" si="27"/>
        <v>0</v>
      </c>
      <c r="R50" s="108">
        <f t="shared" si="27"/>
        <v>0</v>
      </c>
      <c r="S50" s="108">
        <f t="shared" si="27"/>
        <v>0</v>
      </c>
      <c r="T50" s="108">
        <f t="shared" si="27"/>
        <v>0</v>
      </c>
      <c r="U50" s="108">
        <f t="shared" si="27"/>
        <v>0</v>
      </c>
      <c r="V50" s="108">
        <f t="shared" si="27"/>
        <v>0</v>
      </c>
      <c r="W50" s="108">
        <f t="shared" si="27"/>
        <v>0</v>
      </c>
      <c r="X50" s="108">
        <f t="shared" si="27"/>
        <v>0</v>
      </c>
      <c r="Y50" s="108">
        <f t="shared" si="27"/>
        <v>0</v>
      </c>
      <c r="Z50" s="108">
        <f t="shared" si="27"/>
        <v>0</v>
      </c>
      <c r="AA50" s="108">
        <f t="shared" si="27"/>
        <v>0</v>
      </c>
      <c r="AB50" s="108">
        <f t="shared" si="27"/>
        <v>0</v>
      </c>
      <c r="AC50" s="243"/>
    </row>
    <row r="51" spans="1:29" ht="15.75" hidden="1" customHeight="1" x14ac:dyDescent="0.4">
      <c r="A51" s="252">
        <f>+A49+1</f>
        <v>24</v>
      </c>
      <c r="B51" s="253">
        <f>+STUD!B25</f>
        <v>0</v>
      </c>
      <c r="C51" s="244">
        <f>SUM(D52:AB52)</f>
        <v>0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11"/>
      <c r="Y51" s="111"/>
      <c r="Z51" s="111"/>
      <c r="AA51" s="111"/>
      <c r="AB51" s="111"/>
      <c r="AC51" s="243">
        <f>SUM(D52:AB52)</f>
        <v>0</v>
      </c>
    </row>
    <row r="52" spans="1:29" ht="15.75" hidden="1" customHeight="1" x14ac:dyDescent="0.4">
      <c r="A52" s="242"/>
      <c r="B52" s="253"/>
      <c r="C52" s="245"/>
      <c r="D52" s="108">
        <f t="shared" ref="D52:AB52" si="28">IF(IFERROR(IF(VLOOKUP(D51,D$181:D$185,1,0)&gt;=1,D$180,0),D51)=D$162,D$166,IF(IFERROR(IF(VLOOKUP(D51,D$181:D$185,1,0)&gt;=1,D$180,0),D51)=D$169,D$172,IF(IFERROR(IF(VLOOKUP(D51,D$181:D$185,1,0)&gt;=1,D$180,0),D51)=D$175,D$177,0)))</f>
        <v>0</v>
      </c>
      <c r="E52" s="108">
        <f t="shared" si="28"/>
        <v>0</v>
      </c>
      <c r="F52" s="108">
        <f t="shared" si="28"/>
        <v>0</v>
      </c>
      <c r="G52" s="108">
        <f t="shared" si="28"/>
        <v>0</v>
      </c>
      <c r="H52" s="108">
        <f t="shared" si="28"/>
        <v>0</v>
      </c>
      <c r="I52" s="108">
        <f t="shared" si="28"/>
        <v>0</v>
      </c>
      <c r="J52" s="108">
        <f t="shared" si="28"/>
        <v>0</v>
      </c>
      <c r="K52" s="108">
        <f t="shared" si="28"/>
        <v>0</v>
      </c>
      <c r="L52" s="108">
        <f t="shared" si="28"/>
        <v>0</v>
      </c>
      <c r="M52" s="108">
        <f t="shared" si="28"/>
        <v>0</v>
      </c>
      <c r="N52" s="108">
        <f t="shared" si="28"/>
        <v>0</v>
      </c>
      <c r="O52" s="108">
        <f t="shared" si="28"/>
        <v>0</v>
      </c>
      <c r="P52" s="108">
        <f t="shared" si="28"/>
        <v>0</v>
      </c>
      <c r="Q52" s="108">
        <f t="shared" si="28"/>
        <v>0</v>
      </c>
      <c r="R52" s="108">
        <f t="shared" si="28"/>
        <v>0</v>
      </c>
      <c r="S52" s="108">
        <f t="shared" si="28"/>
        <v>0</v>
      </c>
      <c r="T52" s="108">
        <f t="shared" si="28"/>
        <v>0</v>
      </c>
      <c r="U52" s="108">
        <f t="shared" si="28"/>
        <v>0</v>
      </c>
      <c r="V52" s="108">
        <f t="shared" si="28"/>
        <v>0</v>
      </c>
      <c r="W52" s="108">
        <f t="shared" si="28"/>
        <v>0</v>
      </c>
      <c r="X52" s="108">
        <f t="shared" si="28"/>
        <v>0</v>
      </c>
      <c r="Y52" s="108">
        <f t="shared" si="28"/>
        <v>0</v>
      </c>
      <c r="Z52" s="108">
        <f t="shared" si="28"/>
        <v>0</v>
      </c>
      <c r="AA52" s="108">
        <f t="shared" si="28"/>
        <v>0</v>
      </c>
      <c r="AB52" s="108">
        <f t="shared" si="28"/>
        <v>0</v>
      </c>
      <c r="AC52" s="243"/>
    </row>
    <row r="53" spans="1:29" ht="15.75" hidden="1" customHeight="1" x14ac:dyDescent="0.4">
      <c r="A53" s="252">
        <f>+A51+1</f>
        <v>25</v>
      </c>
      <c r="B53" s="253">
        <f>+STUD!B26</f>
        <v>0</v>
      </c>
      <c r="C53" s="244">
        <f>SUM(D54:AB54)</f>
        <v>0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11"/>
      <c r="Y53" s="111"/>
      <c r="Z53" s="111"/>
      <c r="AA53" s="111"/>
      <c r="AB53" s="111"/>
      <c r="AC53" s="243">
        <f>SUM(D54:AB54)</f>
        <v>0</v>
      </c>
    </row>
    <row r="54" spans="1:29" ht="15.75" hidden="1" customHeight="1" x14ac:dyDescent="0.4">
      <c r="A54" s="242"/>
      <c r="B54" s="253"/>
      <c r="C54" s="245"/>
      <c r="D54" s="108">
        <f t="shared" ref="D54:AB54" si="29">IF(IFERROR(IF(VLOOKUP(D53,D$181:D$185,1,0)&gt;=1,D$180,0),D53)=D$162,D$166,IF(IFERROR(IF(VLOOKUP(D53,D$181:D$185,1,0)&gt;=1,D$180,0),D53)=D$169,D$172,IF(IFERROR(IF(VLOOKUP(D53,D$181:D$185,1,0)&gt;=1,D$180,0),D53)=D$175,D$177,0)))</f>
        <v>0</v>
      </c>
      <c r="E54" s="108">
        <f t="shared" si="29"/>
        <v>0</v>
      </c>
      <c r="F54" s="108">
        <f t="shared" si="29"/>
        <v>0</v>
      </c>
      <c r="G54" s="108">
        <f t="shared" si="29"/>
        <v>0</v>
      </c>
      <c r="H54" s="108">
        <f t="shared" si="29"/>
        <v>0</v>
      </c>
      <c r="I54" s="108">
        <f t="shared" si="29"/>
        <v>0</v>
      </c>
      <c r="J54" s="108">
        <f t="shared" si="29"/>
        <v>0</v>
      </c>
      <c r="K54" s="108">
        <f t="shared" si="29"/>
        <v>0</v>
      </c>
      <c r="L54" s="108">
        <f t="shared" si="29"/>
        <v>0</v>
      </c>
      <c r="M54" s="108">
        <f t="shared" si="29"/>
        <v>0</v>
      </c>
      <c r="N54" s="108">
        <f t="shared" si="29"/>
        <v>0</v>
      </c>
      <c r="O54" s="108">
        <f t="shared" si="29"/>
        <v>0</v>
      </c>
      <c r="P54" s="108">
        <f t="shared" si="29"/>
        <v>0</v>
      </c>
      <c r="Q54" s="108">
        <f t="shared" si="29"/>
        <v>0</v>
      </c>
      <c r="R54" s="108">
        <f t="shared" si="29"/>
        <v>0</v>
      </c>
      <c r="S54" s="108">
        <f t="shared" si="29"/>
        <v>0</v>
      </c>
      <c r="T54" s="108">
        <f t="shared" si="29"/>
        <v>0</v>
      </c>
      <c r="U54" s="108">
        <f t="shared" si="29"/>
        <v>0</v>
      </c>
      <c r="V54" s="108">
        <f t="shared" si="29"/>
        <v>0</v>
      </c>
      <c r="W54" s="108">
        <f t="shared" si="29"/>
        <v>0</v>
      </c>
      <c r="X54" s="108">
        <f t="shared" si="29"/>
        <v>0</v>
      </c>
      <c r="Y54" s="108">
        <f t="shared" si="29"/>
        <v>0</v>
      </c>
      <c r="Z54" s="108">
        <f t="shared" si="29"/>
        <v>0</v>
      </c>
      <c r="AA54" s="108">
        <f t="shared" si="29"/>
        <v>0</v>
      </c>
      <c r="AB54" s="108">
        <f t="shared" si="29"/>
        <v>0</v>
      </c>
      <c r="AC54" s="243"/>
    </row>
    <row r="55" spans="1:29" ht="15.75" hidden="1" customHeight="1" x14ac:dyDescent="0.4">
      <c r="A55" s="252">
        <f>+A53+1</f>
        <v>26</v>
      </c>
      <c r="B55" s="253">
        <f>+STUD!B27</f>
        <v>0</v>
      </c>
      <c r="C55" s="244">
        <f>SUM(D56:AB56)</f>
        <v>0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11"/>
      <c r="Y55" s="111"/>
      <c r="Z55" s="111"/>
      <c r="AA55" s="111"/>
      <c r="AB55" s="111"/>
      <c r="AC55" s="243">
        <f>SUM(D56:AB56)</f>
        <v>0</v>
      </c>
    </row>
    <row r="56" spans="1:29" ht="15.75" hidden="1" customHeight="1" x14ac:dyDescent="0.4">
      <c r="A56" s="242"/>
      <c r="B56" s="253"/>
      <c r="C56" s="245"/>
      <c r="D56" s="108">
        <f t="shared" ref="D56:AB56" si="30">IF(IFERROR(IF(VLOOKUP(D55,D$181:D$185,1,0)&gt;=1,D$180,0),D55)=D$162,D$166,IF(IFERROR(IF(VLOOKUP(D55,D$181:D$185,1,0)&gt;=1,D$180,0),D55)=D$169,D$172,IF(IFERROR(IF(VLOOKUP(D55,D$181:D$185,1,0)&gt;=1,D$180,0),D55)=D$175,D$177,0)))</f>
        <v>0</v>
      </c>
      <c r="E56" s="108">
        <f t="shared" si="30"/>
        <v>0</v>
      </c>
      <c r="F56" s="108">
        <f t="shared" si="30"/>
        <v>0</v>
      </c>
      <c r="G56" s="108">
        <f t="shared" si="30"/>
        <v>0</v>
      </c>
      <c r="H56" s="108">
        <f t="shared" si="30"/>
        <v>0</v>
      </c>
      <c r="I56" s="108">
        <f t="shared" si="30"/>
        <v>0</v>
      </c>
      <c r="J56" s="108">
        <f t="shared" si="30"/>
        <v>0</v>
      </c>
      <c r="K56" s="108">
        <f t="shared" si="30"/>
        <v>0</v>
      </c>
      <c r="L56" s="108">
        <f t="shared" si="30"/>
        <v>0</v>
      </c>
      <c r="M56" s="108">
        <f t="shared" si="30"/>
        <v>0</v>
      </c>
      <c r="N56" s="108">
        <f t="shared" si="30"/>
        <v>0</v>
      </c>
      <c r="O56" s="108">
        <f t="shared" si="30"/>
        <v>0</v>
      </c>
      <c r="P56" s="108">
        <f t="shared" si="30"/>
        <v>0</v>
      </c>
      <c r="Q56" s="108">
        <f t="shared" si="30"/>
        <v>0</v>
      </c>
      <c r="R56" s="108">
        <f t="shared" si="30"/>
        <v>0</v>
      </c>
      <c r="S56" s="108">
        <f t="shared" si="30"/>
        <v>0</v>
      </c>
      <c r="T56" s="108">
        <f t="shared" si="30"/>
        <v>0</v>
      </c>
      <c r="U56" s="108">
        <f t="shared" si="30"/>
        <v>0</v>
      </c>
      <c r="V56" s="108">
        <f t="shared" si="30"/>
        <v>0</v>
      </c>
      <c r="W56" s="108">
        <f t="shared" si="30"/>
        <v>0</v>
      </c>
      <c r="X56" s="108">
        <f t="shared" si="30"/>
        <v>0</v>
      </c>
      <c r="Y56" s="108">
        <f t="shared" si="30"/>
        <v>0</v>
      </c>
      <c r="Z56" s="108">
        <f t="shared" si="30"/>
        <v>0</v>
      </c>
      <c r="AA56" s="108">
        <f t="shared" si="30"/>
        <v>0</v>
      </c>
      <c r="AB56" s="108">
        <f t="shared" si="30"/>
        <v>0</v>
      </c>
      <c r="AC56" s="243"/>
    </row>
    <row r="57" spans="1:29" ht="15.75" hidden="1" customHeight="1" x14ac:dyDescent="0.4">
      <c r="A57" s="252">
        <f>+A55+1</f>
        <v>27</v>
      </c>
      <c r="B57" s="253">
        <f>+STUD!B28</f>
        <v>0</v>
      </c>
      <c r="C57" s="244">
        <f>SUM(D58:AB58)</f>
        <v>0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11"/>
      <c r="Y57" s="111"/>
      <c r="Z57" s="111"/>
      <c r="AA57" s="111"/>
      <c r="AB57" s="111"/>
      <c r="AC57" s="243">
        <f>SUM(D58:AB58)</f>
        <v>0</v>
      </c>
    </row>
    <row r="58" spans="1:29" ht="15.75" hidden="1" customHeight="1" x14ac:dyDescent="0.4">
      <c r="A58" s="242"/>
      <c r="B58" s="253"/>
      <c r="C58" s="245"/>
      <c r="D58" s="108">
        <f t="shared" ref="D58:AB58" si="31">IF(IFERROR(IF(VLOOKUP(D57,D$181:D$185,1,0)&gt;=1,D$180,0),D57)=D$162,D$166,IF(IFERROR(IF(VLOOKUP(D57,D$181:D$185,1,0)&gt;=1,D$180,0),D57)=D$169,D$172,IF(IFERROR(IF(VLOOKUP(D57,D$181:D$185,1,0)&gt;=1,D$180,0),D57)=D$175,D$177,0)))</f>
        <v>0</v>
      </c>
      <c r="E58" s="108">
        <f t="shared" si="31"/>
        <v>0</v>
      </c>
      <c r="F58" s="108">
        <f t="shared" si="31"/>
        <v>0</v>
      </c>
      <c r="G58" s="108">
        <f t="shared" si="31"/>
        <v>0</v>
      </c>
      <c r="H58" s="108">
        <f t="shared" si="31"/>
        <v>0</v>
      </c>
      <c r="I58" s="108">
        <f t="shared" si="31"/>
        <v>0</v>
      </c>
      <c r="J58" s="108">
        <f t="shared" si="31"/>
        <v>0</v>
      </c>
      <c r="K58" s="108">
        <f t="shared" si="31"/>
        <v>0</v>
      </c>
      <c r="L58" s="108">
        <f t="shared" si="31"/>
        <v>0</v>
      </c>
      <c r="M58" s="108">
        <f t="shared" si="31"/>
        <v>0</v>
      </c>
      <c r="N58" s="108">
        <f t="shared" si="31"/>
        <v>0</v>
      </c>
      <c r="O58" s="108">
        <f t="shared" si="31"/>
        <v>0</v>
      </c>
      <c r="P58" s="108">
        <f t="shared" si="31"/>
        <v>0</v>
      </c>
      <c r="Q58" s="108">
        <f t="shared" si="31"/>
        <v>0</v>
      </c>
      <c r="R58" s="108">
        <f t="shared" si="31"/>
        <v>0</v>
      </c>
      <c r="S58" s="108">
        <f t="shared" si="31"/>
        <v>0</v>
      </c>
      <c r="T58" s="108">
        <f t="shared" si="31"/>
        <v>0</v>
      </c>
      <c r="U58" s="108">
        <f t="shared" si="31"/>
        <v>0</v>
      </c>
      <c r="V58" s="108">
        <f t="shared" si="31"/>
        <v>0</v>
      </c>
      <c r="W58" s="108">
        <f t="shared" si="31"/>
        <v>0</v>
      </c>
      <c r="X58" s="108">
        <f t="shared" si="31"/>
        <v>0</v>
      </c>
      <c r="Y58" s="108">
        <f t="shared" si="31"/>
        <v>0</v>
      </c>
      <c r="Z58" s="108">
        <f t="shared" si="31"/>
        <v>0</v>
      </c>
      <c r="AA58" s="108">
        <f t="shared" si="31"/>
        <v>0</v>
      </c>
      <c r="AB58" s="108">
        <f t="shared" si="31"/>
        <v>0</v>
      </c>
      <c r="AC58" s="243"/>
    </row>
    <row r="59" spans="1:29" ht="15.75" hidden="1" customHeight="1" x14ac:dyDescent="0.4">
      <c r="A59" s="252">
        <f>+A57+1</f>
        <v>28</v>
      </c>
      <c r="B59" s="253">
        <f>+STUD!B29</f>
        <v>0</v>
      </c>
      <c r="C59" s="244">
        <f>SUM(D60:AB60)</f>
        <v>0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11"/>
      <c r="Y59" s="111"/>
      <c r="Z59" s="111"/>
      <c r="AA59" s="111"/>
      <c r="AB59" s="111"/>
      <c r="AC59" s="243">
        <f>SUM(D60:AB60)</f>
        <v>0</v>
      </c>
    </row>
    <row r="60" spans="1:29" ht="15.75" hidden="1" customHeight="1" x14ac:dyDescent="0.4">
      <c r="A60" s="242"/>
      <c r="B60" s="253"/>
      <c r="C60" s="245"/>
      <c r="D60" s="108">
        <f t="shared" ref="D60:AB60" si="32">IF(IFERROR(IF(VLOOKUP(D59,D$181:D$185,1,0)&gt;=1,D$180,0),D59)=D$162,D$166,IF(IFERROR(IF(VLOOKUP(D59,D$181:D$185,1,0)&gt;=1,D$180,0),D59)=D$169,D$172,IF(IFERROR(IF(VLOOKUP(D59,D$181:D$185,1,0)&gt;=1,D$180,0),D59)=D$175,D$177,0)))</f>
        <v>0</v>
      </c>
      <c r="E60" s="108">
        <f t="shared" si="32"/>
        <v>0</v>
      </c>
      <c r="F60" s="108">
        <f t="shared" si="32"/>
        <v>0</v>
      </c>
      <c r="G60" s="108">
        <f t="shared" si="32"/>
        <v>0</v>
      </c>
      <c r="H60" s="108">
        <f t="shared" si="32"/>
        <v>0</v>
      </c>
      <c r="I60" s="108">
        <f t="shared" si="32"/>
        <v>0</v>
      </c>
      <c r="J60" s="108">
        <f t="shared" si="32"/>
        <v>0</v>
      </c>
      <c r="K60" s="108">
        <f t="shared" si="32"/>
        <v>0</v>
      </c>
      <c r="L60" s="108">
        <f t="shared" si="32"/>
        <v>0</v>
      </c>
      <c r="M60" s="108">
        <f t="shared" si="32"/>
        <v>0</v>
      </c>
      <c r="N60" s="108">
        <f t="shared" si="32"/>
        <v>0</v>
      </c>
      <c r="O60" s="108">
        <f t="shared" si="32"/>
        <v>0</v>
      </c>
      <c r="P60" s="108">
        <f t="shared" si="32"/>
        <v>0</v>
      </c>
      <c r="Q60" s="108">
        <f t="shared" si="32"/>
        <v>0</v>
      </c>
      <c r="R60" s="108">
        <f t="shared" si="32"/>
        <v>0</v>
      </c>
      <c r="S60" s="108">
        <f t="shared" si="32"/>
        <v>0</v>
      </c>
      <c r="T60" s="108">
        <f t="shared" si="32"/>
        <v>0</v>
      </c>
      <c r="U60" s="108">
        <f t="shared" si="32"/>
        <v>0</v>
      </c>
      <c r="V60" s="108">
        <f t="shared" si="32"/>
        <v>0</v>
      </c>
      <c r="W60" s="108">
        <f t="shared" si="32"/>
        <v>0</v>
      </c>
      <c r="X60" s="108">
        <f t="shared" si="32"/>
        <v>0</v>
      </c>
      <c r="Y60" s="108">
        <f t="shared" si="32"/>
        <v>0</v>
      </c>
      <c r="Z60" s="108">
        <f t="shared" si="32"/>
        <v>0</v>
      </c>
      <c r="AA60" s="108">
        <f t="shared" si="32"/>
        <v>0</v>
      </c>
      <c r="AB60" s="108">
        <f t="shared" si="32"/>
        <v>0</v>
      </c>
      <c r="AC60" s="243"/>
    </row>
    <row r="61" spans="1:29" ht="15.75" hidden="1" customHeight="1" x14ac:dyDescent="0.4">
      <c r="A61" s="252">
        <f>+A59+1</f>
        <v>29</v>
      </c>
      <c r="B61" s="253">
        <f>+STUD!B30</f>
        <v>0</v>
      </c>
      <c r="C61" s="244">
        <f>SUM(D62:AB62)</f>
        <v>0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11"/>
      <c r="Y61" s="111"/>
      <c r="Z61" s="111"/>
      <c r="AA61" s="111"/>
      <c r="AB61" s="111"/>
      <c r="AC61" s="243">
        <f>SUM(D62:AB62)</f>
        <v>0</v>
      </c>
    </row>
    <row r="62" spans="1:29" ht="15.75" hidden="1" customHeight="1" x14ac:dyDescent="0.4">
      <c r="A62" s="242"/>
      <c r="B62" s="253"/>
      <c r="C62" s="245"/>
      <c r="D62" s="108">
        <f t="shared" ref="D62:AB62" si="33">IF(IFERROR(IF(VLOOKUP(D61,D$181:D$185,1,0)&gt;=1,D$180,0),D61)=D$162,D$166,IF(IFERROR(IF(VLOOKUP(D61,D$181:D$185,1,0)&gt;=1,D$180,0),D61)=D$169,D$172,IF(IFERROR(IF(VLOOKUP(D61,D$181:D$185,1,0)&gt;=1,D$180,0),D61)=D$175,D$177,0)))</f>
        <v>0</v>
      </c>
      <c r="E62" s="108">
        <f t="shared" si="33"/>
        <v>0</v>
      </c>
      <c r="F62" s="108">
        <f t="shared" si="33"/>
        <v>0</v>
      </c>
      <c r="G62" s="108">
        <f t="shared" si="33"/>
        <v>0</v>
      </c>
      <c r="H62" s="108">
        <f t="shared" si="33"/>
        <v>0</v>
      </c>
      <c r="I62" s="108">
        <f t="shared" si="33"/>
        <v>0</v>
      </c>
      <c r="J62" s="108">
        <f t="shared" si="33"/>
        <v>0</v>
      </c>
      <c r="K62" s="108">
        <f t="shared" si="33"/>
        <v>0</v>
      </c>
      <c r="L62" s="108">
        <f t="shared" si="33"/>
        <v>0</v>
      </c>
      <c r="M62" s="108">
        <f t="shared" si="33"/>
        <v>0</v>
      </c>
      <c r="N62" s="108">
        <f t="shared" si="33"/>
        <v>0</v>
      </c>
      <c r="O62" s="108">
        <f t="shared" si="33"/>
        <v>0</v>
      </c>
      <c r="P62" s="108">
        <f t="shared" si="33"/>
        <v>0</v>
      </c>
      <c r="Q62" s="108">
        <f t="shared" si="33"/>
        <v>0</v>
      </c>
      <c r="R62" s="108">
        <f t="shared" si="33"/>
        <v>0</v>
      </c>
      <c r="S62" s="108">
        <f t="shared" si="33"/>
        <v>0</v>
      </c>
      <c r="T62" s="108">
        <f t="shared" si="33"/>
        <v>0</v>
      </c>
      <c r="U62" s="108">
        <f t="shared" si="33"/>
        <v>0</v>
      </c>
      <c r="V62" s="108">
        <f t="shared" si="33"/>
        <v>0</v>
      </c>
      <c r="W62" s="108">
        <f t="shared" si="33"/>
        <v>0</v>
      </c>
      <c r="X62" s="108">
        <f t="shared" si="33"/>
        <v>0</v>
      </c>
      <c r="Y62" s="108">
        <f t="shared" si="33"/>
        <v>0</v>
      </c>
      <c r="Z62" s="108">
        <f t="shared" si="33"/>
        <v>0</v>
      </c>
      <c r="AA62" s="108">
        <f t="shared" si="33"/>
        <v>0</v>
      </c>
      <c r="AB62" s="108">
        <f t="shared" si="33"/>
        <v>0</v>
      </c>
      <c r="AC62" s="243"/>
    </row>
    <row r="63" spans="1:29" ht="15.75" hidden="1" customHeight="1" x14ac:dyDescent="0.4">
      <c r="A63" s="252">
        <f>+A61+1</f>
        <v>30</v>
      </c>
      <c r="B63" s="253">
        <f>+STUD!B31</f>
        <v>0</v>
      </c>
      <c r="C63" s="244">
        <f>SUM(D64:AB64)</f>
        <v>0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11"/>
      <c r="Y63" s="111"/>
      <c r="Z63" s="111"/>
      <c r="AA63" s="111"/>
      <c r="AB63" s="111"/>
      <c r="AC63" s="243">
        <f>SUM(D64:AB64)</f>
        <v>0</v>
      </c>
    </row>
    <row r="64" spans="1:29" ht="15" hidden="1" customHeight="1" x14ac:dyDescent="0.4">
      <c r="A64" s="242"/>
      <c r="B64" s="253"/>
      <c r="C64" s="245"/>
      <c r="D64" s="108">
        <f t="shared" ref="D64:AB64" si="34">IF(IFERROR(IF(VLOOKUP(D63,D$181:D$185,1,0)&gt;=1,D$180,0),D63)=D$162,D$166,IF(IFERROR(IF(VLOOKUP(D63,D$181:D$185,1,0)&gt;=1,D$180,0),D63)=D$169,D$172,IF(IFERROR(IF(VLOOKUP(D63,D$181:D$185,1,0)&gt;=1,D$180,0),D63)=D$175,D$177,0)))</f>
        <v>0</v>
      </c>
      <c r="E64" s="108">
        <f t="shared" si="34"/>
        <v>0</v>
      </c>
      <c r="F64" s="108">
        <f t="shared" si="34"/>
        <v>0</v>
      </c>
      <c r="G64" s="108">
        <f t="shared" si="34"/>
        <v>0</v>
      </c>
      <c r="H64" s="108">
        <f t="shared" si="34"/>
        <v>0</v>
      </c>
      <c r="I64" s="108">
        <f t="shared" si="34"/>
        <v>0</v>
      </c>
      <c r="J64" s="108">
        <f t="shared" si="34"/>
        <v>0</v>
      </c>
      <c r="K64" s="108">
        <f t="shared" si="34"/>
        <v>0</v>
      </c>
      <c r="L64" s="108">
        <f t="shared" si="34"/>
        <v>0</v>
      </c>
      <c r="M64" s="108">
        <f t="shared" si="34"/>
        <v>0</v>
      </c>
      <c r="N64" s="108">
        <f t="shared" si="34"/>
        <v>0</v>
      </c>
      <c r="O64" s="108">
        <f t="shared" si="34"/>
        <v>0</v>
      </c>
      <c r="P64" s="108">
        <f t="shared" si="34"/>
        <v>0</v>
      </c>
      <c r="Q64" s="108">
        <f t="shared" si="34"/>
        <v>0</v>
      </c>
      <c r="R64" s="108">
        <f t="shared" si="34"/>
        <v>0</v>
      </c>
      <c r="S64" s="108">
        <f t="shared" si="34"/>
        <v>0</v>
      </c>
      <c r="T64" s="108">
        <f t="shared" si="34"/>
        <v>0</v>
      </c>
      <c r="U64" s="108">
        <f t="shared" si="34"/>
        <v>0</v>
      </c>
      <c r="V64" s="108">
        <f t="shared" si="34"/>
        <v>0</v>
      </c>
      <c r="W64" s="108">
        <f t="shared" si="34"/>
        <v>0</v>
      </c>
      <c r="X64" s="108">
        <f t="shared" si="34"/>
        <v>0</v>
      </c>
      <c r="Y64" s="108">
        <f t="shared" si="34"/>
        <v>0</v>
      </c>
      <c r="Z64" s="108">
        <f t="shared" si="34"/>
        <v>0</v>
      </c>
      <c r="AA64" s="108">
        <f t="shared" si="34"/>
        <v>0</v>
      </c>
      <c r="AB64" s="108">
        <f t="shared" si="34"/>
        <v>0</v>
      </c>
      <c r="AC64" s="243"/>
    </row>
    <row r="65" spans="1:40" ht="15.75" hidden="1" customHeight="1" x14ac:dyDescent="0.4">
      <c r="A65" s="252">
        <f>+A63+1</f>
        <v>31</v>
      </c>
      <c r="B65" s="253">
        <f>+STUD!B32</f>
        <v>0</v>
      </c>
      <c r="C65" s="244">
        <f>SUM(D66:AB66)</f>
        <v>0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11"/>
      <c r="Y65" s="111"/>
      <c r="Z65" s="111"/>
      <c r="AA65" s="111"/>
      <c r="AB65" s="111"/>
      <c r="AC65" s="243">
        <f>SUM(D66:AB66)</f>
        <v>0</v>
      </c>
    </row>
    <row r="66" spans="1:40" ht="15.75" hidden="1" customHeight="1" x14ac:dyDescent="0.4">
      <c r="A66" s="242"/>
      <c r="B66" s="253"/>
      <c r="C66" s="245"/>
      <c r="D66" s="108">
        <f t="shared" ref="D66:AB66" si="35">IF(IFERROR(IF(VLOOKUP(D65,D$181:D$185,1,0)&gt;=1,D$180,0),D65)=D$162,D$166,IF(IFERROR(IF(VLOOKUP(D65,D$181:D$185,1,0)&gt;=1,D$180,0),D65)=D$169,D$172,IF(IFERROR(IF(VLOOKUP(D65,D$181:D$185,1,0)&gt;=1,D$180,0),D65)=D$175,D$177,0)))</f>
        <v>0</v>
      </c>
      <c r="E66" s="108">
        <f t="shared" si="35"/>
        <v>0</v>
      </c>
      <c r="F66" s="108">
        <f t="shared" si="35"/>
        <v>0</v>
      </c>
      <c r="G66" s="108">
        <f t="shared" si="35"/>
        <v>0</v>
      </c>
      <c r="H66" s="108">
        <f t="shared" si="35"/>
        <v>0</v>
      </c>
      <c r="I66" s="108">
        <f t="shared" si="35"/>
        <v>0</v>
      </c>
      <c r="J66" s="108">
        <f t="shared" si="35"/>
        <v>0</v>
      </c>
      <c r="K66" s="108">
        <f t="shared" si="35"/>
        <v>0</v>
      </c>
      <c r="L66" s="108">
        <f t="shared" si="35"/>
        <v>0</v>
      </c>
      <c r="M66" s="108">
        <f t="shared" si="35"/>
        <v>0</v>
      </c>
      <c r="N66" s="108">
        <f t="shared" si="35"/>
        <v>0</v>
      </c>
      <c r="O66" s="108">
        <f t="shared" si="35"/>
        <v>0</v>
      </c>
      <c r="P66" s="108">
        <f t="shared" si="35"/>
        <v>0</v>
      </c>
      <c r="Q66" s="108">
        <f t="shared" si="35"/>
        <v>0</v>
      </c>
      <c r="R66" s="108">
        <f t="shared" si="35"/>
        <v>0</v>
      </c>
      <c r="S66" s="108">
        <f t="shared" si="35"/>
        <v>0</v>
      </c>
      <c r="T66" s="108">
        <f t="shared" si="35"/>
        <v>0</v>
      </c>
      <c r="U66" s="108">
        <f t="shared" si="35"/>
        <v>0</v>
      </c>
      <c r="V66" s="108">
        <f t="shared" si="35"/>
        <v>0</v>
      </c>
      <c r="W66" s="108">
        <f t="shared" si="35"/>
        <v>0</v>
      </c>
      <c r="X66" s="108">
        <f t="shared" si="35"/>
        <v>0</v>
      </c>
      <c r="Y66" s="108">
        <f t="shared" si="35"/>
        <v>0</v>
      </c>
      <c r="Z66" s="108">
        <f t="shared" si="35"/>
        <v>0</v>
      </c>
      <c r="AA66" s="108">
        <f t="shared" si="35"/>
        <v>0</v>
      </c>
      <c r="AB66" s="108">
        <f t="shared" si="35"/>
        <v>0</v>
      </c>
      <c r="AC66" s="243"/>
    </row>
    <row r="67" spans="1:40" ht="15.75" hidden="1" customHeight="1" x14ac:dyDescent="0.4">
      <c r="A67" s="252">
        <f>+A65+1</f>
        <v>32</v>
      </c>
      <c r="B67" s="253">
        <f>+STUD!B33</f>
        <v>0</v>
      </c>
      <c r="C67" s="244">
        <f>SUM(D68:AB68)</f>
        <v>0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11"/>
      <c r="Y67" s="111"/>
      <c r="Z67" s="111"/>
      <c r="AA67" s="111"/>
      <c r="AB67" s="111"/>
      <c r="AC67" s="243">
        <f>SUM(D68:AB68)</f>
        <v>0</v>
      </c>
    </row>
    <row r="68" spans="1:40" ht="15.75" hidden="1" customHeight="1" x14ac:dyDescent="0.4">
      <c r="A68" s="242"/>
      <c r="B68" s="253"/>
      <c r="C68" s="245"/>
      <c r="D68" s="108">
        <f t="shared" ref="D68:AB68" si="36">IF(IFERROR(IF(VLOOKUP(D67,D$181:D$185,1,0)&gt;=1,D$180,0),D67)=D$162,D$166,IF(IFERROR(IF(VLOOKUP(D67,D$181:D$185,1,0)&gt;=1,D$180,0),D67)=D$169,D$172,IF(IFERROR(IF(VLOOKUP(D67,D$181:D$185,1,0)&gt;=1,D$180,0),D67)=D$175,D$177,0)))</f>
        <v>0</v>
      </c>
      <c r="E68" s="108">
        <f t="shared" si="36"/>
        <v>0</v>
      </c>
      <c r="F68" s="108">
        <f t="shared" si="36"/>
        <v>0</v>
      </c>
      <c r="G68" s="108">
        <f t="shared" si="36"/>
        <v>0</v>
      </c>
      <c r="H68" s="108">
        <f t="shared" si="36"/>
        <v>0</v>
      </c>
      <c r="I68" s="108">
        <f t="shared" si="36"/>
        <v>0</v>
      </c>
      <c r="J68" s="108">
        <f t="shared" si="36"/>
        <v>0</v>
      </c>
      <c r="K68" s="108">
        <f t="shared" si="36"/>
        <v>0</v>
      </c>
      <c r="L68" s="108">
        <f t="shared" si="36"/>
        <v>0</v>
      </c>
      <c r="M68" s="108">
        <f t="shared" si="36"/>
        <v>0</v>
      </c>
      <c r="N68" s="108">
        <f t="shared" si="36"/>
        <v>0</v>
      </c>
      <c r="O68" s="108">
        <f t="shared" si="36"/>
        <v>0</v>
      </c>
      <c r="P68" s="108">
        <f t="shared" si="36"/>
        <v>0</v>
      </c>
      <c r="Q68" s="108">
        <f t="shared" si="36"/>
        <v>0</v>
      </c>
      <c r="R68" s="108">
        <f t="shared" si="36"/>
        <v>0</v>
      </c>
      <c r="S68" s="108">
        <f t="shared" si="36"/>
        <v>0</v>
      </c>
      <c r="T68" s="108">
        <f t="shared" si="36"/>
        <v>0</v>
      </c>
      <c r="U68" s="108">
        <f t="shared" si="36"/>
        <v>0</v>
      </c>
      <c r="V68" s="108">
        <f t="shared" si="36"/>
        <v>0</v>
      </c>
      <c r="W68" s="108">
        <f t="shared" si="36"/>
        <v>0</v>
      </c>
      <c r="X68" s="108">
        <f t="shared" si="36"/>
        <v>0</v>
      </c>
      <c r="Y68" s="108">
        <f t="shared" si="36"/>
        <v>0</v>
      </c>
      <c r="Z68" s="108">
        <f t="shared" si="36"/>
        <v>0</v>
      </c>
      <c r="AA68" s="108">
        <f t="shared" si="36"/>
        <v>0</v>
      </c>
      <c r="AB68" s="108">
        <f t="shared" si="36"/>
        <v>0</v>
      </c>
      <c r="AC68" s="243"/>
    </row>
    <row r="69" spans="1:40" ht="15.75" customHeight="1" x14ac:dyDescent="0.4">
      <c r="A69" s="254" t="s">
        <v>57</v>
      </c>
      <c r="B69" s="255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6"/>
    </row>
    <row r="70" spans="1:40" ht="15.75" customHeight="1" x14ac:dyDescent="0.4">
      <c r="A70" s="257"/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  <c r="V70" s="258"/>
      <c r="W70" s="258"/>
      <c r="X70" s="258"/>
      <c r="Y70" s="258"/>
      <c r="Z70" s="258"/>
      <c r="AA70" s="258"/>
      <c r="AB70" s="258"/>
      <c r="AC70" s="259"/>
    </row>
    <row r="71" spans="1:40" ht="15.75" customHeight="1" x14ac:dyDescent="0.4">
      <c r="A71" s="260"/>
      <c r="B71" s="261"/>
      <c r="C71" s="261"/>
      <c r="D71" s="261"/>
      <c r="E71" s="261"/>
      <c r="F71" s="261"/>
      <c r="G71" s="261"/>
      <c r="H71" s="261"/>
      <c r="I71" s="261"/>
      <c r="J71" s="261"/>
      <c r="K71" s="261"/>
      <c r="L71" s="261"/>
      <c r="M71" s="261"/>
      <c r="N71" s="261"/>
      <c r="O71" s="261"/>
      <c r="P71" s="261"/>
      <c r="Q71" s="261"/>
      <c r="R71" s="261"/>
      <c r="S71" s="261"/>
      <c r="T71" s="261"/>
      <c r="U71" s="261"/>
      <c r="V71" s="261"/>
      <c r="W71" s="261"/>
      <c r="X71" s="261"/>
      <c r="Y71" s="261"/>
      <c r="Z71" s="261"/>
      <c r="AA71" s="261"/>
      <c r="AB71" s="261"/>
      <c r="AC71" s="262"/>
    </row>
    <row r="72" spans="1:40" ht="15.75" customHeight="1" x14ac:dyDescent="0.5">
      <c r="A72" s="116" t="s">
        <v>0</v>
      </c>
      <c r="B72" s="116" t="s">
        <v>14</v>
      </c>
      <c r="C72" s="116" t="s">
        <v>19</v>
      </c>
      <c r="D72" s="116">
        <v>1</v>
      </c>
      <c r="E72" s="116">
        <v>2</v>
      </c>
      <c r="F72" s="116">
        <v>3</v>
      </c>
      <c r="G72" s="116">
        <v>4</v>
      </c>
      <c r="H72" s="116">
        <v>5</v>
      </c>
      <c r="I72" s="116">
        <v>6</v>
      </c>
      <c r="J72" s="116">
        <v>7</v>
      </c>
      <c r="K72" s="116">
        <v>8</v>
      </c>
      <c r="L72" s="116">
        <v>9</v>
      </c>
      <c r="M72" s="116">
        <v>10</v>
      </c>
      <c r="N72" s="116">
        <v>11</v>
      </c>
      <c r="O72" s="116">
        <v>12</v>
      </c>
      <c r="P72" s="116">
        <v>13</v>
      </c>
      <c r="Q72" s="116">
        <v>14</v>
      </c>
      <c r="R72" s="116">
        <v>15</v>
      </c>
      <c r="S72" s="116">
        <v>16</v>
      </c>
      <c r="T72" s="116">
        <v>17</v>
      </c>
      <c r="U72" s="116">
        <v>18</v>
      </c>
      <c r="V72" s="116">
        <v>19</v>
      </c>
      <c r="W72" s="116">
        <v>20</v>
      </c>
      <c r="X72" s="116">
        <v>21</v>
      </c>
      <c r="Y72" s="116">
        <v>22</v>
      </c>
      <c r="Z72" s="116">
        <v>23</v>
      </c>
      <c r="AA72" s="116">
        <v>24</v>
      </c>
      <c r="AB72" s="116">
        <v>25</v>
      </c>
      <c r="AC72" s="116" t="s">
        <v>19</v>
      </c>
      <c r="AE72" s="264" t="s">
        <v>53</v>
      </c>
      <c r="AF72" s="265"/>
      <c r="AG72" s="265"/>
      <c r="AH72" s="266"/>
      <c r="AI72" s="52">
        <v>4</v>
      </c>
      <c r="AJ72" s="52"/>
      <c r="AK72" s="52">
        <v>5</v>
      </c>
      <c r="AL72" s="52"/>
      <c r="AM72" s="52">
        <v>6</v>
      </c>
      <c r="AN72" s="52"/>
    </row>
    <row r="73" spans="1:40" ht="15.75" customHeight="1" x14ac:dyDescent="0.5">
      <c r="A73" s="242">
        <v>1</v>
      </c>
      <c r="B73" s="243" t="str">
        <f>STUD!B35</f>
        <v>CAMPEON DE CAMPEONES</v>
      </c>
      <c r="C73" s="244">
        <f>SUM(D74:AB74)</f>
        <v>3.9000000000000004</v>
      </c>
      <c r="D73" s="14">
        <v>12</v>
      </c>
      <c r="E73" s="14">
        <v>10</v>
      </c>
      <c r="F73" s="14">
        <v>4</v>
      </c>
      <c r="G73" s="14">
        <v>5</v>
      </c>
      <c r="H73" s="14">
        <v>14</v>
      </c>
      <c r="I73" s="14">
        <v>10</v>
      </c>
      <c r="J73" s="14">
        <v>7</v>
      </c>
      <c r="K73" s="14">
        <v>5</v>
      </c>
      <c r="L73" s="14">
        <v>1</v>
      </c>
      <c r="M73" s="14">
        <v>14</v>
      </c>
      <c r="N73" s="14">
        <v>4</v>
      </c>
      <c r="O73" s="139">
        <v>6</v>
      </c>
      <c r="P73" s="14">
        <v>3</v>
      </c>
      <c r="Q73" s="14">
        <v>6</v>
      </c>
      <c r="R73" s="14">
        <v>2</v>
      </c>
      <c r="S73" s="14">
        <v>6</v>
      </c>
      <c r="T73" s="14">
        <v>13</v>
      </c>
      <c r="U73" s="14">
        <v>10</v>
      </c>
      <c r="V73" s="14">
        <v>9</v>
      </c>
      <c r="W73" s="14">
        <v>3</v>
      </c>
      <c r="X73" s="14">
        <v>6</v>
      </c>
      <c r="Y73" s="14">
        <v>10</v>
      </c>
      <c r="Z73" s="14">
        <v>12</v>
      </c>
      <c r="AA73" s="14"/>
      <c r="AB73" s="135"/>
      <c r="AC73" s="243">
        <f>SUM(D74:AB74)</f>
        <v>3.9000000000000004</v>
      </c>
      <c r="AE73" s="141" t="s">
        <v>37</v>
      </c>
      <c r="AF73" s="141" t="s">
        <v>14</v>
      </c>
      <c r="AG73" s="169" t="s">
        <v>15</v>
      </c>
      <c r="AH73" s="169" t="s">
        <v>52</v>
      </c>
      <c r="AI73" s="51" t="str">
        <f>"Prono Carrera "&amp;AI72</f>
        <v>Prono Carrera 4</v>
      </c>
      <c r="AJ73" s="51" t="s">
        <v>42</v>
      </c>
      <c r="AK73" s="51" t="str">
        <f>"Prono Carrera "&amp;AK72</f>
        <v>Prono Carrera 5</v>
      </c>
      <c r="AL73" s="51" t="s">
        <v>42</v>
      </c>
      <c r="AM73" s="51" t="str">
        <f>"Prono Carrera "&amp;AM72</f>
        <v>Prono Carrera 6</v>
      </c>
      <c r="AN73" s="51" t="s">
        <v>42</v>
      </c>
    </row>
    <row r="74" spans="1:40" ht="15.75" customHeight="1" x14ac:dyDescent="0.4">
      <c r="A74" s="242"/>
      <c r="B74" s="243"/>
      <c r="C74" s="245"/>
      <c r="D74" s="138">
        <f t="shared" ref="D74:AB74" si="37">IF(IFERROR(IF(VLOOKUP(D73,D$181:D$185,1,0)&gt;=1,D$180,0),D73)=D$162,D$166,IF(IFERROR(IF(VLOOKUP(D73,D$181:D$185,1,0)&gt;=1,D$180,0),D73)=D$169,D$172,IF(IFERROR(IF(VLOOKUP(D73,D$181:D$185,1,0)&gt;=1,D$180,0),D73)=D$175,D$177,0)))</f>
        <v>3.9000000000000004</v>
      </c>
      <c r="E74" s="138">
        <f t="shared" si="37"/>
        <v>0</v>
      </c>
      <c r="F74" s="138">
        <f t="shared" si="37"/>
        <v>0</v>
      </c>
      <c r="G74" s="138">
        <f t="shared" si="37"/>
        <v>0</v>
      </c>
      <c r="H74" s="138">
        <f t="shared" si="37"/>
        <v>0</v>
      </c>
      <c r="I74" s="138">
        <f t="shared" si="37"/>
        <v>0</v>
      </c>
      <c r="J74" s="138">
        <f t="shared" si="37"/>
        <v>0</v>
      </c>
      <c r="K74" s="138">
        <f t="shared" si="37"/>
        <v>0</v>
      </c>
      <c r="L74" s="138">
        <f t="shared" si="37"/>
        <v>0</v>
      </c>
      <c r="M74" s="138">
        <f t="shared" si="37"/>
        <v>0</v>
      </c>
      <c r="N74" s="138">
        <f t="shared" si="37"/>
        <v>0</v>
      </c>
      <c r="O74" s="138">
        <f t="shared" si="37"/>
        <v>0</v>
      </c>
      <c r="P74" s="138">
        <f t="shared" si="37"/>
        <v>0</v>
      </c>
      <c r="Q74" s="138">
        <f t="shared" si="37"/>
        <v>0</v>
      </c>
      <c r="R74" s="138">
        <f t="shared" si="37"/>
        <v>0</v>
      </c>
      <c r="S74" s="138">
        <f t="shared" si="37"/>
        <v>0</v>
      </c>
      <c r="T74" s="138">
        <f t="shared" si="37"/>
        <v>0</v>
      </c>
      <c r="U74" s="138">
        <f t="shared" si="37"/>
        <v>0</v>
      </c>
      <c r="V74" s="138">
        <f t="shared" si="37"/>
        <v>0</v>
      </c>
      <c r="W74" s="138">
        <f t="shared" si="37"/>
        <v>0</v>
      </c>
      <c r="X74" s="138">
        <f t="shared" si="37"/>
        <v>0</v>
      </c>
      <c r="Y74" s="138">
        <f t="shared" si="37"/>
        <v>0</v>
      </c>
      <c r="Z74" s="138">
        <f t="shared" si="37"/>
        <v>0</v>
      </c>
      <c r="AA74" s="138">
        <f t="shared" si="37"/>
        <v>0</v>
      </c>
      <c r="AB74" s="138">
        <f t="shared" si="37"/>
        <v>0</v>
      </c>
      <c r="AC74" s="243"/>
      <c r="AE74" s="240">
        <v>1</v>
      </c>
      <c r="AF74" s="171" t="str">
        <f>IF(ISBLANK(STUD!B54)," ",STUD!B54)</f>
        <v>SALVAYORK</v>
      </c>
      <c r="AG74" s="183">
        <f>IFERROR(VLOOKUP(AF74,$B$73:$C$148,2,0),0)</f>
        <v>13.700000000000001</v>
      </c>
      <c r="AH74" s="183"/>
      <c r="AI74" s="182">
        <f>IFERROR(
   VLOOKUP(AF74, $B$73:$Y$128, CHOOSE($AI$72, 3, 4, 5, 6, 7, 8, 9, 10, 11, 12, 13, 14, 15, 16, 17, 18, 19, 20, 21, 22, 23, 24, 25, 26, 27, 28, 29), 0),
   " "
)</f>
        <v>8</v>
      </c>
      <c r="AJ74" s="182" t="str">
        <f>IF(AI74="","",IFERROR(IF(VLOOKUP(AI74,Programa!$B$3:$C$18,2,0)="","",VLOOKUP(AI74,Programa!$B$3:$C$18,2,0)),""))</f>
        <v>FLOFLI</v>
      </c>
      <c r="AK74" s="182">
        <f>IFERROR(
   VLOOKUP(AF74, $B$73:$Y$128, CHOOSE($AK$72, 3, 4, 5, 6, 7, 8, 9, 10, 11, 12, 13, 14, 15, 16, 17, 18, 19, 20, 21, 22, 23, 24, 25, 26, 27, 28, 29), 0),
   " "
)</f>
        <v>12</v>
      </c>
      <c r="AL74" s="182" t="str">
        <f>IF(AK74="","",IFERROR(IF(VLOOKUP(AK74,Programa!$B$19:$C$34,2,0)="","",VLOOKUP(AK74,Programa!$B$19:$C$34,2,0)),""))</f>
        <v/>
      </c>
      <c r="AM74" s="182">
        <f t="shared" ref="AM74:AM101" si="38">IFERROR(
   VLOOKUP(AF74, $B$73:$Y$128, CHOOSE($AM$2, 3, 4, 5, 6, 7, 8, 9, 10, 11, 12, 13, 14, 15, 16, 17, 18, 19, 20, 21, 22, 23, 24, 25, 26, 27, 28, 29), 0),
   " "
)</f>
        <v>3</v>
      </c>
      <c r="AN74" s="182" t="str">
        <f>IF(AM74="","",IFERROR(IF(VLOOKUP(AM74,Programa!$B$35:$C$50,2,0)="","",VLOOKUP(AM74,Programa!$B$35:$C$50,2,0)),""))</f>
        <v>NA NI NA</v>
      </c>
    </row>
    <row r="75" spans="1:40" ht="15.75" customHeight="1" x14ac:dyDescent="0.4">
      <c r="A75" s="242">
        <f>+A73+1</f>
        <v>2</v>
      </c>
      <c r="B75" s="243" t="str">
        <f>STUD!B36</f>
        <v>FERNANDA</v>
      </c>
      <c r="C75" s="244">
        <f>SUM(D76:AB76)</f>
        <v>5.0999999999999996</v>
      </c>
      <c r="D75" s="139">
        <v>3</v>
      </c>
      <c r="E75" s="139">
        <v>1</v>
      </c>
      <c r="F75" s="139">
        <v>2</v>
      </c>
      <c r="G75" s="139">
        <v>3</v>
      </c>
      <c r="H75" s="139">
        <v>14</v>
      </c>
      <c r="I75" s="139">
        <v>8</v>
      </c>
      <c r="J75" s="139">
        <v>5</v>
      </c>
      <c r="K75" s="139">
        <v>13</v>
      </c>
      <c r="L75" s="139">
        <v>1</v>
      </c>
      <c r="M75" s="139">
        <v>6</v>
      </c>
      <c r="N75" s="14">
        <v>2</v>
      </c>
      <c r="O75" s="14">
        <v>4</v>
      </c>
      <c r="P75" s="14">
        <v>5</v>
      </c>
      <c r="Q75" s="14">
        <v>7</v>
      </c>
      <c r="R75" s="14">
        <v>10</v>
      </c>
      <c r="S75" s="14">
        <v>2</v>
      </c>
      <c r="T75" s="14">
        <v>4</v>
      </c>
      <c r="U75" s="14">
        <v>8</v>
      </c>
      <c r="V75" s="14">
        <v>1</v>
      </c>
      <c r="W75" s="14">
        <v>12</v>
      </c>
      <c r="X75" s="14">
        <v>2</v>
      </c>
      <c r="Y75" s="14">
        <v>14</v>
      </c>
      <c r="Z75" s="14">
        <v>15</v>
      </c>
      <c r="AA75" s="14"/>
      <c r="AB75" s="135"/>
      <c r="AC75" s="243">
        <f>SUM(D76:AB76)</f>
        <v>5.0999999999999996</v>
      </c>
      <c r="AE75" s="240">
        <v>2</v>
      </c>
      <c r="AF75" s="171" t="str">
        <f>IF(ISBLANK(STUD!B56)," ",STUD!B56)</f>
        <v>SEACOURT 2</v>
      </c>
      <c r="AG75" s="183">
        <f>IFERROR(VLOOKUP(AF75,$B$73:$C$148,2,0),0)</f>
        <v>10.9</v>
      </c>
      <c r="AH75" s="183">
        <f t="shared" ref="AH75:AH92" si="39">$AG$74-AG75</f>
        <v>2.8000000000000007</v>
      </c>
      <c r="AI75" s="182">
        <f t="shared" ref="AI75:AI101" si="40">IFERROR(
   VLOOKUP(AF75, $B$73:$Y$128, CHOOSE($AI$72, 3, 4, 5, 6, 7, 8, 9, 10, 11, 12, 13, 14, 15, 16, 17, 18, 19, 20, 21, 22, 23, 24, 25, 26, 27, 28, 29), 0),
   " "
)</f>
        <v>11</v>
      </c>
      <c r="AJ75" s="182" t="str">
        <f>IF(AI75="","",IFERROR(IF(VLOOKUP(AI75,Programa!$B$3:$C$18,2,0)="","",VLOOKUP(AI75,Programa!$B$3:$C$18,2,0)),""))</f>
        <v>BERNOULLI</v>
      </c>
      <c r="AK75" s="182">
        <f t="shared" ref="AK75:AK101" si="41">IFERROR(
   VLOOKUP(AF75, $B$73:$Y$128, CHOOSE($AK$72, 3, 4, 5, 6, 7, 8, 9, 10, 11, 12, 13, 14, 15, 16, 17, 18, 19, 20, 21, 22, 23, 24, 25, 26, 27, 28, 29), 0),
   " "
)</f>
        <v>12</v>
      </c>
      <c r="AL75" s="182" t="str">
        <f>IF(AK75="","",IFERROR(IF(VLOOKUP(AK75,Programa!$B$19:$C$34,2,0)="","",VLOOKUP(AK75,Programa!$B$19:$C$34,2,0)),""))</f>
        <v/>
      </c>
      <c r="AM75" s="182">
        <f t="shared" si="38"/>
        <v>5</v>
      </c>
      <c r="AN75" s="182" t="str">
        <f>IF(AM75="","",IFERROR(IF(VLOOKUP(AM75,Programa!$B$35:$C$50,2,0)="","",VLOOKUP(AM75,Programa!$B$35:$C$50,2,0)),""))</f>
        <v>RIO PLATA</v>
      </c>
    </row>
    <row r="76" spans="1:40" ht="15.75" customHeight="1" x14ac:dyDescent="0.4">
      <c r="A76" s="242"/>
      <c r="B76" s="243"/>
      <c r="C76" s="245"/>
      <c r="D76" s="138">
        <f t="shared" ref="D76:AB76" si="42">IF(IFERROR(IF(VLOOKUP(D75,D$181:D$185,1,0)&gt;=1,D$180,0),D75)=D$162,D$166,IF(IFERROR(IF(VLOOKUP(D75,D$181:D$185,1,0)&gt;=1,D$180,0),D75)=D$169,D$172,IF(IFERROR(IF(VLOOKUP(D75,D$181:D$185,1,0)&gt;=1,D$180,0),D75)=D$175,D$177,0)))</f>
        <v>1.1000000000000001</v>
      </c>
      <c r="E76" s="138">
        <f t="shared" si="42"/>
        <v>4</v>
      </c>
      <c r="F76" s="138">
        <f t="shared" si="42"/>
        <v>0</v>
      </c>
      <c r="G76" s="138">
        <f t="shared" si="42"/>
        <v>0</v>
      </c>
      <c r="H76" s="138">
        <f t="shared" si="42"/>
        <v>0</v>
      </c>
      <c r="I76" s="138">
        <f t="shared" si="42"/>
        <v>0</v>
      </c>
      <c r="J76" s="138">
        <f t="shared" si="42"/>
        <v>0</v>
      </c>
      <c r="K76" s="138">
        <f t="shared" si="42"/>
        <v>0</v>
      </c>
      <c r="L76" s="138">
        <f t="shared" si="42"/>
        <v>0</v>
      </c>
      <c r="M76" s="138">
        <f t="shared" si="42"/>
        <v>0</v>
      </c>
      <c r="N76" s="138">
        <f t="shared" si="42"/>
        <v>0</v>
      </c>
      <c r="O76" s="138">
        <f t="shared" si="42"/>
        <v>0</v>
      </c>
      <c r="P76" s="138">
        <f t="shared" si="42"/>
        <v>0</v>
      </c>
      <c r="Q76" s="138">
        <f t="shared" si="42"/>
        <v>0</v>
      </c>
      <c r="R76" s="138">
        <f t="shared" si="42"/>
        <v>0</v>
      </c>
      <c r="S76" s="138">
        <f t="shared" si="42"/>
        <v>0</v>
      </c>
      <c r="T76" s="138">
        <f t="shared" si="42"/>
        <v>0</v>
      </c>
      <c r="U76" s="138">
        <f t="shared" si="42"/>
        <v>0</v>
      </c>
      <c r="V76" s="138">
        <f t="shared" si="42"/>
        <v>0</v>
      </c>
      <c r="W76" s="138">
        <f t="shared" si="42"/>
        <v>0</v>
      </c>
      <c r="X76" s="138">
        <f t="shared" si="42"/>
        <v>0</v>
      </c>
      <c r="Y76" s="138">
        <f t="shared" si="42"/>
        <v>0</v>
      </c>
      <c r="Z76" s="138">
        <f t="shared" si="42"/>
        <v>0</v>
      </c>
      <c r="AA76" s="138">
        <f t="shared" si="42"/>
        <v>0</v>
      </c>
      <c r="AB76" s="138">
        <f t="shared" si="42"/>
        <v>0</v>
      </c>
      <c r="AC76" s="243"/>
      <c r="AE76" s="240">
        <v>3</v>
      </c>
      <c r="AF76" s="171" t="str">
        <f>IF(ISBLANK(STUD!B68)," ",STUD!B68)</f>
        <v>PINKY</v>
      </c>
      <c r="AG76" s="183">
        <f>IFERROR(VLOOKUP(AF76,$B$73:$C$148,2,0),0)</f>
        <v>10.9</v>
      </c>
      <c r="AH76" s="183">
        <f t="shared" si="39"/>
        <v>2.8000000000000007</v>
      </c>
      <c r="AI76" s="182" t="str">
        <f t="shared" si="40"/>
        <v xml:space="preserve"> </v>
      </c>
      <c r="AJ76" s="182" t="str">
        <f>IF(AI76="","",IFERROR(IF(VLOOKUP(AI76,Programa!$B$3:$C$18,2,0)="","",VLOOKUP(AI76,Programa!$B$3:$C$18,2,0)),""))</f>
        <v/>
      </c>
      <c r="AK76" s="182" t="str">
        <f t="shared" si="41"/>
        <v xml:space="preserve"> </v>
      </c>
      <c r="AL76" s="182" t="str">
        <f>IF(AK76="","",IFERROR(IF(VLOOKUP(AK76,Programa!$B$19:$C$34,2,0)="","",VLOOKUP(AK76,Programa!$B$19:$C$34,2,0)),""))</f>
        <v/>
      </c>
      <c r="AM76" s="182" t="str">
        <f t="shared" si="38"/>
        <v xml:space="preserve"> </v>
      </c>
      <c r="AN76" s="182" t="str">
        <f>IF(AM76="","",IFERROR(IF(VLOOKUP(AM76,Programa!$B$35:$C$50,2,0)="","",VLOOKUP(AM76,Programa!$B$35:$C$50,2,0)),""))</f>
        <v/>
      </c>
    </row>
    <row r="77" spans="1:40" ht="15.75" customHeight="1" x14ac:dyDescent="0.4">
      <c r="A77" s="242">
        <f>+A75+1</f>
        <v>3</v>
      </c>
      <c r="B77" s="243" t="str">
        <f>STUD!B37</f>
        <v>TRINIDAD</v>
      </c>
      <c r="C77" s="244">
        <f>SUM(D78:AB78)</f>
        <v>0</v>
      </c>
      <c r="D77" s="135">
        <v>7</v>
      </c>
      <c r="E77" s="135">
        <v>3</v>
      </c>
      <c r="F77" s="135">
        <v>5</v>
      </c>
      <c r="G77" s="135">
        <v>12</v>
      </c>
      <c r="H77" s="135">
        <v>1</v>
      </c>
      <c r="I77" s="135">
        <v>2</v>
      </c>
      <c r="J77" s="135">
        <v>7</v>
      </c>
      <c r="K77" s="135">
        <v>5</v>
      </c>
      <c r="L77" s="135">
        <v>2</v>
      </c>
      <c r="M77" s="135">
        <v>15</v>
      </c>
      <c r="N77" s="14">
        <v>4</v>
      </c>
      <c r="O77" s="14">
        <v>7</v>
      </c>
      <c r="P77" s="14">
        <v>4</v>
      </c>
      <c r="Q77" s="14">
        <v>7</v>
      </c>
      <c r="R77" s="14">
        <v>2</v>
      </c>
      <c r="S77" s="14">
        <v>4</v>
      </c>
      <c r="T77" s="14">
        <v>8</v>
      </c>
      <c r="U77" s="14">
        <v>2</v>
      </c>
      <c r="V77" s="14">
        <v>7</v>
      </c>
      <c r="W77" s="14">
        <v>8</v>
      </c>
      <c r="X77" s="14">
        <v>15</v>
      </c>
      <c r="Y77" s="135">
        <v>3</v>
      </c>
      <c r="Z77" s="135">
        <v>9</v>
      </c>
      <c r="AA77" s="135"/>
      <c r="AB77" s="135"/>
      <c r="AC77" s="243">
        <f>SUM(D78:AB78)</f>
        <v>0</v>
      </c>
      <c r="AE77" s="240">
        <v>4</v>
      </c>
      <c r="AF77" s="171" t="str">
        <f>IF(ISBLANK(STUD!B42)," ",STUD!B42)</f>
        <v>TOCOCO</v>
      </c>
      <c r="AG77" s="183">
        <f>IFERROR(VLOOKUP(AF77,$B$73:$C$148,2,0),0)</f>
        <v>9.7000000000000011</v>
      </c>
      <c r="AH77" s="183">
        <f t="shared" si="39"/>
        <v>4</v>
      </c>
      <c r="AI77" s="182">
        <f t="shared" si="40"/>
        <v>1</v>
      </c>
      <c r="AJ77" s="182" t="str">
        <f>IF(AI77="","",IFERROR(IF(VLOOKUP(AI77,Programa!$B$3:$C$18,2,0)="","",VLOOKUP(AI77,Programa!$B$3:$C$18,2,0)),""))</f>
        <v>LA POLITO</v>
      </c>
      <c r="AK77" s="182">
        <f t="shared" si="41"/>
        <v>14</v>
      </c>
      <c r="AL77" s="182" t="str">
        <f>IF(AK77="","",IFERROR(IF(VLOOKUP(AK77,Programa!$B$19:$C$34,2,0)="","",VLOOKUP(AK77,Programa!$B$19:$C$34,2,0)),""))</f>
        <v/>
      </c>
      <c r="AM77" s="182">
        <f t="shared" si="38"/>
        <v>5</v>
      </c>
      <c r="AN77" s="182" t="str">
        <f>IF(AM77="","",IFERROR(IF(VLOOKUP(AM77,Programa!$B$35:$C$50,2,0)="","",VLOOKUP(AM77,Programa!$B$35:$C$50,2,0)),""))</f>
        <v>RIO PLATA</v>
      </c>
    </row>
    <row r="78" spans="1:40" ht="15.75" customHeight="1" x14ac:dyDescent="0.4">
      <c r="A78" s="242"/>
      <c r="B78" s="243"/>
      <c r="C78" s="245"/>
      <c r="D78" s="138">
        <f t="shared" ref="D78:AB78" si="43">IF(IFERROR(IF(VLOOKUP(D77,D$181:D$185,1,0)&gt;=1,D$180,0),D77)=D$162,D$166,IF(IFERROR(IF(VLOOKUP(D77,D$181:D$185,1,0)&gt;=1,D$180,0),D77)=D$169,D$172,IF(IFERROR(IF(VLOOKUP(D77,D$181:D$185,1,0)&gt;=1,D$180,0),D77)=D$175,D$177,0)))</f>
        <v>0</v>
      </c>
      <c r="E78" s="138">
        <f t="shared" si="43"/>
        <v>0</v>
      </c>
      <c r="F78" s="138">
        <f t="shared" si="43"/>
        <v>0</v>
      </c>
      <c r="G78" s="138">
        <f t="shared" si="43"/>
        <v>0</v>
      </c>
      <c r="H78" s="138">
        <f t="shared" si="43"/>
        <v>0</v>
      </c>
      <c r="I78" s="138">
        <f t="shared" si="43"/>
        <v>0</v>
      </c>
      <c r="J78" s="138">
        <f t="shared" si="43"/>
        <v>0</v>
      </c>
      <c r="K78" s="138">
        <f t="shared" si="43"/>
        <v>0</v>
      </c>
      <c r="L78" s="138">
        <f t="shared" si="43"/>
        <v>0</v>
      </c>
      <c r="M78" s="138">
        <f t="shared" si="43"/>
        <v>0</v>
      </c>
      <c r="N78" s="138">
        <f t="shared" si="43"/>
        <v>0</v>
      </c>
      <c r="O78" s="138">
        <f t="shared" si="43"/>
        <v>0</v>
      </c>
      <c r="P78" s="138">
        <f t="shared" si="43"/>
        <v>0</v>
      </c>
      <c r="Q78" s="138">
        <f t="shared" si="43"/>
        <v>0</v>
      </c>
      <c r="R78" s="138">
        <f t="shared" si="43"/>
        <v>0</v>
      </c>
      <c r="S78" s="138">
        <f t="shared" si="43"/>
        <v>0</v>
      </c>
      <c r="T78" s="138">
        <f t="shared" si="43"/>
        <v>0</v>
      </c>
      <c r="U78" s="138">
        <f t="shared" si="43"/>
        <v>0</v>
      </c>
      <c r="V78" s="138">
        <f t="shared" si="43"/>
        <v>0</v>
      </c>
      <c r="W78" s="138">
        <f t="shared" si="43"/>
        <v>0</v>
      </c>
      <c r="X78" s="138">
        <f t="shared" si="43"/>
        <v>0</v>
      </c>
      <c r="Y78" s="138">
        <f t="shared" si="43"/>
        <v>0</v>
      </c>
      <c r="Z78" s="138">
        <f t="shared" si="43"/>
        <v>0</v>
      </c>
      <c r="AA78" s="138">
        <f t="shared" si="43"/>
        <v>0</v>
      </c>
      <c r="AB78" s="138">
        <f t="shared" si="43"/>
        <v>0</v>
      </c>
      <c r="AC78" s="243"/>
      <c r="AE78" s="240">
        <v>5</v>
      </c>
      <c r="AF78" s="171" t="str">
        <f>IF(ISBLANK(STUD!B69)," ",STUD!B69)</f>
        <v>MG</v>
      </c>
      <c r="AG78" s="183">
        <f>IFERROR(VLOOKUP(AF78,$B$73:$C$148,2,0),0)</f>
        <v>9.7000000000000011</v>
      </c>
      <c r="AH78" s="183">
        <f t="shared" si="39"/>
        <v>4</v>
      </c>
      <c r="AI78" s="182" t="str">
        <f t="shared" si="40"/>
        <v xml:space="preserve"> </v>
      </c>
      <c r="AJ78" s="182" t="str">
        <f>IF(AI78="","",IFERROR(IF(VLOOKUP(AI78,Programa!$B$3:$C$18,2,0)="","",VLOOKUP(AI78,Programa!$B$3:$C$18,2,0)),""))</f>
        <v/>
      </c>
      <c r="AK78" s="182" t="str">
        <f t="shared" si="41"/>
        <v xml:space="preserve"> </v>
      </c>
      <c r="AL78" s="182" t="str">
        <f>IF(AK78="","",IFERROR(IF(VLOOKUP(AK78,Programa!$B$19:$C$34,2,0)="","",VLOOKUP(AK78,Programa!$B$19:$C$34,2,0)),""))</f>
        <v/>
      </c>
      <c r="AM78" s="182" t="str">
        <f t="shared" si="38"/>
        <v xml:space="preserve"> </v>
      </c>
      <c r="AN78" s="182" t="str">
        <f>IF(AM78="","",IFERROR(IF(VLOOKUP(AM78,Programa!$B$35:$C$50,2,0)="","",VLOOKUP(AM78,Programa!$B$35:$C$50,2,0)),""))</f>
        <v/>
      </c>
    </row>
    <row r="79" spans="1:40" ht="15.75" customHeight="1" x14ac:dyDescent="0.4">
      <c r="A79" s="242">
        <f>+A77+1</f>
        <v>4</v>
      </c>
      <c r="B79" s="243" t="str">
        <f>STUD!B38</f>
        <v>LOS GIPSY KING</v>
      </c>
      <c r="C79" s="244">
        <f>SUM(D80:AB80)</f>
        <v>4</v>
      </c>
      <c r="D79" s="235">
        <v>1</v>
      </c>
      <c r="E79" s="235">
        <v>12</v>
      </c>
      <c r="F79" s="235">
        <v>3</v>
      </c>
      <c r="G79" s="235">
        <v>2</v>
      </c>
      <c r="H79" s="235">
        <v>10</v>
      </c>
      <c r="I79" s="235">
        <v>9</v>
      </c>
      <c r="J79" s="235">
        <v>4</v>
      </c>
      <c r="K79" s="235">
        <v>4</v>
      </c>
      <c r="L79" s="235">
        <v>5</v>
      </c>
      <c r="M79" s="235">
        <v>1</v>
      </c>
      <c r="N79" s="14">
        <v>2</v>
      </c>
      <c r="O79" s="14">
        <v>11</v>
      </c>
      <c r="P79" s="14">
        <v>3</v>
      </c>
      <c r="Q79" s="14">
        <v>6</v>
      </c>
      <c r="R79" s="14">
        <v>2</v>
      </c>
      <c r="S79" s="14">
        <v>9</v>
      </c>
      <c r="T79" s="14">
        <v>8</v>
      </c>
      <c r="U79" s="14">
        <v>4</v>
      </c>
      <c r="V79" s="14">
        <v>4</v>
      </c>
      <c r="W79" s="14">
        <v>11</v>
      </c>
      <c r="X79" s="14">
        <v>13</v>
      </c>
      <c r="Y79" s="135">
        <v>2</v>
      </c>
      <c r="Z79" s="135">
        <v>1</v>
      </c>
      <c r="AA79" s="135"/>
      <c r="AB79" s="135"/>
      <c r="AC79" s="243">
        <f>SUM(D80:AB80)</f>
        <v>4</v>
      </c>
      <c r="AE79" s="240">
        <v>6</v>
      </c>
      <c r="AF79" s="171" t="str">
        <f>IF(ISBLANK(STUD!B64)," ",STUD!B64)</f>
        <v>BILZ</v>
      </c>
      <c r="AG79" s="183">
        <f>IFERROR(VLOOKUP(AF79,$B$73:$C$148,2,0),0)</f>
        <v>9.7000000000000011</v>
      </c>
      <c r="AH79" s="183">
        <f t="shared" si="39"/>
        <v>4</v>
      </c>
      <c r="AI79" s="182" t="str">
        <f t="shared" si="40"/>
        <v xml:space="preserve"> </v>
      </c>
      <c r="AJ79" s="182" t="str">
        <f>IF(AI79="","",IFERROR(IF(VLOOKUP(AI79,Programa!$B$3:$C$18,2,0)="","",VLOOKUP(AI79,Programa!$B$3:$C$18,2,0)),""))</f>
        <v/>
      </c>
      <c r="AK79" s="182" t="str">
        <f t="shared" si="41"/>
        <v xml:space="preserve"> </v>
      </c>
      <c r="AL79" s="182" t="str">
        <f>IF(AK79="","",IFERROR(IF(VLOOKUP(AK79,Programa!$B$19:$C$34,2,0)="","",VLOOKUP(AK79,Programa!$B$19:$C$34,2,0)),""))</f>
        <v/>
      </c>
      <c r="AM79" s="182">
        <v>5</v>
      </c>
      <c r="AN79" s="182" t="str">
        <f>IF(AM79="","",IFERROR(IF(VLOOKUP(AM79,Programa!$B$35:$C$50,2,0)="","",VLOOKUP(AM79,Programa!$B$35:$C$50,2,0)),""))</f>
        <v>RIO PLATA</v>
      </c>
    </row>
    <row r="80" spans="1:40" ht="15.75" customHeight="1" x14ac:dyDescent="0.4">
      <c r="A80" s="242"/>
      <c r="B80" s="243"/>
      <c r="C80" s="245"/>
      <c r="D80" s="138">
        <f t="shared" ref="D80:AB80" si="44">IF(IFERROR(IF(VLOOKUP(D79,D$181:D$185,1,0)&gt;=1,D$180,0),D79)=D$162,D$166,IF(IFERROR(IF(VLOOKUP(D79,D$181:D$185,1,0)&gt;=1,D$180,0),D79)=D$169,D$172,IF(IFERROR(IF(VLOOKUP(D79,D$181:D$185,1,0)&gt;=1,D$180,0),D79)=D$175,D$177,0)))</f>
        <v>0</v>
      </c>
      <c r="E80" s="138">
        <f t="shared" si="44"/>
        <v>4</v>
      </c>
      <c r="F80" s="138">
        <f t="shared" si="44"/>
        <v>0</v>
      </c>
      <c r="G80" s="138">
        <f t="shared" si="44"/>
        <v>0</v>
      </c>
      <c r="H80" s="138">
        <f t="shared" si="44"/>
        <v>0</v>
      </c>
      <c r="I80" s="138">
        <f t="shared" si="44"/>
        <v>0</v>
      </c>
      <c r="J80" s="138">
        <f t="shared" si="44"/>
        <v>0</v>
      </c>
      <c r="K80" s="138">
        <f t="shared" si="44"/>
        <v>0</v>
      </c>
      <c r="L80" s="138">
        <f t="shared" si="44"/>
        <v>0</v>
      </c>
      <c r="M80" s="138">
        <f t="shared" si="44"/>
        <v>0</v>
      </c>
      <c r="N80" s="138">
        <f t="shared" si="44"/>
        <v>0</v>
      </c>
      <c r="O80" s="138">
        <f t="shared" si="44"/>
        <v>0</v>
      </c>
      <c r="P80" s="138">
        <f t="shared" si="44"/>
        <v>0</v>
      </c>
      <c r="Q80" s="138">
        <f t="shared" si="44"/>
        <v>0</v>
      </c>
      <c r="R80" s="138">
        <f t="shared" si="44"/>
        <v>0</v>
      </c>
      <c r="S80" s="138">
        <f t="shared" si="44"/>
        <v>0</v>
      </c>
      <c r="T80" s="138">
        <f t="shared" si="44"/>
        <v>0</v>
      </c>
      <c r="U80" s="138">
        <f t="shared" si="44"/>
        <v>0</v>
      </c>
      <c r="V80" s="138">
        <f t="shared" si="44"/>
        <v>0</v>
      </c>
      <c r="W80" s="138">
        <f t="shared" si="44"/>
        <v>0</v>
      </c>
      <c r="X80" s="138">
        <f t="shared" si="44"/>
        <v>0</v>
      </c>
      <c r="Y80" s="138">
        <f t="shared" si="44"/>
        <v>0</v>
      </c>
      <c r="Z80" s="138">
        <f t="shared" si="44"/>
        <v>0</v>
      </c>
      <c r="AA80" s="138">
        <f t="shared" si="44"/>
        <v>0</v>
      </c>
      <c r="AB80" s="138">
        <f t="shared" si="44"/>
        <v>0</v>
      </c>
      <c r="AC80" s="243"/>
      <c r="AE80" s="240">
        <v>7</v>
      </c>
      <c r="AF80" s="171" t="str">
        <f>IF(ISBLANK(STUD!B66)," ",STUD!B66)</f>
        <v>SIN FE-IA</v>
      </c>
      <c r="AG80" s="183">
        <f>IFERROR(VLOOKUP(AF80,$B$73:$C$148,2,0),0)</f>
        <v>7.9</v>
      </c>
      <c r="AH80" s="183">
        <f t="shared" si="39"/>
        <v>5.8000000000000007</v>
      </c>
      <c r="AI80" s="182" t="str">
        <f t="shared" si="40"/>
        <v xml:space="preserve"> </v>
      </c>
      <c r="AJ80" s="182" t="str">
        <f>IF(AI80="","",IFERROR(IF(VLOOKUP(AI80,Programa!$B$3:$C$18,2,0)="","",VLOOKUP(AI80,Programa!$B$3:$C$18,2,0)),""))</f>
        <v/>
      </c>
      <c r="AK80" s="182" t="str">
        <f t="shared" si="41"/>
        <v xml:space="preserve"> </v>
      </c>
      <c r="AL80" s="182" t="str">
        <f>IF(AK80="","",IFERROR(IF(VLOOKUP(AK80,Programa!$B$19:$C$34,2,0)="","",VLOOKUP(AK80,Programa!$B$19:$C$34,2,0)),""))</f>
        <v/>
      </c>
      <c r="AM80" s="182" t="str">
        <f t="shared" si="38"/>
        <v xml:space="preserve"> </v>
      </c>
      <c r="AN80" s="182" t="str">
        <f>IF(AM80="","",IFERROR(IF(VLOOKUP(AM80,Programa!$B$35:$C$50,2,0)="","",VLOOKUP(AM80,Programa!$B$35:$C$50,2,0)),""))</f>
        <v/>
      </c>
    </row>
    <row r="81" spans="1:40" ht="15.75" customHeight="1" x14ac:dyDescent="0.4">
      <c r="A81" s="242">
        <f t="shared" ref="A81:A143" si="45">+A79+1</f>
        <v>5</v>
      </c>
      <c r="B81" s="243" t="str">
        <f>STUD!B39</f>
        <v>LOCO PETETE</v>
      </c>
      <c r="C81" s="244">
        <f>SUM(D82:AB82)</f>
        <v>5.0999999999999996</v>
      </c>
      <c r="D81" s="14">
        <v>3</v>
      </c>
      <c r="E81" s="14">
        <v>12</v>
      </c>
      <c r="F81" s="14">
        <v>2</v>
      </c>
      <c r="G81" s="14">
        <v>4</v>
      </c>
      <c r="H81" s="14">
        <v>10</v>
      </c>
      <c r="I81" s="14">
        <v>1</v>
      </c>
      <c r="J81" s="14">
        <v>4</v>
      </c>
      <c r="K81" s="14">
        <v>6</v>
      </c>
      <c r="L81" s="14">
        <v>9</v>
      </c>
      <c r="M81" s="14">
        <v>12</v>
      </c>
      <c r="N81" s="14">
        <v>3</v>
      </c>
      <c r="O81" s="14">
        <v>8</v>
      </c>
      <c r="P81" s="14">
        <v>10</v>
      </c>
      <c r="Q81" s="14">
        <v>1</v>
      </c>
      <c r="R81" s="14">
        <v>8</v>
      </c>
      <c r="S81" s="14">
        <v>7</v>
      </c>
      <c r="T81" s="14">
        <v>3</v>
      </c>
      <c r="U81" s="14">
        <v>10</v>
      </c>
      <c r="V81" s="14">
        <v>1</v>
      </c>
      <c r="W81" s="139">
        <v>7</v>
      </c>
      <c r="X81" s="14">
        <v>4</v>
      </c>
      <c r="Y81" s="135">
        <v>9</v>
      </c>
      <c r="Z81" s="135">
        <v>11</v>
      </c>
      <c r="AA81" s="135"/>
      <c r="AB81" s="135"/>
      <c r="AC81" s="243">
        <f>SUM(D82:AB82)</f>
        <v>5.0999999999999996</v>
      </c>
      <c r="AE81" s="240">
        <v>8</v>
      </c>
      <c r="AF81" s="171" t="str">
        <f>IF(ISBLANK(STUD!B45)," ",STUD!B45)</f>
        <v>PASASTE DIABLO</v>
      </c>
      <c r="AG81" s="183">
        <f>IFERROR(VLOOKUP(AF81,$B$73:$C$148,2,0),0)</f>
        <v>7.9</v>
      </c>
      <c r="AH81" s="183">
        <f t="shared" si="39"/>
        <v>5.8000000000000007</v>
      </c>
      <c r="AI81" s="182">
        <f t="shared" si="40"/>
        <v>8</v>
      </c>
      <c r="AJ81" s="182" t="str">
        <f>IF(AI81="","",IFERROR(IF(VLOOKUP(AI81,Programa!$B$3:$C$18,2,0)="","",VLOOKUP(AI81,Programa!$B$3:$C$18,2,0)),""))</f>
        <v>FLOFLI</v>
      </c>
      <c r="AK81" s="182">
        <f t="shared" si="41"/>
        <v>6</v>
      </c>
      <c r="AL81" s="182" t="str">
        <f>IF(AK81="","",IFERROR(IF(VLOOKUP(AK81,Programa!$B$19:$C$34,2,0)="","",VLOOKUP(AK81,Programa!$B$19:$C$34,2,0)),""))</f>
        <v>UNDER THE LIGHT</v>
      </c>
      <c r="AM81" s="182">
        <v>5</v>
      </c>
      <c r="AN81" s="182" t="str">
        <f>IF(AM81="","",IFERROR(IF(VLOOKUP(AM81,Programa!$B$35:$C$50,2,0)="","",VLOOKUP(AM81,Programa!$B$35:$C$50,2,0)),""))</f>
        <v>RIO PLATA</v>
      </c>
    </row>
    <row r="82" spans="1:40" ht="15.75" customHeight="1" x14ac:dyDescent="0.4">
      <c r="A82" s="242"/>
      <c r="B82" s="243"/>
      <c r="C82" s="245"/>
      <c r="D82" s="138">
        <f t="shared" ref="D82:AB82" si="46">IF(IFERROR(IF(VLOOKUP(D81,D$181:D$185,1,0)&gt;=1,D$180,0),D81)=D$162,D$166,IF(IFERROR(IF(VLOOKUP(D81,D$181:D$185,1,0)&gt;=1,D$180,0),D81)=D$169,D$172,IF(IFERROR(IF(VLOOKUP(D81,D$181:D$185,1,0)&gt;=1,D$180,0),D81)=D$175,D$177,0)))</f>
        <v>1.1000000000000001</v>
      </c>
      <c r="E82" s="138">
        <f t="shared" si="46"/>
        <v>4</v>
      </c>
      <c r="F82" s="138">
        <f t="shared" si="46"/>
        <v>0</v>
      </c>
      <c r="G82" s="138">
        <f t="shared" si="46"/>
        <v>0</v>
      </c>
      <c r="H82" s="138">
        <f t="shared" si="46"/>
        <v>0</v>
      </c>
      <c r="I82" s="138">
        <f t="shared" si="46"/>
        <v>0</v>
      </c>
      <c r="J82" s="138">
        <f t="shared" si="46"/>
        <v>0</v>
      </c>
      <c r="K82" s="138">
        <f t="shared" si="46"/>
        <v>0</v>
      </c>
      <c r="L82" s="138">
        <f t="shared" si="46"/>
        <v>0</v>
      </c>
      <c r="M82" s="138">
        <f t="shared" si="46"/>
        <v>0</v>
      </c>
      <c r="N82" s="138">
        <f t="shared" si="46"/>
        <v>0</v>
      </c>
      <c r="O82" s="138">
        <f t="shared" si="46"/>
        <v>0</v>
      </c>
      <c r="P82" s="138">
        <f t="shared" si="46"/>
        <v>0</v>
      </c>
      <c r="Q82" s="138">
        <f t="shared" si="46"/>
        <v>0</v>
      </c>
      <c r="R82" s="138">
        <f t="shared" si="46"/>
        <v>0</v>
      </c>
      <c r="S82" s="138">
        <f t="shared" si="46"/>
        <v>0</v>
      </c>
      <c r="T82" s="138">
        <f t="shared" si="46"/>
        <v>0</v>
      </c>
      <c r="U82" s="138">
        <f t="shared" si="46"/>
        <v>0</v>
      </c>
      <c r="V82" s="138">
        <f t="shared" si="46"/>
        <v>0</v>
      </c>
      <c r="W82" s="138">
        <f t="shared" si="46"/>
        <v>0</v>
      </c>
      <c r="X82" s="138">
        <f t="shared" si="46"/>
        <v>0</v>
      </c>
      <c r="Y82" s="138">
        <f t="shared" si="46"/>
        <v>0</v>
      </c>
      <c r="Z82" s="138">
        <f t="shared" si="46"/>
        <v>0</v>
      </c>
      <c r="AA82" s="138">
        <f t="shared" si="46"/>
        <v>0</v>
      </c>
      <c r="AB82" s="138">
        <f t="shared" si="46"/>
        <v>0</v>
      </c>
      <c r="AC82" s="243"/>
      <c r="AE82" s="240">
        <v>9</v>
      </c>
      <c r="AF82" s="171" t="str">
        <f>IF(ISBLANK(STUD!B61)," ",STUD!B61)</f>
        <v>MIS SOBRINOS</v>
      </c>
      <c r="AG82" s="183">
        <f>IFERROR(VLOOKUP(AF82,$B$73:$C$148,2,0),0)</f>
        <v>7.9</v>
      </c>
      <c r="AH82" s="183">
        <f t="shared" si="39"/>
        <v>5.8000000000000007</v>
      </c>
      <c r="AI82" s="182">
        <f t="shared" si="40"/>
        <v>2</v>
      </c>
      <c r="AJ82" s="182" t="str">
        <f>IF(AI82="","",IFERROR(IF(VLOOKUP(AI82,Programa!$B$3:$C$18,2,0)="","",VLOOKUP(AI82,Programa!$B$3:$C$18,2,0)),""))</f>
        <v>ADRENALINA</v>
      </c>
      <c r="AK82" s="182">
        <f t="shared" si="41"/>
        <v>13</v>
      </c>
      <c r="AL82" s="182" t="str">
        <f>IF(AK82="","",IFERROR(IF(VLOOKUP(AK82,Programa!$B$19:$C$34,2,0)="","",VLOOKUP(AK82,Programa!$B$19:$C$34,2,0)),""))</f>
        <v/>
      </c>
      <c r="AM82" s="182">
        <f t="shared" si="38"/>
        <v>5</v>
      </c>
      <c r="AN82" s="182" t="str">
        <f>IF(AM82="","",IFERROR(IF(VLOOKUP(AM82,Programa!$B$35:$C$50,2,0)="","",VLOOKUP(AM82,Programa!$B$35:$C$50,2,0)),""))</f>
        <v>RIO PLATA</v>
      </c>
    </row>
    <row r="83" spans="1:40" ht="15.75" customHeight="1" x14ac:dyDescent="0.4">
      <c r="A83" s="242">
        <f t="shared" si="45"/>
        <v>6</v>
      </c>
      <c r="B83" s="243" t="str">
        <f>STUD!B40</f>
        <v>KING JORANTO</v>
      </c>
      <c r="C83" s="244">
        <f>SUM(D84:AB84)</f>
        <v>0</v>
      </c>
      <c r="D83" s="135">
        <v>15</v>
      </c>
      <c r="E83" s="135">
        <v>15</v>
      </c>
      <c r="F83" s="135">
        <v>3</v>
      </c>
      <c r="G83" s="135">
        <v>1</v>
      </c>
      <c r="H83" s="135">
        <v>3</v>
      </c>
      <c r="I83" s="135">
        <v>9</v>
      </c>
      <c r="J83" s="135">
        <v>3</v>
      </c>
      <c r="K83" s="135">
        <v>12</v>
      </c>
      <c r="L83" s="135">
        <v>5</v>
      </c>
      <c r="M83" s="135">
        <v>6</v>
      </c>
      <c r="N83" s="14">
        <v>4</v>
      </c>
      <c r="O83" s="14">
        <v>4</v>
      </c>
      <c r="P83" s="14">
        <v>7</v>
      </c>
      <c r="Q83" s="14">
        <v>2</v>
      </c>
      <c r="R83" s="14">
        <v>9</v>
      </c>
      <c r="S83" s="14">
        <v>9</v>
      </c>
      <c r="T83" s="14">
        <v>10</v>
      </c>
      <c r="U83" s="14">
        <v>1</v>
      </c>
      <c r="V83" s="14">
        <v>10</v>
      </c>
      <c r="W83" s="14">
        <v>9</v>
      </c>
      <c r="X83" s="14">
        <v>9</v>
      </c>
      <c r="Y83" s="14">
        <v>9</v>
      </c>
      <c r="Z83" s="14">
        <v>8</v>
      </c>
      <c r="AA83" s="14"/>
      <c r="AB83" s="135"/>
      <c r="AC83" s="243">
        <f>SUM(D84:AB84)</f>
        <v>0</v>
      </c>
      <c r="AE83" s="240">
        <v>10</v>
      </c>
      <c r="AF83" s="171" t="str">
        <f>IF(ISBLANK(STUD!B49)," ",STUD!B49)</f>
        <v>REMY</v>
      </c>
      <c r="AG83" s="183">
        <f>IFERROR(VLOOKUP(AF83,$B$73:$C$148,2,0),0)</f>
        <v>5.1000000000000005</v>
      </c>
      <c r="AH83" s="183">
        <f t="shared" si="39"/>
        <v>8.6000000000000014</v>
      </c>
      <c r="AI83" s="182">
        <f t="shared" si="40"/>
        <v>2</v>
      </c>
      <c r="AJ83" s="182" t="str">
        <f>IF(AI83="","",IFERROR(IF(VLOOKUP(AI83,Programa!$B$3:$C$18,2,0)="","",VLOOKUP(AI83,Programa!$B$3:$C$18,2,0)),""))</f>
        <v>ADRENALINA</v>
      </c>
      <c r="AK83" s="182">
        <f t="shared" si="41"/>
        <v>10</v>
      </c>
      <c r="AL83" s="182" t="str">
        <f>IF(AK83="","",IFERROR(IF(VLOOKUP(AK83,Programa!$B$19:$C$34,2,0)="","",VLOOKUP(AK83,Programa!$B$19:$C$34,2,0)),""))</f>
        <v>LUGA</v>
      </c>
      <c r="AM83" s="182">
        <f t="shared" si="38"/>
        <v>5</v>
      </c>
      <c r="AN83" s="182" t="str">
        <f>IF(AM83="","",IFERROR(IF(VLOOKUP(AM83,Programa!$B$35:$C$50,2,0)="","",VLOOKUP(AM83,Programa!$B$35:$C$50,2,0)),""))</f>
        <v>RIO PLATA</v>
      </c>
    </row>
    <row r="84" spans="1:40" ht="15.75" customHeight="1" x14ac:dyDescent="0.4">
      <c r="A84" s="242"/>
      <c r="B84" s="243"/>
      <c r="C84" s="245"/>
      <c r="D84" s="138">
        <f t="shared" ref="D84:AB84" si="47">IF(IFERROR(IF(VLOOKUP(D83,D$181:D$185,1,0)&gt;=1,D$180,0),D83)=D$162,D$166,IF(IFERROR(IF(VLOOKUP(D83,D$181:D$185,1,0)&gt;=1,D$180,0),D83)=D$169,D$172,IF(IFERROR(IF(VLOOKUP(D83,D$181:D$185,1,0)&gt;=1,D$180,0),D83)=D$175,D$177,0)))</f>
        <v>0</v>
      </c>
      <c r="E84" s="138">
        <f t="shared" si="47"/>
        <v>0</v>
      </c>
      <c r="F84" s="138">
        <f t="shared" si="47"/>
        <v>0</v>
      </c>
      <c r="G84" s="138">
        <f t="shared" si="47"/>
        <v>0</v>
      </c>
      <c r="H84" s="138">
        <f t="shared" si="47"/>
        <v>0</v>
      </c>
      <c r="I84" s="138">
        <f t="shared" si="47"/>
        <v>0</v>
      </c>
      <c r="J84" s="138">
        <f t="shared" si="47"/>
        <v>0</v>
      </c>
      <c r="K84" s="138">
        <f t="shared" si="47"/>
        <v>0</v>
      </c>
      <c r="L84" s="138">
        <f t="shared" si="47"/>
        <v>0</v>
      </c>
      <c r="M84" s="138">
        <f t="shared" si="47"/>
        <v>0</v>
      </c>
      <c r="N84" s="138">
        <f t="shared" si="47"/>
        <v>0</v>
      </c>
      <c r="O84" s="138">
        <f t="shared" si="47"/>
        <v>0</v>
      </c>
      <c r="P84" s="138">
        <f t="shared" si="47"/>
        <v>0</v>
      </c>
      <c r="Q84" s="138">
        <f t="shared" si="47"/>
        <v>0</v>
      </c>
      <c r="R84" s="138">
        <f t="shared" si="47"/>
        <v>0</v>
      </c>
      <c r="S84" s="138">
        <f t="shared" si="47"/>
        <v>0</v>
      </c>
      <c r="T84" s="138">
        <f t="shared" si="47"/>
        <v>0</v>
      </c>
      <c r="U84" s="138">
        <f t="shared" si="47"/>
        <v>0</v>
      </c>
      <c r="V84" s="138">
        <f t="shared" si="47"/>
        <v>0</v>
      </c>
      <c r="W84" s="138">
        <f t="shared" si="47"/>
        <v>0</v>
      </c>
      <c r="X84" s="138">
        <f t="shared" si="47"/>
        <v>0</v>
      </c>
      <c r="Y84" s="138">
        <f t="shared" si="47"/>
        <v>0</v>
      </c>
      <c r="Z84" s="138">
        <f t="shared" si="47"/>
        <v>0</v>
      </c>
      <c r="AA84" s="138">
        <f t="shared" si="47"/>
        <v>0</v>
      </c>
      <c r="AB84" s="138">
        <f t="shared" si="47"/>
        <v>0</v>
      </c>
      <c r="AC84" s="243"/>
      <c r="AE84" s="240">
        <v>11</v>
      </c>
      <c r="AF84" s="171" t="str">
        <f>IF(ISBLANK(STUD!B62)," ",STUD!B62)</f>
        <v>SANVI</v>
      </c>
      <c r="AG84" s="183">
        <f>IFERROR(VLOOKUP(AF84,$B$73:$C$148,2,0),0)</f>
        <v>5.0999999999999996</v>
      </c>
      <c r="AH84" s="183">
        <f t="shared" si="39"/>
        <v>8.6000000000000014</v>
      </c>
      <c r="AI84" s="182">
        <f t="shared" si="40"/>
        <v>11</v>
      </c>
      <c r="AJ84" s="182" t="str">
        <f>IF(AI84="","",IFERROR(IF(VLOOKUP(AI84,Programa!$B$3:$C$18,2,0)="","",VLOOKUP(AI84,Programa!$B$3:$C$18,2,0)),""))</f>
        <v>BERNOULLI</v>
      </c>
      <c r="AK84" s="182">
        <f t="shared" si="41"/>
        <v>9</v>
      </c>
      <c r="AL84" s="182" t="str">
        <f>IF(AK84="","",IFERROR(IF(VLOOKUP(AK84,Programa!$B$19:$C$34,2,0)="","",VLOOKUP(AK84,Programa!$B$19:$C$34,2,0)),""))</f>
        <v>PRIVATE COLLECTION</v>
      </c>
      <c r="AM84" s="182">
        <f t="shared" si="38"/>
        <v>5</v>
      </c>
      <c r="AN84" s="182" t="str">
        <f>IF(AM84="","",IFERROR(IF(VLOOKUP(AM84,Programa!$B$35:$C$50,2,0)="","",VLOOKUP(AM84,Programa!$B$35:$C$50,2,0)),""))</f>
        <v>RIO PLATA</v>
      </c>
    </row>
    <row r="85" spans="1:40" ht="15.75" customHeight="1" x14ac:dyDescent="0.4">
      <c r="A85" s="242">
        <f t="shared" si="45"/>
        <v>7</v>
      </c>
      <c r="B85" s="243" t="str">
        <f>STUD!B41</f>
        <v>KING MAGUENCHO</v>
      </c>
      <c r="C85" s="244">
        <f>SUM(D86:AB86)</f>
        <v>0</v>
      </c>
      <c r="D85" s="14">
        <v>14</v>
      </c>
      <c r="E85" s="14">
        <v>14</v>
      </c>
      <c r="F85" s="14">
        <v>5</v>
      </c>
      <c r="G85" s="14">
        <v>3</v>
      </c>
      <c r="H85" s="14">
        <v>11</v>
      </c>
      <c r="I85" s="14">
        <v>10</v>
      </c>
      <c r="J85" s="14">
        <v>3</v>
      </c>
      <c r="K85" s="14">
        <v>6</v>
      </c>
      <c r="L85" s="14">
        <v>6</v>
      </c>
      <c r="M85" s="14">
        <v>6</v>
      </c>
      <c r="N85" s="14">
        <v>2</v>
      </c>
      <c r="O85" s="14">
        <v>8</v>
      </c>
      <c r="P85" s="14">
        <v>2</v>
      </c>
      <c r="Q85" s="14">
        <v>2</v>
      </c>
      <c r="R85" s="14">
        <v>1</v>
      </c>
      <c r="S85" s="14">
        <v>4</v>
      </c>
      <c r="T85" s="14">
        <v>10</v>
      </c>
      <c r="U85" s="14">
        <v>1</v>
      </c>
      <c r="V85" s="14">
        <v>2</v>
      </c>
      <c r="W85" s="14">
        <v>1</v>
      </c>
      <c r="X85" s="14">
        <v>9</v>
      </c>
      <c r="Y85" s="14">
        <v>5</v>
      </c>
      <c r="Z85" s="14">
        <v>8</v>
      </c>
      <c r="AA85" s="14"/>
      <c r="AB85" s="135"/>
      <c r="AC85" s="243">
        <f>SUM(D86:AB86)</f>
        <v>0</v>
      </c>
      <c r="AE85" s="240">
        <v>12</v>
      </c>
      <c r="AF85" s="171" t="str">
        <f>IF(ISBLANK(STUD!B57)," ",STUD!B57)</f>
        <v>MANZOR</v>
      </c>
      <c r="AG85" s="183">
        <f>IFERROR(VLOOKUP(AF85,$B$73:$C$148,2,0),0)</f>
        <v>5.0999999999999996</v>
      </c>
      <c r="AH85" s="183">
        <f t="shared" si="39"/>
        <v>8.6000000000000014</v>
      </c>
      <c r="AI85" s="182">
        <f t="shared" si="40"/>
        <v>2</v>
      </c>
      <c r="AJ85" s="182" t="str">
        <f>IF(AI85="","",IFERROR(IF(VLOOKUP(AI85,Programa!$B$3:$C$18,2,0)="","",VLOOKUP(AI85,Programa!$B$3:$C$18,2,0)),""))</f>
        <v>ADRENALINA</v>
      </c>
      <c r="AK85" s="182">
        <f t="shared" si="41"/>
        <v>12</v>
      </c>
      <c r="AL85" s="182" t="str">
        <f>IF(AK85="","",IFERROR(IF(VLOOKUP(AK85,Programa!$B$19:$C$34,2,0)="","",VLOOKUP(AK85,Programa!$B$19:$C$34,2,0)),""))</f>
        <v/>
      </c>
      <c r="AM85" s="182">
        <f t="shared" si="38"/>
        <v>2</v>
      </c>
      <c r="AN85" s="182" t="str">
        <f>IF(AM85="","",IFERROR(IF(VLOOKUP(AM85,Programa!$B$35:$C$50,2,0)="","",VLOOKUP(AM85,Programa!$B$35:$C$50,2,0)),""))</f>
        <v>PELE O REY</v>
      </c>
    </row>
    <row r="86" spans="1:40" ht="15.75" customHeight="1" x14ac:dyDescent="0.4">
      <c r="A86" s="242"/>
      <c r="B86" s="243"/>
      <c r="C86" s="245"/>
      <c r="D86" s="138">
        <f t="shared" ref="D86:AB86" si="48">IF(IFERROR(IF(VLOOKUP(D85,D$181:D$185,1,0)&gt;=1,D$180,0),D85)=D$162,D$166,IF(IFERROR(IF(VLOOKUP(D85,D$181:D$185,1,0)&gt;=1,D$180,0),D85)=D$169,D$172,IF(IFERROR(IF(VLOOKUP(D85,D$181:D$185,1,0)&gt;=1,D$180,0),D85)=D$175,D$177,0)))</f>
        <v>0</v>
      </c>
      <c r="E86" s="138">
        <f t="shared" si="48"/>
        <v>0</v>
      </c>
      <c r="F86" s="138">
        <f t="shared" si="48"/>
        <v>0</v>
      </c>
      <c r="G86" s="138">
        <f t="shared" si="48"/>
        <v>0</v>
      </c>
      <c r="H86" s="138">
        <f t="shared" si="48"/>
        <v>0</v>
      </c>
      <c r="I86" s="138">
        <f t="shared" si="48"/>
        <v>0</v>
      </c>
      <c r="J86" s="138">
        <f t="shared" si="48"/>
        <v>0</v>
      </c>
      <c r="K86" s="138">
        <f t="shared" si="48"/>
        <v>0</v>
      </c>
      <c r="L86" s="138">
        <f t="shared" si="48"/>
        <v>0</v>
      </c>
      <c r="M86" s="138">
        <f t="shared" si="48"/>
        <v>0</v>
      </c>
      <c r="N86" s="138">
        <f t="shared" si="48"/>
        <v>0</v>
      </c>
      <c r="O86" s="138">
        <f t="shared" si="48"/>
        <v>0</v>
      </c>
      <c r="P86" s="138">
        <f t="shared" si="48"/>
        <v>0</v>
      </c>
      <c r="Q86" s="138">
        <f t="shared" si="48"/>
        <v>0</v>
      </c>
      <c r="R86" s="138">
        <f t="shared" si="48"/>
        <v>0</v>
      </c>
      <c r="S86" s="138">
        <f t="shared" si="48"/>
        <v>0</v>
      </c>
      <c r="T86" s="138">
        <f t="shared" si="48"/>
        <v>0</v>
      </c>
      <c r="U86" s="138">
        <f t="shared" si="48"/>
        <v>0</v>
      </c>
      <c r="V86" s="138">
        <f t="shared" si="48"/>
        <v>0</v>
      </c>
      <c r="W86" s="138">
        <f t="shared" si="48"/>
        <v>0</v>
      </c>
      <c r="X86" s="138">
        <f t="shared" si="48"/>
        <v>0</v>
      </c>
      <c r="Y86" s="138">
        <f t="shared" si="48"/>
        <v>0</v>
      </c>
      <c r="Z86" s="138">
        <f t="shared" si="48"/>
        <v>0</v>
      </c>
      <c r="AA86" s="138">
        <f t="shared" si="48"/>
        <v>0</v>
      </c>
      <c r="AB86" s="138">
        <f t="shared" si="48"/>
        <v>0</v>
      </c>
      <c r="AC86" s="243"/>
      <c r="AE86" s="240">
        <v>13</v>
      </c>
      <c r="AF86" s="171" t="str">
        <f>IF(ISBLANK(STUD!B39)," ",STUD!B39)</f>
        <v>LOCO PETETE</v>
      </c>
      <c r="AG86" s="183">
        <f>IFERROR(VLOOKUP(AF86,$B$73:$C$148,2,0),0)</f>
        <v>5.0999999999999996</v>
      </c>
      <c r="AH86" s="183">
        <f t="shared" si="39"/>
        <v>8.6000000000000014</v>
      </c>
      <c r="AI86" s="182">
        <f t="shared" si="40"/>
        <v>4</v>
      </c>
      <c r="AJ86" s="182" t="str">
        <f>IF(AI86="","",IFERROR(IF(VLOOKUP(AI86,Programa!$B$3:$C$18,2,0)="","",VLOOKUP(AI86,Programa!$B$3:$C$18,2,0)),""))</f>
        <v>FIN DE LA NOCHE</v>
      </c>
      <c r="AK86" s="182">
        <f t="shared" si="41"/>
        <v>10</v>
      </c>
      <c r="AL86" s="182" t="str">
        <f>IF(AK86="","",IFERROR(IF(VLOOKUP(AK86,Programa!$B$19:$C$34,2,0)="","",VLOOKUP(AK86,Programa!$B$19:$C$34,2,0)),""))</f>
        <v>LUGA</v>
      </c>
      <c r="AM86" s="182">
        <f t="shared" si="38"/>
        <v>2</v>
      </c>
      <c r="AN86" s="182" t="str">
        <f>IF(AM86="","",IFERROR(IF(VLOOKUP(AM86,Programa!$B$35:$C$50,2,0)="","",VLOOKUP(AM86,Programa!$B$35:$C$50,2,0)),""))</f>
        <v>PELE O REY</v>
      </c>
    </row>
    <row r="87" spans="1:40" ht="15.75" customHeight="1" x14ac:dyDescent="0.4">
      <c r="A87" s="242">
        <f t="shared" si="45"/>
        <v>8</v>
      </c>
      <c r="B87" s="243" t="str">
        <f>STUD!B42</f>
        <v>TOCOCO</v>
      </c>
      <c r="C87" s="244">
        <f>SUM(D88:AB88)</f>
        <v>9.7000000000000011</v>
      </c>
      <c r="D87" s="14">
        <v>9</v>
      </c>
      <c r="E87" s="14">
        <v>3</v>
      </c>
      <c r="F87" s="14">
        <v>5</v>
      </c>
      <c r="G87" s="14">
        <v>1</v>
      </c>
      <c r="H87" s="14">
        <v>14</v>
      </c>
      <c r="I87" s="14">
        <v>8</v>
      </c>
      <c r="J87" s="14">
        <v>7</v>
      </c>
      <c r="K87" s="14">
        <v>5</v>
      </c>
      <c r="L87" s="14">
        <v>2</v>
      </c>
      <c r="M87" s="14">
        <v>14</v>
      </c>
      <c r="N87" s="14">
        <v>4</v>
      </c>
      <c r="O87" s="14">
        <v>6</v>
      </c>
      <c r="P87" s="14">
        <v>14</v>
      </c>
      <c r="Q87" s="14">
        <v>1</v>
      </c>
      <c r="R87" s="14">
        <v>11</v>
      </c>
      <c r="S87" s="14">
        <v>1</v>
      </c>
      <c r="T87" s="14">
        <v>2</v>
      </c>
      <c r="U87" s="14">
        <v>10</v>
      </c>
      <c r="V87" s="14">
        <v>6</v>
      </c>
      <c r="W87" s="14">
        <v>8</v>
      </c>
      <c r="X87" s="14">
        <v>2</v>
      </c>
      <c r="Y87" s="14">
        <v>12</v>
      </c>
      <c r="Z87" s="14">
        <v>1</v>
      </c>
      <c r="AA87" s="14"/>
      <c r="AB87" s="135"/>
      <c r="AC87" s="243">
        <f>SUM(D88:AB88)</f>
        <v>9.7000000000000011</v>
      </c>
      <c r="AE87" s="240">
        <v>14</v>
      </c>
      <c r="AF87" s="171" t="str">
        <f>IF(ISBLANK(STUD!B60)," ",STUD!B60)</f>
        <v>JUAN DE LOS CABALLOS</v>
      </c>
      <c r="AG87" s="183">
        <f>IFERROR(VLOOKUP(AF87,$B$73:$C$148,2,0),0)</f>
        <v>5.0999999999999996</v>
      </c>
      <c r="AH87" s="183">
        <f t="shared" si="39"/>
        <v>8.6000000000000014</v>
      </c>
      <c r="AI87" s="182">
        <f t="shared" si="40"/>
        <v>4</v>
      </c>
      <c r="AJ87" s="182" t="str">
        <f>IF(AI87="","",IFERROR(IF(VLOOKUP(AI87,Programa!$B$3:$C$18,2,0)="","",VLOOKUP(AI87,Programa!$B$3:$C$18,2,0)),""))</f>
        <v>FIN DE LA NOCHE</v>
      </c>
      <c r="AK87" s="182">
        <f t="shared" si="41"/>
        <v>14</v>
      </c>
      <c r="AL87" s="182" t="str">
        <f>IF(AK87="","",IFERROR(IF(VLOOKUP(AK87,Programa!$B$19:$C$34,2,0)="","",VLOOKUP(AK87,Programa!$B$19:$C$34,2,0)),""))</f>
        <v/>
      </c>
      <c r="AM87" s="182">
        <v>5</v>
      </c>
      <c r="AN87" s="182" t="str">
        <f>IF(AM87="","",IFERROR(IF(VLOOKUP(AM87,Programa!$B$35:$C$50,2,0)="","",VLOOKUP(AM87,Programa!$B$35:$C$50,2,0)),""))</f>
        <v>RIO PLATA</v>
      </c>
    </row>
    <row r="88" spans="1:40" ht="15.75" customHeight="1" x14ac:dyDescent="0.4">
      <c r="A88" s="242"/>
      <c r="B88" s="243"/>
      <c r="C88" s="245"/>
      <c r="D88" s="138">
        <f t="shared" ref="D88:AB88" si="49">IF(IFERROR(IF(VLOOKUP(D87,D$181:D$185,1,0)&gt;=1,D$180,0),D87)=D$162,D$166,IF(IFERROR(IF(VLOOKUP(D87,D$181:D$185,1,0)&gt;=1,D$180,0),D87)=D$169,D$172,IF(IFERROR(IF(VLOOKUP(D87,D$181:D$185,1,0)&gt;=1,D$180,0),D87)=D$175,D$177,0)))</f>
        <v>9.7000000000000011</v>
      </c>
      <c r="E88" s="138">
        <f t="shared" si="49"/>
        <v>0</v>
      </c>
      <c r="F88" s="138">
        <f t="shared" si="49"/>
        <v>0</v>
      </c>
      <c r="G88" s="138">
        <f t="shared" si="49"/>
        <v>0</v>
      </c>
      <c r="H88" s="138">
        <f t="shared" si="49"/>
        <v>0</v>
      </c>
      <c r="I88" s="138">
        <f t="shared" si="49"/>
        <v>0</v>
      </c>
      <c r="J88" s="138">
        <f t="shared" si="49"/>
        <v>0</v>
      </c>
      <c r="K88" s="138">
        <f t="shared" si="49"/>
        <v>0</v>
      </c>
      <c r="L88" s="138">
        <f t="shared" si="49"/>
        <v>0</v>
      </c>
      <c r="M88" s="138">
        <f t="shared" si="49"/>
        <v>0</v>
      </c>
      <c r="N88" s="138">
        <f t="shared" si="49"/>
        <v>0</v>
      </c>
      <c r="O88" s="138">
        <f t="shared" si="49"/>
        <v>0</v>
      </c>
      <c r="P88" s="138">
        <f t="shared" si="49"/>
        <v>0</v>
      </c>
      <c r="Q88" s="138">
        <f t="shared" si="49"/>
        <v>0</v>
      </c>
      <c r="R88" s="138">
        <f t="shared" si="49"/>
        <v>0</v>
      </c>
      <c r="S88" s="138">
        <f t="shared" si="49"/>
        <v>0</v>
      </c>
      <c r="T88" s="138">
        <f t="shared" si="49"/>
        <v>0</v>
      </c>
      <c r="U88" s="138">
        <f t="shared" si="49"/>
        <v>0</v>
      </c>
      <c r="V88" s="138">
        <f t="shared" si="49"/>
        <v>0</v>
      </c>
      <c r="W88" s="138">
        <f t="shared" si="49"/>
        <v>0</v>
      </c>
      <c r="X88" s="138">
        <f t="shared" si="49"/>
        <v>0</v>
      </c>
      <c r="Y88" s="138">
        <f t="shared" si="49"/>
        <v>0</v>
      </c>
      <c r="Z88" s="138">
        <f t="shared" si="49"/>
        <v>0</v>
      </c>
      <c r="AA88" s="138">
        <f t="shared" si="49"/>
        <v>0</v>
      </c>
      <c r="AB88" s="138">
        <f t="shared" si="49"/>
        <v>0</v>
      </c>
      <c r="AC88" s="243"/>
      <c r="AE88" s="240">
        <v>15</v>
      </c>
      <c r="AF88" s="171" t="str">
        <f>IF(ISBLANK(STUD!B36)," ",STUD!B36)</f>
        <v>FERNANDA</v>
      </c>
      <c r="AG88" s="183">
        <f>IFERROR(VLOOKUP(AF88,$B$73:$C$148,2,0),0)</f>
        <v>5.0999999999999996</v>
      </c>
      <c r="AH88" s="183">
        <f t="shared" si="39"/>
        <v>8.6000000000000014</v>
      </c>
      <c r="AI88" s="182">
        <f t="shared" si="40"/>
        <v>3</v>
      </c>
      <c r="AJ88" s="182" t="str">
        <f>IF(AI88="","",IFERROR(IF(VLOOKUP(AI88,Programa!$B$3:$C$18,2,0)="","",VLOOKUP(AI88,Programa!$B$3:$C$18,2,0)),""))</f>
        <v>ÑILCA</v>
      </c>
      <c r="AK88" s="182">
        <f t="shared" si="41"/>
        <v>14</v>
      </c>
      <c r="AL88" s="182" t="str">
        <f>IF(AK88="","",IFERROR(IF(VLOOKUP(AK88,Programa!$B$19:$C$34,2,0)="","",VLOOKUP(AK88,Programa!$B$19:$C$34,2,0)),""))</f>
        <v/>
      </c>
      <c r="AM88" s="182">
        <f t="shared" si="38"/>
        <v>2</v>
      </c>
      <c r="AN88" s="182" t="str">
        <f>IF(AM88="","",IFERROR(IF(VLOOKUP(AM88,Programa!$B$35:$C$50,2,0)="","",VLOOKUP(AM88,Programa!$B$35:$C$50,2,0)),""))</f>
        <v>PELE O REY</v>
      </c>
    </row>
    <row r="89" spans="1:40" ht="15.75" customHeight="1" x14ac:dyDescent="0.4">
      <c r="A89" s="242">
        <f t="shared" si="45"/>
        <v>9</v>
      </c>
      <c r="B89" s="243" t="str">
        <f>STUD!B43</f>
        <v>MANZANA</v>
      </c>
      <c r="C89" s="244">
        <f>SUM(D90:AB90)</f>
        <v>0</v>
      </c>
      <c r="D89" s="14">
        <v>1</v>
      </c>
      <c r="E89" s="14">
        <v>15</v>
      </c>
      <c r="F89" s="14">
        <v>1</v>
      </c>
      <c r="G89" s="14">
        <v>10</v>
      </c>
      <c r="H89" s="14">
        <v>5</v>
      </c>
      <c r="I89" s="14">
        <v>6</v>
      </c>
      <c r="J89" s="14">
        <v>7</v>
      </c>
      <c r="K89" s="14">
        <v>12</v>
      </c>
      <c r="L89" s="14">
        <v>1</v>
      </c>
      <c r="M89" s="14">
        <v>8</v>
      </c>
      <c r="N89" s="14">
        <v>2</v>
      </c>
      <c r="O89" s="14">
        <v>4</v>
      </c>
      <c r="P89" s="14">
        <v>10</v>
      </c>
      <c r="Q89" s="14">
        <v>1</v>
      </c>
      <c r="R89" s="14">
        <v>11</v>
      </c>
      <c r="S89" s="14">
        <v>2</v>
      </c>
      <c r="T89" s="14">
        <v>13</v>
      </c>
      <c r="U89" s="14">
        <v>8</v>
      </c>
      <c r="V89" s="234">
        <v>2</v>
      </c>
      <c r="W89" s="14">
        <v>5</v>
      </c>
      <c r="X89" s="14">
        <v>6</v>
      </c>
      <c r="Y89" s="135">
        <v>12</v>
      </c>
      <c r="Z89" s="135">
        <v>4</v>
      </c>
      <c r="AA89" s="135"/>
      <c r="AB89" s="135"/>
      <c r="AC89" s="243">
        <f>SUM(D90:AB90)</f>
        <v>0</v>
      </c>
      <c r="AE89" s="240">
        <v>16</v>
      </c>
      <c r="AF89" s="171" t="str">
        <f>IF(ISBLANK(STUD!B59)," ",STUD!B59)</f>
        <v>SOSAMAFIA</v>
      </c>
      <c r="AG89" s="183">
        <f>IFERROR(VLOOKUP(AF89,$B$73:$C$148,2,0),0)</f>
        <v>4</v>
      </c>
      <c r="AH89" s="183">
        <f t="shared" si="39"/>
        <v>9.7000000000000011</v>
      </c>
      <c r="AI89" s="53">
        <f t="shared" si="40"/>
        <v>2</v>
      </c>
      <c r="AJ89" s="53" t="str">
        <f>IF(AI89="","",IFERROR(IF(VLOOKUP(AI89,Programa!$B$3:$C$18,2,0)="","",VLOOKUP(AI89,Programa!$B$3:$C$18,2,0)),""))</f>
        <v>ADRENALINA</v>
      </c>
      <c r="AK89" s="53">
        <f t="shared" si="41"/>
        <v>5</v>
      </c>
      <c r="AL89" s="53" t="str">
        <f>IF(AK89="","",IFERROR(IF(VLOOKUP(AK89,Programa!$B$19:$C$34,2,0)="","",VLOOKUP(AK89,Programa!$B$19:$C$34,2,0)),""))</f>
        <v>TU MI CUNCA</v>
      </c>
      <c r="AM89" s="53">
        <f t="shared" si="38"/>
        <v>11</v>
      </c>
      <c r="AN89" s="53" t="str">
        <f>IF(AM89="","",IFERROR(IF(VLOOKUP(AM89,Programa!$B$35:$C$50,2,0)="","",VLOOKUP(AM89,Programa!$B$35:$C$50,2,0)),""))</f>
        <v/>
      </c>
    </row>
    <row r="90" spans="1:40" ht="15.75" customHeight="1" x14ac:dyDescent="0.4">
      <c r="A90" s="242"/>
      <c r="B90" s="243"/>
      <c r="C90" s="245"/>
      <c r="D90" s="138">
        <f t="shared" ref="D90:AB90" si="50">IF(IFERROR(IF(VLOOKUP(D89,D$181:D$185,1,0)&gt;=1,D$180,0),D89)=D$162,D$166,IF(IFERROR(IF(VLOOKUP(D89,D$181:D$185,1,0)&gt;=1,D$180,0),D89)=D$169,D$172,IF(IFERROR(IF(VLOOKUP(D89,D$181:D$185,1,0)&gt;=1,D$180,0),D89)=D$175,D$177,0)))</f>
        <v>0</v>
      </c>
      <c r="E90" s="138">
        <f t="shared" si="50"/>
        <v>0</v>
      </c>
      <c r="F90" s="138">
        <f t="shared" si="50"/>
        <v>0</v>
      </c>
      <c r="G90" s="138">
        <f t="shared" si="50"/>
        <v>0</v>
      </c>
      <c r="H90" s="138">
        <f t="shared" si="50"/>
        <v>0</v>
      </c>
      <c r="I90" s="138">
        <f t="shared" si="50"/>
        <v>0</v>
      </c>
      <c r="J90" s="138">
        <f t="shared" si="50"/>
        <v>0</v>
      </c>
      <c r="K90" s="138">
        <f t="shared" si="50"/>
        <v>0</v>
      </c>
      <c r="L90" s="138">
        <f t="shared" si="50"/>
        <v>0</v>
      </c>
      <c r="M90" s="138">
        <f t="shared" si="50"/>
        <v>0</v>
      </c>
      <c r="N90" s="138">
        <f t="shared" si="50"/>
        <v>0</v>
      </c>
      <c r="O90" s="138">
        <f t="shared" si="50"/>
        <v>0</v>
      </c>
      <c r="P90" s="138">
        <f t="shared" si="50"/>
        <v>0</v>
      </c>
      <c r="Q90" s="138">
        <f t="shared" si="50"/>
        <v>0</v>
      </c>
      <c r="R90" s="138">
        <f t="shared" si="50"/>
        <v>0</v>
      </c>
      <c r="S90" s="138">
        <f t="shared" si="50"/>
        <v>0</v>
      </c>
      <c r="T90" s="138">
        <f t="shared" si="50"/>
        <v>0</v>
      </c>
      <c r="U90" s="138">
        <f t="shared" si="50"/>
        <v>0</v>
      </c>
      <c r="V90" s="138">
        <f t="shared" si="50"/>
        <v>0</v>
      </c>
      <c r="W90" s="138">
        <f t="shared" si="50"/>
        <v>0</v>
      </c>
      <c r="X90" s="138">
        <f t="shared" si="50"/>
        <v>0</v>
      </c>
      <c r="Y90" s="138">
        <f t="shared" si="50"/>
        <v>0</v>
      </c>
      <c r="Z90" s="138">
        <f t="shared" si="50"/>
        <v>0</v>
      </c>
      <c r="AA90" s="138">
        <f t="shared" si="50"/>
        <v>0</v>
      </c>
      <c r="AB90" s="138">
        <f t="shared" si="50"/>
        <v>0</v>
      </c>
      <c r="AC90" s="243"/>
      <c r="AE90" s="240">
        <v>17</v>
      </c>
      <c r="AF90" s="171" t="str">
        <f>IF(ISBLANK(STUD!B65)," ",STUD!B65)</f>
        <v>SIN FE</v>
      </c>
      <c r="AG90" s="183">
        <f>IFERROR(VLOOKUP(AF90,$B$73:$C$148,2,0),0)</f>
        <v>4</v>
      </c>
      <c r="AH90" s="183">
        <f t="shared" si="39"/>
        <v>9.7000000000000011</v>
      </c>
      <c r="AI90" s="53" t="str">
        <f t="shared" si="40"/>
        <v xml:space="preserve"> </v>
      </c>
      <c r="AJ90" s="53" t="str">
        <f>IF(AI90="","",IFERROR(IF(VLOOKUP(AI90,Programa!$B$3:$C$18,2,0)="","",VLOOKUP(AI90,Programa!$B$3:$C$18,2,0)),""))</f>
        <v/>
      </c>
      <c r="AK90" s="53" t="str">
        <f t="shared" si="41"/>
        <v xml:space="preserve"> </v>
      </c>
      <c r="AL90" s="53" t="str">
        <f>IF(AK90="","",IFERROR(IF(VLOOKUP(AK90,Programa!$B$19:$C$34,2,0)="","",VLOOKUP(AK90,Programa!$B$19:$C$34,2,0)),""))</f>
        <v/>
      </c>
      <c r="AM90" s="53" t="str">
        <f t="shared" si="38"/>
        <v xml:space="preserve"> </v>
      </c>
      <c r="AN90" s="53" t="str">
        <f>IF(AM90="","",IFERROR(IF(VLOOKUP(AM90,Programa!$B$35:$C$50,2,0)="","",VLOOKUP(AM90,Programa!$B$35:$C$50,2,0)),""))</f>
        <v/>
      </c>
    </row>
    <row r="91" spans="1:40" ht="15.75" customHeight="1" x14ac:dyDescent="0.4">
      <c r="A91" s="242">
        <f t="shared" si="45"/>
        <v>10</v>
      </c>
      <c r="B91" s="243" t="str">
        <f>STUD!B44</f>
        <v>PILLASTE DIABLO</v>
      </c>
      <c r="C91" s="244">
        <f>SUM(D92:AB92)</f>
        <v>0</v>
      </c>
      <c r="D91" s="14">
        <v>8</v>
      </c>
      <c r="E91" s="14">
        <v>7</v>
      </c>
      <c r="F91" s="14">
        <v>1</v>
      </c>
      <c r="G91" s="14">
        <v>5</v>
      </c>
      <c r="H91" s="14">
        <v>11</v>
      </c>
      <c r="I91" s="14">
        <v>1</v>
      </c>
      <c r="J91" s="14">
        <v>4</v>
      </c>
      <c r="K91" s="14">
        <v>2</v>
      </c>
      <c r="L91" s="14">
        <v>3</v>
      </c>
      <c r="M91" s="14">
        <v>13</v>
      </c>
      <c r="N91" s="14">
        <v>1</v>
      </c>
      <c r="O91" s="14">
        <v>14</v>
      </c>
      <c r="P91" s="14">
        <v>1</v>
      </c>
      <c r="Q91" s="14">
        <v>9</v>
      </c>
      <c r="R91" s="14">
        <v>14</v>
      </c>
      <c r="S91" s="14">
        <v>2</v>
      </c>
      <c r="T91" s="14">
        <v>9</v>
      </c>
      <c r="U91" s="14">
        <v>1</v>
      </c>
      <c r="V91" s="233">
        <v>1</v>
      </c>
      <c r="W91" s="14">
        <v>13</v>
      </c>
      <c r="X91" s="14">
        <v>7</v>
      </c>
      <c r="Y91" s="14">
        <v>3</v>
      </c>
      <c r="Z91" s="14">
        <v>1</v>
      </c>
      <c r="AA91" s="14"/>
      <c r="AB91" s="135"/>
      <c r="AC91" s="243">
        <f>SUM(D92:AB92)</f>
        <v>0</v>
      </c>
      <c r="AE91" s="240">
        <v>18</v>
      </c>
      <c r="AF91" s="171" t="str">
        <f>IF(ISBLANK(STUD!B71)," ",STUD!B71)</f>
        <v>PASASTE BANDIDO</v>
      </c>
      <c r="AG91" s="183">
        <f>IFERROR(VLOOKUP(AF91,$B$73:$C$148,2,0),0)</f>
        <v>4</v>
      </c>
      <c r="AH91" s="183">
        <f t="shared" si="39"/>
        <v>9.7000000000000011</v>
      </c>
      <c r="AI91" s="53" t="str">
        <f t="shared" si="40"/>
        <v xml:space="preserve"> </v>
      </c>
      <c r="AJ91" s="53" t="str">
        <f>IF(AI91="","",IFERROR(IF(VLOOKUP(AI91,Programa!$B$3:$C$18,2,0)="","",VLOOKUP(AI91,Programa!$B$3:$C$18,2,0)),""))</f>
        <v/>
      </c>
      <c r="AK91" s="53" t="str">
        <f t="shared" si="41"/>
        <v xml:space="preserve"> </v>
      </c>
      <c r="AL91" s="53" t="str">
        <f>IF(AK91="","",IFERROR(IF(VLOOKUP(AK91,Programa!$B$19:$C$34,2,0)="","",VLOOKUP(AK91,Programa!$B$19:$C$34,2,0)),""))</f>
        <v/>
      </c>
      <c r="AM91" s="53" t="str">
        <f t="shared" si="38"/>
        <v xml:space="preserve"> </v>
      </c>
      <c r="AN91" s="53" t="str">
        <f>IF(AM91="","",IFERROR(IF(VLOOKUP(AM91,Programa!$B$35:$C$50,2,0)="","",VLOOKUP(AM91,Programa!$B$35:$C$50,2,0)),""))</f>
        <v/>
      </c>
    </row>
    <row r="92" spans="1:40" ht="15.75" customHeight="1" x14ac:dyDescent="0.4">
      <c r="A92" s="242"/>
      <c r="B92" s="243"/>
      <c r="C92" s="245"/>
      <c r="D92" s="138">
        <f t="shared" ref="D92:AB92" si="51">IF(IFERROR(IF(VLOOKUP(D91,D$181:D$185,1,0)&gt;=1,D$180,0),D91)=D$162,D$166,IF(IFERROR(IF(VLOOKUP(D91,D$181:D$185,1,0)&gt;=1,D$180,0),D91)=D$169,D$172,IF(IFERROR(IF(VLOOKUP(D91,D$181:D$185,1,0)&gt;=1,D$180,0),D91)=D$175,D$177,0)))</f>
        <v>0</v>
      </c>
      <c r="E92" s="138">
        <f t="shared" si="51"/>
        <v>0</v>
      </c>
      <c r="F92" s="138">
        <f t="shared" si="51"/>
        <v>0</v>
      </c>
      <c r="G92" s="138">
        <f t="shared" si="51"/>
        <v>0</v>
      </c>
      <c r="H92" s="138">
        <f t="shared" si="51"/>
        <v>0</v>
      </c>
      <c r="I92" s="138">
        <f t="shared" si="51"/>
        <v>0</v>
      </c>
      <c r="J92" s="138">
        <f t="shared" si="51"/>
        <v>0</v>
      </c>
      <c r="K92" s="138">
        <f t="shared" si="51"/>
        <v>0</v>
      </c>
      <c r="L92" s="138">
        <f t="shared" si="51"/>
        <v>0</v>
      </c>
      <c r="M92" s="138">
        <f t="shared" si="51"/>
        <v>0</v>
      </c>
      <c r="N92" s="138">
        <f t="shared" si="51"/>
        <v>0</v>
      </c>
      <c r="O92" s="138">
        <f t="shared" si="51"/>
        <v>0</v>
      </c>
      <c r="P92" s="138">
        <f t="shared" si="51"/>
        <v>0</v>
      </c>
      <c r="Q92" s="138">
        <f t="shared" si="51"/>
        <v>0</v>
      </c>
      <c r="R92" s="138">
        <f t="shared" si="51"/>
        <v>0</v>
      </c>
      <c r="S92" s="138">
        <f t="shared" si="51"/>
        <v>0</v>
      </c>
      <c r="T92" s="138">
        <f t="shared" si="51"/>
        <v>0</v>
      </c>
      <c r="U92" s="138">
        <f t="shared" si="51"/>
        <v>0</v>
      </c>
      <c r="V92" s="138">
        <f t="shared" si="51"/>
        <v>0</v>
      </c>
      <c r="W92" s="138">
        <f t="shared" si="51"/>
        <v>0</v>
      </c>
      <c r="X92" s="138">
        <f t="shared" si="51"/>
        <v>0</v>
      </c>
      <c r="Y92" s="138">
        <f t="shared" si="51"/>
        <v>0</v>
      </c>
      <c r="Z92" s="138">
        <f t="shared" si="51"/>
        <v>0</v>
      </c>
      <c r="AA92" s="138">
        <f t="shared" si="51"/>
        <v>0</v>
      </c>
      <c r="AB92" s="138">
        <f t="shared" si="51"/>
        <v>0</v>
      </c>
      <c r="AC92" s="243"/>
      <c r="AE92" s="240">
        <v>19</v>
      </c>
      <c r="AF92" s="171" t="str">
        <f>IF(ISBLANK(STUD!B38)," ",STUD!B38)</f>
        <v>LOS GIPSY KING</v>
      </c>
      <c r="AG92" s="183">
        <f>IFERROR(VLOOKUP(AF92,$B$73:$C$148,2,0),0)</f>
        <v>4</v>
      </c>
      <c r="AH92" s="183">
        <f t="shared" si="39"/>
        <v>9.7000000000000011</v>
      </c>
      <c r="AI92" s="53">
        <f t="shared" si="40"/>
        <v>2</v>
      </c>
      <c r="AJ92" s="53" t="str">
        <f>IF(AI92="","",IFERROR(IF(VLOOKUP(AI92,Programa!$B$3:$C$18,2,0)="","",VLOOKUP(AI92,Programa!$B$3:$C$18,2,0)),""))</f>
        <v>ADRENALINA</v>
      </c>
      <c r="AK92" s="53">
        <f t="shared" si="41"/>
        <v>10</v>
      </c>
      <c r="AL92" s="53" t="str">
        <f>IF(AK92="","",IFERROR(IF(VLOOKUP(AK92,Programa!$B$19:$C$34,2,0)="","",VLOOKUP(AK92,Programa!$B$19:$C$34,2,0)),""))</f>
        <v>LUGA</v>
      </c>
      <c r="AM92" s="53">
        <f t="shared" si="38"/>
        <v>3</v>
      </c>
      <c r="AN92" s="53" t="str">
        <f>IF(AM92="","",IFERROR(IF(VLOOKUP(AM92,Programa!$B$35:$C$50,2,0)="","",VLOOKUP(AM92,Programa!$B$35:$C$50,2,0)),""))</f>
        <v>NA NI NA</v>
      </c>
    </row>
    <row r="93" spans="1:40" ht="15.75" customHeight="1" x14ac:dyDescent="0.4">
      <c r="A93" s="242">
        <f t="shared" si="45"/>
        <v>11</v>
      </c>
      <c r="B93" s="243" t="str">
        <f>STUD!B45</f>
        <v>PASASTE DIABLO</v>
      </c>
      <c r="C93" s="244">
        <f>SUM(D94:AB94)</f>
        <v>7.9</v>
      </c>
      <c r="D93" s="139">
        <v>12</v>
      </c>
      <c r="E93" s="139">
        <v>5</v>
      </c>
      <c r="F93" s="139">
        <v>7</v>
      </c>
      <c r="G93" s="139">
        <v>8</v>
      </c>
      <c r="H93" s="139">
        <v>6</v>
      </c>
      <c r="I93" s="139">
        <v>12</v>
      </c>
      <c r="J93" s="139">
        <v>2</v>
      </c>
      <c r="K93" s="139">
        <v>7</v>
      </c>
      <c r="L93" s="139">
        <v>6</v>
      </c>
      <c r="M93" s="139">
        <v>14</v>
      </c>
      <c r="N93" s="14">
        <v>1</v>
      </c>
      <c r="O93" s="14">
        <v>10</v>
      </c>
      <c r="P93" s="14">
        <v>13</v>
      </c>
      <c r="Q93" s="14">
        <v>3</v>
      </c>
      <c r="R93" s="14">
        <v>15</v>
      </c>
      <c r="S93" s="14">
        <v>1</v>
      </c>
      <c r="T93" s="14">
        <v>7</v>
      </c>
      <c r="U93" s="14">
        <v>12</v>
      </c>
      <c r="V93" s="14">
        <v>14</v>
      </c>
      <c r="W93" s="14">
        <v>1</v>
      </c>
      <c r="X93" s="14">
        <v>3</v>
      </c>
      <c r="Y93" s="14">
        <v>5</v>
      </c>
      <c r="Z93" s="14">
        <v>12</v>
      </c>
      <c r="AA93" s="14"/>
      <c r="AB93" s="135"/>
      <c r="AC93" s="243">
        <f>SUM(D94:AB94)</f>
        <v>7.9</v>
      </c>
      <c r="AE93" s="240">
        <v>20</v>
      </c>
      <c r="AF93" s="171" t="str">
        <f>IF(ISBLANK(STUD!B48)," ",STUD!B48)</f>
        <v>ALF</v>
      </c>
      <c r="AG93" s="183">
        <f>IFERROR(VLOOKUP(AF93,$B$73:$C$148,2,0),0)</f>
        <v>4</v>
      </c>
      <c r="AH93" s="183">
        <f t="shared" ref="AH93:AH101" si="52">$AG$74-AG93</f>
        <v>9.7000000000000011</v>
      </c>
      <c r="AI93" s="53">
        <f t="shared" si="40"/>
        <v>11</v>
      </c>
      <c r="AJ93" s="53" t="str">
        <f>IF(AI93="","",IFERROR(IF(VLOOKUP(AI93,Programa!$B$3:$C$18,2,0)="","",VLOOKUP(AI93,Programa!$B$3:$C$18,2,0)),""))</f>
        <v>BERNOULLI</v>
      </c>
      <c r="AK93" s="53">
        <f t="shared" si="41"/>
        <v>9</v>
      </c>
      <c r="AL93" s="53" t="str">
        <f>IF(AK93="","",IFERROR(IF(VLOOKUP(AK93,Programa!$B$19:$C$34,2,0)="","",VLOOKUP(AK93,Programa!$B$19:$C$34,2,0)),""))</f>
        <v>PRIVATE COLLECTION</v>
      </c>
      <c r="AM93" s="53">
        <f t="shared" si="38"/>
        <v>5</v>
      </c>
      <c r="AN93" s="53" t="str">
        <f>IF(AM93="","",IFERROR(IF(VLOOKUP(AM93,Programa!$B$35:$C$50,2,0)="","",VLOOKUP(AM93,Programa!$B$35:$C$50,2,0)),""))</f>
        <v>RIO PLATA</v>
      </c>
    </row>
    <row r="94" spans="1:40" ht="15.75" customHeight="1" x14ac:dyDescent="0.4">
      <c r="A94" s="242"/>
      <c r="B94" s="243"/>
      <c r="C94" s="245"/>
      <c r="D94" s="138">
        <f t="shared" ref="D94:AB94" si="53">IF(IFERROR(IF(VLOOKUP(D93,D$181:D$185,1,0)&gt;=1,D$180,0),D93)=D$162,D$166,IF(IFERROR(IF(VLOOKUP(D93,D$181:D$185,1,0)&gt;=1,D$180,0),D93)=D$169,D$172,IF(IFERROR(IF(VLOOKUP(D93,D$181:D$185,1,0)&gt;=1,D$180,0),D93)=D$175,D$177,0)))</f>
        <v>3.9000000000000004</v>
      </c>
      <c r="E94" s="138">
        <f t="shared" si="53"/>
        <v>4</v>
      </c>
      <c r="F94" s="138">
        <f t="shared" si="53"/>
        <v>0</v>
      </c>
      <c r="G94" s="138">
        <f t="shared" si="53"/>
        <v>0</v>
      </c>
      <c r="H94" s="138">
        <f t="shared" si="53"/>
        <v>0</v>
      </c>
      <c r="I94" s="138">
        <f t="shared" si="53"/>
        <v>0</v>
      </c>
      <c r="J94" s="138">
        <f t="shared" si="53"/>
        <v>0</v>
      </c>
      <c r="K94" s="138">
        <f t="shared" si="53"/>
        <v>0</v>
      </c>
      <c r="L94" s="138">
        <f t="shared" si="53"/>
        <v>0</v>
      </c>
      <c r="M94" s="138">
        <f t="shared" si="53"/>
        <v>0</v>
      </c>
      <c r="N94" s="138">
        <f t="shared" si="53"/>
        <v>0</v>
      </c>
      <c r="O94" s="138">
        <f t="shared" si="53"/>
        <v>0</v>
      </c>
      <c r="P94" s="138">
        <f t="shared" si="53"/>
        <v>0</v>
      </c>
      <c r="Q94" s="138">
        <f t="shared" si="53"/>
        <v>0</v>
      </c>
      <c r="R94" s="138">
        <f t="shared" si="53"/>
        <v>0</v>
      </c>
      <c r="S94" s="138">
        <f t="shared" si="53"/>
        <v>0</v>
      </c>
      <c r="T94" s="138">
        <f t="shared" si="53"/>
        <v>0</v>
      </c>
      <c r="U94" s="138">
        <f t="shared" si="53"/>
        <v>0</v>
      </c>
      <c r="V94" s="138">
        <f t="shared" si="53"/>
        <v>0</v>
      </c>
      <c r="W94" s="138">
        <f t="shared" si="53"/>
        <v>0</v>
      </c>
      <c r="X94" s="138">
        <f t="shared" si="53"/>
        <v>0</v>
      </c>
      <c r="Y94" s="138">
        <f t="shared" si="53"/>
        <v>0</v>
      </c>
      <c r="Z94" s="138">
        <f t="shared" si="53"/>
        <v>0</v>
      </c>
      <c r="AA94" s="138">
        <f t="shared" si="53"/>
        <v>0</v>
      </c>
      <c r="AB94" s="138">
        <f t="shared" si="53"/>
        <v>0</v>
      </c>
      <c r="AC94" s="243"/>
      <c r="AE94" s="240">
        <v>21</v>
      </c>
      <c r="AF94" s="171" t="str">
        <f>IF(ISBLANK(STUD!B70)," ",STUD!B70)</f>
        <v>ROMATRI</v>
      </c>
      <c r="AG94" s="183">
        <f>IFERROR(VLOOKUP(AF94,$B$73:$C$148,2,0),0)</f>
        <v>3.9000000000000004</v>
      </c>
      <c r="AH94" s="183">
        <f t="shared" si="52"/>
        <v>9.8000000000000007</v>
      </c>
      <c r="AI94" s="53" t="str">
        <f t="shared" si="40"/>
        <v xml:space="preserve"> </v>
      </c>
      <c r="AJ94" s="53" t="str">
        <f>IF(AI94="","",IFERROR(IF(VLOOKUP(AI94,Programa!$B$3:$C$18,2,0)="","",VLOOKUP(AI94,Programa!$B$3:$C$18,2,0)),""))</f>
        <v/>
      </c>
      <c r="AK94" s="53" t="str">
        <f t="shared" si="41"/>
        <v xml:space="preserve"> </v>
      </c>
      <c r="AL94" s="53" t="str">
        <f>IF(AK94="","",IFERROR(IF(VLOOKUP(AK94,Programa!$B$19:$C$34,2,0)="","",VLOOKUP(AK94,Programa!$B$19:$C$34,2,0)),""))</f>
        <v/>
      </c>
      <c r="AM94" s="53" t="str">
        <f t="shared" si="38"/>
        <v xml:space="preserve"> </v>
      </c>
      <c r="AN94" s="53" t="str">
        <f>IF(AM94="","",IFERROR(IF(VLOOKUP(AM94,Programa!$B$35:$C$50,2,0)="","",VLOOKUP(AM94,Programa!$B$35:$C$50,2,0)),""))</f>
        <v/>
      </c>
    </row>
    <row r="95" spans="1:40" ht="15.75" customHeight="1" x14ac:dyDescent="0.4">
      <c r="A95" s="242">
        <f t="shared" si="45"/>
        <v>12</v>
      </c>
      <c r="B95" s="243" t="str">
        <f>STUD!B46</f>
        <v>REGALON 6 AÑOS</v>
      </c>
      <c r="C95" s="244">
        <f>SUM(D96:AB96)</f>
        <v>0</v>
      </c>
      <c r="D95" s="227">
        <v>2</v>
      </c>
      <c r="E95" s="227">
        <v>11</v>
      </c>
      <c r="F95" s="227">
        <v>2</v>
      </c>
      <c r="G95" s="227">
        <v>10</v>
      </c>
      <c r="H95" s="227">
        <v>1</v>
      </c>
      <c r="I95" s="227">
        <v>7</v>
      </c>
      <c r="J95" s="227">
        <v>4</v>
      </c>
      <c r="K95" s="227">
        <v>11</v>
      </c>
      <c r="L95" s="227">
        <v>2</v>
      </c>
      <c r="M95" s="227">
        <v>3</v>
      </c>
      <c r="N95" s="227">
        <v>2</v>
      </c>
      <c r="O95" s="227">
        <v>13</v>
      </c>
      <c r="P95" s="227">
        <v>4</v>
      </c>
      <c r="Q95" s="227">
        <v>6</v>
      </c>
      <c r="R95" s="227">
        <v>5</v>
      </c>
      <c r="S95" s="227">
        <v>1</v>
      </c>
      <c r="T95" s="227">
        <v>2</v>
      </c>
      <c r="U95" s="227">
        <v>9</v>
      </c>
      <c r="V95" s="14">
        <v>7</v>
      </c>
      <c r="W95" s="14">
        <v>12</v>
      </c>
      <c r="X95" s="14">
        <v>1</v>
      </c>
      <c r="Y95" s="14">
        <v>5</v>
      </c>
      <c r="Z95" s="14">
        <v>15</v>
      </c>
      <c r="AA95" s="14"/>
      <c r="AB95" s="135"/>
      <c r="AC95" s="243">
        <f>SUM(D96:AB96)</f>
        <v>0</v>
      </c>
      <c r="AE95" s="240">
        <v>22</v>
      </c>
      <c r="AF95" s="171" t="str">
        <f>IF(ISBLANK(STUD!B35)," ",STUD!B35)</f>
        <v>CAMPEON DE CAMPEONES</v>
      </c>
      <c r="AG95" s="183">
        <f>IFERROR(VLOOKUP(AF95,$B$73:$C$148,2,0),0)</f>
        <v>3.9000000000000004</v>
      </c>
      <c r="AH95" s="183">
        <f t="shared" si="52"/>
        <v>9.8000000000000007</v>
      </c>
      <c r="AI95" s="53">
        <f t="shared" si="40"/>
        <v>5</v>
      </c>
      <c r="AJ95" s="53" t="str">
        <f>IF(AI95="","",IFERROR(IF(VLOOKUP(AI95,Programa!$B$3:$C$18,2,0)="","",VLOOKUP(AI95,Programa!$B$3:$C$18,2,0)),""))</f>
        <v>VELA AL VIENTO</v>
      </c>
      <c r="AK95" s="53">
        <f t="shared" si="41"/>
        <v>14</v>
      </c>
      <c r="AL95" s="53" t="str">
        <f>IF(AK95="","",IFERROR(IF(VLOOKUP(AK95,Programa!$B$19:$C$34,2,0)="","",VLOOKUP(AK95,Programa!$B$19:$C$34,2,0)),""))</f>
        <v/>
      </c>
      <c r="AM95" s="53">
        <f t="shared" si="38"/>
        <v>4</v>
      </c>
      <c r="AN95" s="53" t="str">
        <f>IF(AM95="","",IFERROR(IF(VLOOKUP(AM95,Programa!$B$35:$C$50,2,0)="","",VLOOKUP(AM95,Programa!$B$35:$C$50,2,0)),""))</f>
        <v>SPARTAN</v>
      </c>
    </row>
    <row r="96" spans="1:40" ht="15.75" customHeight="1" x14ac:dyDescent="0.4">
      <c r="A96" s="242"/>
      <c r="B96" s="243"/>
      <c r="C96" s="245"/>
      <c r="D96" s="138">
        <f t="shared" ref="D96:AB96" si="54">IF(IFERROR(IF(VLOOKUP(D95,D$181:D$185,1,0)&gt;=1,D$180,0),D95)=D$162,D$166,IF(IFERROR(IF(VLOOKUP(D95,D$181:D$185,1,0)&gt;=1,D$180,0),D95)=D$169,D$172,IF(IFERROR(IF(VLOOKUP(D95,D$181:D$185,1,0)&gt;=1,D$180,0),D95)=D$175,D$177,0)))</f>
        <v>0</v>
      </c>
      <c r="E96" s="138">
        <f t="shared" si="54"/>
        <v>0</v>
      </c>
      <c r="F96" s="138">
        <f t="shared" si="54"/>
        <v>0</v>
      </c>
      <c r="G96" s="138">
        <f t="shared" si="54"/>
        <v>0</v>
      </c>
      <c r="H96" s="138">
        <f t="shared" si="54"/>
        <v>0</v>
      </c>
      <c r="I96" s="138">
        <f t="shared" si="54"/>
        <v>0</v>
      </c>
      <c r="J96" s="138">
        <f t="shared" si="54"/>
        <v>0</v>
      </c>
      <c r="K96" s="138">
        <f t="shared" si="54"/>
        <v>0</v>
      </c>
      <c r="L96" s="138">
        <f t="shared" si="54"/>
        <v>0</v>
      </c>
      <c r="M96" s="138">
        <f t="shared" si="54"/>
        <v>0</v>
      </c>
      <c r="N96" s="138">
        <f t="shared" si="54"/>
        <v>0</v>
      </c>
      <c r="O96" s="138">
        <f t="shared" si="54"/>
        <v>0</v>
      </c>
      <c r="P96" s="138">
        <f t="shared" si="54"/>
        <v>0</v>
      </c>
      <c r="Q96" s="138">
        <f t="shared" si="54"/>
        <v>0</v>
      </c>
      <c r="R96" s="138">
        <f t="shared" si="54"/>
        <v>0</v>
      </c>
      <c r="S96" s="138">
        <f t="shared" si="54"/>
        <v>0</v>
      </c>
      <c r="T96" s="138">
        <f t="shared" si="54"/>
        <v>0</v>
      </c>
      <c r="U96" s="138">
        <f t="shared" si="54"/>
        <v>0</v>
      </c>
      <c r="V96" s="138">
        <f t="shared" si="54"/>
        <v>0</v>
      </c>
      <c r="W96" s="138">
        <f t="shared" si="54"/>
        <v>0</v>
      </c>
      <c r="X96" s="138">
        <f t="shared" si="54"/>
        <v>0</v>
      </c>
      <c r="Y96" s="219">
        <f t="shared" si="54"/>
        <v>0</v>
      </c>
      <c r="Z96" s="219">
        <f t="shared" si="54"/>
        <v>0</v>
      </c>
      <c r="AA96" s="219">
        <f t="shared" si="54"/>
        <v>0</v>
      </c>
      <c r="AB96" s="219">
        <f t="shared" si="54"/>
        <v>0</v>
      </c>
      <c r="AC96" s="243"/>
      <c r="AE96" s="240">
        <v>23</v>
      </c>
      <c r="AF96" s="171" t="str">
        <f>IF(ISBLANK(STUD!B51)," ",STUD!B51)</f>
        <v>TRES COPAS</v>
      </c>
      <c r="AG96" s="183">
        <f>IFERROR(VLOOKUP(AF96,$B$73:$C$148,2,0),0)</f>
        <v>1.1000000000000001</v>
      </c>
      <c r="AH96" s="183">
        <f t="shared" si="52"/>
        <v>12.600000000000001</v>
      </c>
      <c r="AI96" s="53">
        <f t="shared" si="40"/>
        <v>7</v>
      </c>
      <c r="AJ96" s="53" t="str">
        <f>IF(AI96="","",IFERROR(IF(VLOOKUP(AI96,Programa!$B$3:$C$18,2,0)="","",VLOOKUP(AI96,Programa!$B$3:$C$18,2,0)),""))</f>
        <v>ALQASWA</v>
      </c>
      <c r="AK96" s="53">
        <f t="shared" si="41"/>
        <v>5</v>
      </c>
      <c r="AL96" s="53" t="str">
        <f>IF(AK96="","",IFERROR(IF(VLOOKUP(AK96,Programa!$B$19:$C$34,2,0)="","",VLOOKUP(AK96,Programa!$B$19:$C$34,2,0)),""))</f>
        <v>TU MI CUNCA</v>
      </c>
      <c r="AM96" s="53">
        <f t="shared" si="38"/>
        <v>11</v>
      </c>
      <c r="AN96" s="53" t="str">
        <f>IF(AM96="","",IFERROR(IF(VLOOKUP(AM96,Programa!$B$35:$C$50,2,0)="","",VLOOKUP(AM96,Programa!$B$35:$C$50,2,0)),""))</f>
        <v/>
      </c>
    </row>
    <row r="97" spans="1:40" ht="15.75" customHeight="1" x14ac:dyDescent="0.4">
      <c r="A97" s="242">
        <f t="shared" si="45"/>
        <v>13</v>
      </c>
      <c r="B97" s="243" t="str">
        <f>STUD!B47</f>
        <v>LMF</v>
      </c>
      <c r="C97" s="244">
        <f>SUM(D98:AB98)</f>
        <v>0</v>
      </c>
      <c r="D97" s="227">
        <v>15</v>
      </c>
      <c r="E97" s="227">
        <v>4</v>
      </c>
      <c r="F97" s="227">
        <v>9</v>
      </c>
      <c r="G97" s="227">
        <v>7</v>
      </c>
      <c r="H97" s="227">
        <v>12</v>
      </c>
      <c r="I97" s="227">
        <v>10</v>
      </c>
      <c r="J97" s="227">
        <v>4</v>
      </c>
      <c r="K97" s="227">
        <v>15</v>
      </c>
      <c r="L97" s="227">
        <v>9</v>
      </c>
      <c r="M97" s="227">
        <v>15</v>
      </c>
      <c r="N97" s="227">
        <v>2</v>
      </c>
      <c r="O97" s="227">
        <v>2</v>
      </c>
      <c r="P97" s="227">
        <v>4</v>
      </c>
      <c r="Q97" s="227">
        <v>5</v>
      </c>
      <c r="R97" s="227">
        <v>11</v>
      </c>
      <c r="S97" s="227">
        <v>11</v>
      </c>
      <c r="T97" s="227">
        <v>13</v>
      </c>
      <c r="U97" s="227">
        <v>2</v>
      </c>
      <c r="V97" s="14">
        <v>3</v>
      </c>
      <c r="W97" s="14">
        <v>7</v>
      </c>
      <c r="X97" s="14">
        <v>14</v>
      </c>
      <c r="Y97" s="14">
        <v>14</v>
      </c>
      <c r="Z97" s="14">
        <v>7</v>
      </c>
      <c r="AA97" s="14"/>
      <c r="AB97" s="135"/>
      <c r="AC97" s="243">
        <f>SUM(D98:AB98)</f>
        <v>0</v>
      </c>
      <c r="AE97" s="240">
        <v>24</v>
      </c>
      <c r="AF97" s="171" t="str">
        <f>IF(ISBLANK(STUD!B55)," ",STUD!B55)</f>
        <v>SEA COURT 1</v>
      </c>
      <c r="AG97" s="183">
        <f>IFERROR(VLOOKUP(AF97,$B$73:$C$148,2,0),0)</f>
        <v>1.1000000000000001</v>
      </c>
      <c r="AH97" s="183">
        <f t="shared" si="52"/>
        <v>12.600000000000001</v>
      </c>
      <c r="AI97" s="53">
        <f t="shared" si="40"/>
        <v>2</v>
      </c>
      <c r="AJ97" s="53" t="str">
        <f>IF(AI97="","",IFERROR(IF(VLOOKUP(AI97,Programa!$B$3:$C$18,2,0)="","",VLOOKUP(AI97,Programa!$B$3:$C$18,2,0)),""))</f>
        <v>ADRENALINA</v>
      </c>
      <c r="AK97" s="53">
        <f t="shared" si="41"/>
        <v>14</v>
      </c>
      <c r="AL97" s="53" t="str">
        <f>IF(AK97="","",IFERROR(IF(VLOOKUP(AK97,Programa!$B$19:$C$34,2,0)="","",VLOOKUP(AK97,Programa!$B$19:$C$34,2,0)),""))</f>
        <v/>
      </c>
      <c r="AM97" s="53">
        <f t="shared" si="38"/>
        <v>5</v>
      </c>
      <c r="AN97" s="53" t="str">
        <f>IF(AM97="","",IFERROR(IF(VLOOKUP(AM97,Programa!$B$35:$C$50,2,0)="","",VLOOKUP(AM97,Programa!$B$35:$C$50,2,0)),""))</f>
        <v>RIO PLATA</v>
      </c>
    </row>
    <row r="98" spans="1:40" ht="15.75" customHeight="1" x14ac:dyDescent="0.4">
      <c r="A98" s="242"/>
      <c r="B98" s="243"/>
      <c r="C98" s="245"/>
      <c r="D98" s="138">
        <f t="shared" ref="D98:AB98" si="55">IF(IFERROR(IF(VLOOKUP(D97,D$181:D$185,1,0)&gt;=1,D$180,0),D97)=D$162,D$166,IF(IFERROR(IF(VLOOKUP(D97,D$181:D$185,1,0)&gt;=1,D$180,0),D97)=D$169,D$172,IF(IFERROR(IF(VLOOKUP(D97,D$181:D$185,1,0)&gt;=1,D$180,0),D97)=D$175,D$177,0)))</f>
        <v>0</v>
      </c>
      <c r="E98" s="138">
        <f t="shared" si="55"/>
        <v>0</v>
      </c>
      <c r="F98" s="138">
        <f t="shared" si="55"/>
        <v>0</v>
      </c>
      <c r="G98" s="138">
        <f t="shared" si="55"/>
        <v>0</v>
      </c>
      <c r="H98" s="138">
        <f t="shared" si="55"/>
        <v>0</v>
      </c>
      <c r="I98" s="138">
        <f t="shared" si="55"/>
        <v>0</v>
      </c>
      <c r="J98" s="138">
        <f t="shared" si="55"/>
        <v>0</v>
      </c>
      <c r="K98" s="138">
        <f t="shared" si="55"/>
        <v>0</v>
      </c>
      <c r="L98" s="138">
        <f t="shared" si="55"/>
        <v>0</v>
      </c>
      <c r="M98" s="138">
        <f t="shared" si="55"/>
        <v>0</v>
      </c>
      <c r="N98" s="138">
        <f t="shared" si="55"/>
        <v>0</v>
      </c>
      <c r="O98" s="138">
        <f t="shared" si="55"/>
        <v>0</v>
      </c>
      <c r="P98" s="138">
        <f t="shared" si="55"/>
        <v>0</v>
      </c>
      <c r="Q98" s="138">
        <f t="shared" si="55"/>
        <v>0</v>
      </c>
      <c r="R98" s="138">
        <f t="shared" si="55"/>
        <v>0</v>
      </c>
      <c r="S98" s="138">
        <f t="shared" si="55"/>
        <v>0</v>
      </c>
      <c r="T98" s="138">
        <f t="shared" si="55"/>
        <v>0</v>
      </c>
      <c r="U98" s="138">
        <f t="shared" si="55"/>
        <v>0</v>
      </c>
      <c r="V98" s="138">
        <f t="shared" si="55"/>
        <v>0</v>
      </c>
      <c r="W98" s="138">
        <f t="shared" si="55"/>
        <v>0</v>
      </c>
      <c r="X98" s="138">
        <f t="shared" si="55"/>
        <v>0</v>
      </c>
      <c r="Y98" s="219">
        <f t="shared" si="55"/>
        <v>0</v>
      </c>
      <c r="Z98" s="219">
        <f t="shared" si="55"/>
        <v>0</v>
      </c>
      <c r="AA98" s="219">
        <f t="shared" si="55"/>
        <v>0</v>
      </c>
      <c r="AB98" s="219">
        <f t="shared" si="55"/>
        <v>0</v>
      </c>
      <c r="AC98" s="243"/>
      <c r="AE98" s="240">
        <v>25</v>
      </c>
      <c r="AF98" s="171" t="str">
        <f>IF(ISBLANK(STUD!B37)," ",STUD!B37)</f>
        <v>TRINIDAD</v>
      </c>
      <c r="AG98" s="183">
        <f>IFERROR(VLOOKUP(AF98,$B$73:$C$148,2,0),0)</f>
        <v>0</v>
      </c>
      <c r="AH98" s="183">
        <f t="shared" si="52"/>
        <v>13.700000000000001</v>
      </c>
      <c r="AI98" s="53">
        <f t="shared" si="40"/>
        <v>12</v>
      </c>
      <c r="AJ98" s="53" t="str">
        <f>IF(AI98="","",IFERROR(IF(VLOOKUP(AI98,Programa!$B$3:$C$18,2,0)="","",VLOOKUP(AI98,Programa!$B$3:$C$18,2,0)),""))</f>
        <v/>
      </c>
      <c r="AK98" s="53">
        <f t="shared" si="41"/>
        <v>1</v>
      </c>
      <c r="AL98" s="53" t="str">
        <f>IF(AK98="","",IFERROR(IF(VLOOKUP(AK98,Programa!$B$19:$C$34,2,0)="","",VLOOKUP(AK98,Programa!$B$19:$C$34,2,0)),""))</f>
        <v>LADY IN BLACK</v>
      </c>
      <c r="AM98" s="53">
        <f t="shared" si="38"/>
        <v>5</v>
      </c>
      <c r="AN98" s="53" t="str">
        <f>IF(AM98="","",IFERROR(IF(VLOOKUP(AM98,Programa!$B$35:$C$50,2,0)="","",VLOOKUP(AM98,Programa!$B$35:$C$50,2,0)),""))</f>
        <v>RIO PLATA</v>
      </c>
    </row>
    <row r="99" spans="1:40" ht="15.75" customHeight="1" x14ac:dyDescent="0.4">
      <c r="A99" s="242">
        <f t="shared" si="45"/>
        <v>14</v>
      </c>
      <c r="B99" s="243" t="str">
        <f>STUD!B48</f>
        <v>ALF</v>
      </c>
      <c r="C99" s="244">
        <f>SUM(D100:AB100)</f>
        <v>4</v>
      </c>
      <c r="D99" s="139">
        <v>15</v>
      </c>
      <c r="E99" s="139">
        <v>1</v>
      </c>
      <c r="F99" s="139">
        <v>5</v>
      </c>
      <c r="G99" s="139">
        <v>11</v>
      </c>
      <c r="H99" s="139">
        <v>9</v>
      </c>
      <c r="I99" s="139">
        <v>6</v>
      </c>
      <c r="J99" s="139">
        <v>4</v>
      </c>
      <c r="K99" s="139">
        <v>9</v>
      </c>
      <c r="L99" s="139">
        <v>8</v>
      </c>
      <c r="M99" s="139">
        <v>4</v>
      </c>
      <c r="N99" s="139">
        <v>1</v>
      </c>
      <c r="O99" s="139">
        <v>11</v>
      </c>
      <c r="P99" s="139">
        <v>10</v>
      </c>
      <c r="Q99" s="139">
        <v>7</v>
      </c>
      <c r="R99" s="139">
        <v>9</v>
      </c>
      <c r="S99" s="139">
        <v>2</v>
      </c>
      <c r="T99" s="139">
        <v>1</v>
      </c>
      <c r="U99" s="139">
        <v>4</v>
      </c>
      <c r="V99" s="139">
        <v>14</v>
      </c>
      <c r="W99" s="139">
        <v>5</v>
      </c>
      <c r="X99" s="14">
        <v>13</v>
      </c>
      <c r="Y99" s="14">
        <v>5</v>
      </c>
      <c r="Z99" s="14">
        <v>11</v>
      </c>
      <c r="AA99" s="135"/>
      <c r="AB99" s="135"/>
      <c r="AC99" s="243">
        <f>SUM(D100:AB100)</f>
        <v>4</v>
      </c>
      <c r="AE99" s="240">
        <v>26</v>
      </c>
      <c r="AF99" s="171" t="str">
        <f>IF(ISBLANK(STUD!B72)," ",STUD!B72)</f>
        <v>STORMILORD</v>
      </c>
      <c r="AG99" s="183">
        <f>IFERROR(VLOOKUP(AF99,$B$73:$C$148,2,0),0)</f>
        <v>0</v>
      </c>
      <c r="AH99" s="183">
        <f t="shared" si="52"/>
        <v>13.700000000000001</v>
      </c>
      <c r="AI99" s="53" t="str">
        <f t="shared" si="40"/>
        <v xml:space="preserve"> </v>
      </c>
      <c r="AJ99" s="53" t="str">
        <f>IF(AI99="","",IFERROR(IF(VLOOKUP(AI99,Programa!$B$3:$C$18,2,0)="","",VLOOKUP(AI99,Programa!$B$3:$C$18,2,0)),""))</f>
        <v/>
      </c>
      <c r="AK99" s="53" t="str">
        <f t="shared" si="41"/>
        <v xml:space="preserve"> </v>
      </c>
      <c r="AL99" s="53" t="str">
        <f>IF(AK99="","",IFERROR(IF(VLOOKUP(AK99,Programa!$B$19:$C$34,2,0)="","",VLOOKUP(AK99,Programa!$B$19:$C$34,2,0)),""))</f>
        <v/>
      </c>
      <c r="AM99" s="53" t="str">
        <f t="shared" si="38"/>
        <v xml:space="preserve"> </v>
      </c>
      <c r="AN99" s="53" t="str">
        <f>IF(AM99="","",IFERROR(IF(VLOOKUP(AM99,Programa!$B$35:$C$50,2,0)="","",VLOOKUP(AM99,Programa!$B$35:$C$50,2,0)),""))</f>
        <v/>
      </c>
    </row>
    <row r="100" spans="1:40" ht="15.75" customHeight="1" x14ac:dyDescent="0.4">
      <c r="A100" s="242"/>
      <c r="B100" s="243"/>
      <c r="C100" s="245"/>
      <c r="D100" s="138">
        <f t="shared" ref="D100:AB100" si="56">IF(IFERROR(IF(VLOOKUP(D99,D$181:D$185,1,0)&gt;=1,D$180,0),D99)=D$162,D$166,IF(IFERROR(IF(VLOOKUP(D99,D$181:D$185,1,0)&gt;=1,D$180,0),D99)=D$169,D$172,IF(IFERROR(IF(VLOOKUP(D99,D$181:D$185,1,0)&gt;=1,D$180,0),D99)=D$175,D$177,0)))</f>
        <v>0</v>
      </c>
      <c r="E100" s="138">
        <f t="shared" si="56"/>
        <v>4</v>
      </c>
      <c r="F100" s="138">
        <f t="shared" si="56"/>
        <v>0</v>
      </c>
      <c r="G100" s="138">
        <f t="shared" si="56"/>
        <v>0</v>
      </c>
      <c r="H100" s="138">
        <f t="shared" si="56"/>
        <v>0</v>
      </c>
      <c r="I100" s="138">
        <f t="shared" si="56"/>
        <v>0</v>
      </c>
      <c r="J100" s="138">
        <f t="shared" si="56"/>
        <v>0</v>
      </c>
      <c r="K100" s="138">
        <f t="shared" si="56"/>
        <v>0</v>
      </c>
      <c r="L100" s="138">
        <f t="shared" si="56"/>
        <v>0</v>
      </c>
      <c r="M100" s="138">
        <f t="shared" si="56"/>
        <v>0</v>
      </c>
      <c r="N100" s="138">
        <f t="shared" si="56"/>
        <v>0</v>
      </c>
      <c r="O100" s="138">
        <f t="shared" si="56"/>
        <v>0</v>
      </c>
      <c r="P100" s="138">
        <f t="shared" si="56"/>
        <v>0</v>
      </c>
      <c r="Q100" s="138">
        <f t="shared" si="56"/>
        <v>0</v>
      </c>
      <c r="R100" s="138">
        <f t="shared" si="56"/>
        <v>0</v>
      </c>
      <c r="S100" s="138">
        <f t="shared" si="56"/>
        <v>0</v>
      </c>
      <c r="T100" s="138">
        <f t="shared" si="56"/>
        <v>0</v>
      </c>
      <c r="U100" s="138">
        <f t="shared" si="56"/>
        <v>0</v>
      </c>
      <c r="V100" s="138">
        <f t="shared" si="56"/>
        <v>0</v>
      </c>
      <c r="W100" s="138">
        <f t="shared" si="56"/>
        <v>0</v>
      </c>
      <c r="X100" s="138">
        <f t="shared" si="56"/>
        <v>0</v>
      </c>
      <c r="Y100" s="219">
        <f t="shared" si="56"/>
        <v>0</v>
      </c>
      <c r="Z100" s="219">
        <f t="shared" si="56"/>
        <v>0</v>
      </c>
      <c r="AA100" s="219">
        <f t="shared" si="56"/>
        <v>0</v>
      </c>
      <c r="AB100" s="219">
        <f t="shared" si="56"/>
        <v>0</v>
      </c>
      <c r="AC100" s="243"/>
      <c r="AE100" s="240">
        <v>27</v>
      </c>
      <c r="AF100" s="171" t="str">
        <f>IF(ISBLANK(STUD!B46)," ",STUD!B46)</f>
        <v>REGALON 6 AÑOS</v>
      </c>
      <c r="AG100" s="183">
        <f>IFERROR(VLOOKUP(AF100,$B$73:$C$148,2,0),0)</f>
        <v>0</v>
      </c>
      <c r="AH100" s="183">
        <f t="shared" si="52"/>
        <v>13.700000000000001</v>
      </c>
      <c r="AI100" s="53">
        <f t="shared" si="40"/>
        <v>10</v>
      </c>
      <c r="AJ100" s="53" t="str">
        <f>IF(AI100="","",IFERROR(IF(VLOOKUP(AI100,Programa!$B$3:$C$18,2,0)="","",VLOOKUP(AI100,Programa!$B$3:$C$18,2,0)),""))</f>
        <v>NAHUEN</v>
      </c>
      <c r="AK100" s="53">
        <f t="shared" si="41"/>
        <v>1</v>
      </c>
      <c r="AL100" s="53" t="str">
        <f>IF(AK100="","",IFERROR(IF(VLOOKUP(AK100,Programa!$B$19:$C$34,2,0)="","",VLOOKUP(AK100,Programa!$B$19:$C$34,2,0)),""))</f>
        <v>LADY IN BLACK</v>
      </c>
      <c r="AM100" s="53">
        <f t="shared" si="38"/>
        <v>2</v>
      </c>
      <c r="AN100" s="53" t="str">
        <f>IF(AM100="","",IFERROR(IF(VLOOKUP(AM100,Programa!$B$35:$C$50,2,0)="","",VLOOKUP(AM100,Programa!$B$35:$C$50,2,0)),""))</f>
        <v>PELE O REY</v>
      </c>
    </row>
    <row r="101" spans="1:40" ht="15.75" customHeight="1" x14ac:dyDescent="0.4">
      <c r="A101" s="242">
        <f t="shared" si="45"/>
        <v>15</v>
      </c>
      <c r="B101" s="243" t="str">
        <f>STUD!B49</f>
        <v>REMY</v>
      </c>
      <c r="C101" s="244">
        <f>SUM(D102:AB102)</f>
        <v>5.1000000000000005</v>
      </c>
      <c r="D101" s="14">
        <v>12</v>
      </c>
      <c r="E101" s="14">
        <v>6</v>
      </c>
      <c r="F101" s="14">
        <v>5</v>
      </c>
      <c r="G101" s="14">
        <v>2</v>
      </c>
      <c r="H101" s="14">
        <v>10</v>
      </c>
      <c r="I101" s="14">
        <v>7</v>
      </c>
      <c r="J101" s="14">
        <v>4</v>
      </c>
      <c r="K101" s="14">
        <v>4</v>
      </c>
      <c r="L101" s="14">
        <v>1</v>
      </c>
      <c r="M101" s="14">
        <v>3</v>
      </c>
      <c r="N101" s="14">
        <v>2</v>
      </c>
      <c r="O101" s="14">
        <v>8</v>
      </c>
      <c r="P101" s="14">
        <v>1</v>
      </c>
      <c r="Q101" s="14">
        <v>6</v>
      </c>
      <c r="R101" s="14">
        <v>12</v>
      </c>
      <c r="S101" s="14">
        <v>1</v>
      </c>
      <c r="T101" s="14">
        <v>7</v>
      </c>
      <c r="U101" s="14">
        <v>13</v>
      </c>
      <c r="V101" s="14">
        <v>14</v>
      </c>
      <c r="W101" s="14">
        <v>8</v>
      </c>
      <c r="X101" s="14">
        <v>6</v>
      </c>
      <c r="Y101" s="135">
        <v>10</v>
      </c>
      <c r="Z101" s="135">
        <v>3</v>
      </c>
      <c r="AA101" s="135"/>
      <c r="AB101" s="135"/>
      <c r="AC101" s="243">
        <f>SUM(D102:AB102)</f>
        <v>5.1000000000000005</v>
      </c>
      <c r="AE101" s="241">
        <v>28</v>
      </c>
      <c r="AF101" s="171" t="str">
        <f>IF(ISBLANK(STUD!B44)," ",STUD!B44)</f>
        <v>PILLASTE DIABLO</v>
      </c>
      <c r="AG101" s="183">
        <f>IFERROR(VLOOKUP(AF101,$B$73:$C$148,2,0),0)</f>
        <v>0</v>
      </c>
      <c r="AH101" s="183">
        <f t="shared" si="52"/>
        <v>13.700000000000001</v>
      </c>
      <c r="AI101" s="53">
        <f t="shared" si="40"/>
        <v>5</v>
      </c>
      <c r="AJ101" s="53" t="str">
        <f>IF(AI101="","",IFERROR(IF(VLOOKUP(AI101,Programa!$B$3:$C$18,2,0)="","",VLOOKUP(AI101,Programa!$B$3:$C$18,2,0)),""))</f>
        <v>VELA AL VIENTO</v>
      </c>
      <c r="AK101" s="53">
        <f t="shared" si="41"/>
        <v>11</v>
      </c>
      <c r="AL101" s="53" t="str">
        <f>IF(AK101="","",IFERROR(IF(VLOOKUP(AK101,Programa!$B$19:$C$34,2,0)="","",VLOOKUP(AK101,Programa!$B$19:$C$34,2,0)),""))</f>
        <v>ESTILO ANTIGUO</v>
      </c>
      <c r="AM101" s="53">
        <f t="shared" si="38"/>
        <v>1</v>
      </c>
      <c r="AN101" s="53" t="str">
        <f>IF(AM101="","",IFERROR(IF(VLOOKUP(AM101,Programa!$B$35:$C$50,2,0)="","",VLOOKUP(AM101,Programa!$B$35:$C$50,2,0)),""))</f>
        <v>HUFGNER</v>
      </c>
    </row>
    <row r="102" spans="1:40" ht="15.75" customHeight="1" x14ac:dyDescent="0.4">
      <c r="A102" s="242"/>
      <c r="B102" s="243"/>
      <c r="C102" s="245"/>
      <c r="D102" s="138">
        <f t="shared" ref="D102:AB102" si="57">IF(IFERROR(IF(VLOOKUP(D101,D$181:D$185,1,0)&gt;=1,D$180,0),D101)=D$162,D$166,IF(IFERROR(IF(VLOOKUP(D101,D$181:D$185,1,0)&gt;=1,D$180,0),D101)=D$169,D$172,IF(IFERROR(IF(VLOOKUP(D101,D$181:D$185,1,0)&gt;=1,D$180,0),D101)=D$175,D$177,0)))</f>
        <v>3.9000000000000004</v>
      </c>
      <c r="E102" s="138">
        <f t="shared" si="57"/>
        <v>1.2</v>
      </c>
      <c r="F102" s="138">
        <f t="shared" si="57"/>
        <v>0</v>
      </c>
      <c r="G102" s="138">
        <f t="shared" si="57"/>
        <v>0</v>
      </c>
      <c r="H102" s="138">
        <f t="shared" si="57"/>
        <v>0</v>
      </c>
      <c r="I102" s="138">
        <f t="shared" si="57"/>
        <v>0</v>
      </c>
      <c r="J102" s="138">
        <f t="shared" si="57"/>
        <v>0</v>
      </c>
      <c r="K102" s="138">
        <f t="shared" si="57"/>
        <v>0</v>
      </c>
      <c r="L102" s="138">
        <f t="shared" si="57"/>
        <v>0</v>
      </c>
      <c r="M102" s="138">
        <f t="shared" si="57"/>
        <v>0</v>
      </c>
      <c r="N102" s="138">
        <f t="shared" si="57"/>
        <v>0</v>
      </c>
      <c r="O102" s="138">
        <f t="shared" si="57"/>
        <v>0</v>
      </c>
      <c r="P102" s="138">
        <f t="shared" si="57"/>
        <v>0</v>
      </c>
      <c r="Q102" s="138">
        <f t="shared" si="57"/>
        <v>0</v>
      </c>
      <c r="R102" s="138">
        <f t="shared" si="57"/>
        <v>0</v>
      </c>
      <c r="S102" s="138">
        <f t="shared" si="57"/>
        <v>0</v>
      </c>
      <c r="T102" s="138">
        <f t="shared" si="57"/>
        <v>0</v>
      </c>
      <c r="U102" s="138">
        <f t="shared" si="57"/>
        <v>0</v>
      </c>
      <c r="V102" s="138">
        <f t="shared" si="57"/>
        <v>0</v>
      </c>
      <c r="W102" s="138">
        <f t="shared" si="57"/>
        <v>0</v>
      </c>
      <c r="X102" s="138">
        <f t="shared" si="57"/>
        <v>0</v>
      </c>
      <c r="Y102" s="219">
        <f t="shared" si="57"/>
        <v>0</v>
      </c>
      <c r="Z102" s="219">
        <f t="shared" si="57"/>
        <v>0</v>
      </c>
      <c r="AA102" s="219">
        <f t="shared" si="57"/>
        <v>0</v>
      </c>
      <c r="AB102" s="219">
        <f t="shared" si="57"/>
        <v>0</v>
      </c>
      <c r="AC102" s="243"/>
      <c r="AE102" s="241">
        <v>29</v>
      </c>
      <c r="AF102" s="171" t="str">
        <f>IF(ISBLANK(STUD!B63)," ",STUD!B63)</f>
        <v>PAP</v>
      </c>
      <c r="AG102" s="183">
        <f>IFERROR(VLOOKUP(AF102,$B$73:$C$148,2,0),0)</f>
        <v>0</v>
      </c>
      <c r="AH102" s="183">
        <f t="shared" ref="AH102:AH113" si="58">$AG$74-AG102</f>
        <v>13.700000000000001</v>
      </c>
      <c r="AI102" s="54"/>
      <c r="AJ102" s="54"/>
      <c r="AK102" s="54"/>
      <c r="AL102" s="54"/>
      <c r="AM102" s="54"/>
      <c r="AN102" s="54"/>
    </row>
    <row r="103" spans="1:40" ht="15.75" customHeight="1" x14ac:dyDescent="0.4">
      <c r="A103" s="242">
        <f t="shared" si="45"/>
        <v>16</v>
      </c>
      <c r="B103" s="243" t="str">
        <f>STUD!B50</f>
        <v>LA AMBULANCIA</v>
      </c>
      <c r="C103" s="244">
        <f>SUM(D104:AB104)</f>
        <v>0</v>
      </c>
      <c r="D103" s="135">
        <v>8</v>
      </c>
      <c r="E103" s="135">
        <v>7</v>
      </c>
      <c r="F103" s="135">
        <v>4</v>
      </c>
      <c r="G103" s="135">
        <v>9</v>
      </c>
      <c r="H103" s="135">
        <v>13</v>
      </c>
      <c r="I103" s="135">
        <v>8</v>
      </c>
      <c r="J103" s="135">
        <v>3</v>
      </c>
      <c r="K103" s="135">
        <v>3</v>
      </c>
      <c r="L103" s="135">
        <v>8</v>
      </c>
      <c r="M103" s="135">
        <v>13</v>
      </c>
      <c r="N103" s="135">
        <v>3</v>
      </c>
      <c r="O103" s="135">
        <v>9</v>
      </c>
      <c r="P103" s="135">
        <v>2</v>
      </c>
      <c r="Q103" s="135">
        <v>4</v>
      </c>
      <c r="R103" s="135">
        <v>2</v>
      </c>
      <c r="S103" s="135">
        <v>8</v>
      </c>
      <c r="T103" s="135">
        <v>2</v>
      </c>
      <c r="U103" s="135">
        <v>6</v>
      </c>
      <c r="V103" s="135">
        <v>12</v>
      </c>
      <c r="W103" s="135">
        <v>13</v>
      </c>
      <c r="X103" s="135">
        <v>14</v>
      </c>
      <c r="Y103" s="135">
        <v>12</v>
      </c>
      <c r="Z103" s="135">
        <v>15</v>
      </c>
      <c r="AA103" s="135"/>
      <c r="AB103" s="135"/>
      <c r="AC103" s="243">
        <f>SUM(D104:AB104)</f>
        <v>0</v>
      </c>
      <c r="AE103" s="241">
        <v>30</v>
      </c>
      <c r="AF103" s="171" t="str">
        <f>IF(ISBLANK(STUD!B53)," ",STUD!B53)</f>
        <v>OVAYORK</v>
      </c>
      <c r="AG103" s="183">
        <f>IFERROR(VLOOKUP(AF103,$B$73:$C$148,2,0),0)</f>
        <v>0</v>
      </c>
      <c r="AH103" s="183">
        <f t="shared" si="58"/>
        <v>13.700000000000001</v>
      </c>
    </row>
    <row r="104" spans="1:40" ht="15.75" customHeight="1" x14ac:dyDescent="0.4">
      <c r="A104" s="242"/>
      <c r="B104" s="243"/>
      <c r="C104" s="245"/>
      <c r="D104" s="138">
        <f t="shared" ref="D104:AB104" si="59">IF(IFERROR(IF(VLOOKUP(D103,D$181:D$185,1,0)&gt;=1,D$180,0),D103)=D$162,D$166,IF(IFERROR(IF(VLOOKUP(D103,D$181:D$185,1,0)&gt;=1,D$180,0),D103)=D$169,D$172,IF(IFERROR(IF(VLOOKUP(D103,D$181:D$185,1,0)&gt;=1,D$180,0),D103)=D$175,D$177,0)))</f>
        <v>0</v>
      </c>
      <c r="E104" s="138">
        <f t="shared" si="59"/>
        <v>0</v>
      </c>
      <c r="F104" s="138">
        <f t="shared" si="59"/>
        <v>0</v>
      </c>
      <c r="G104" s="138">
        <f t="shared" si="59"/>
        <v>0</v>
      </c>
      <c r="H104" s="138">
        <f t="shared" si="59"/>
        <v>0</v>
      </c>
      <c r="I104" s="138">
        <f t="shared" si="59"/>
        <v>0</v>
      </c>
      <c r="J104" s="138">
        <f t="shared" si="59"/>
        <v>0</v>
      </c>
      <c r="K104" s="138">
        <f t="shared" si="59"/>
        <v>0</v>
      </c>
      <c r="L104" s="138">
        <f t="shared" si="59"/>
        <v>0</v>
      </c>
      <c r="M104" s="138">
        <f t="shared" si="59"/>
        <v>0</v>
      </c>
      <c r="N104" s="138">
        <f t="shared" si="59"/>
        <v>0</v>
      </c>
      <c r="O104" s="138">
        <f t="shared" si="59"/>
        <v>0</v>
      </c>
      <c r="P104" s="138">
        <f t="shared" si="59"/>
        <v>0</v>
      </c>
      <c r="Q104" s="138">
        <f t="shared" si="59"/>
        <v>0</v>
      </c>
      <c r="R104" s="138">
        <f t="shared" si="59"/>
        <v>0</v>
      </c>
      <c r="S104" s="138">
        <f t="shared" si="59"/>
        <v>0</v>
      </c>
      <c r="T104" s="138">
        <f t="shared" si="59"/>
        <v>0</v>
      </c>
      <c r="U104" s="138">
        <f t="shared" si="59"/>
        <v>0</v>
      </c>
      <c r="V104" s="138">
        <f t="shared" si="59"/>
        <v>0</v>
      </c>
      <c r="W104" s="138">
        <f t="shared" si="59"/>
        <v>0</v>
      </c>
      <c r="X104" s="138">
        <f t="shared" si="59"/>
        <v>0</v>
      </c>
      <c r="Y104" s="138">
        <f t="shared" si="59"/>
        <v>0</v>
      </c>
      <c r="Z104" s="138">
        <f t="shared" si="59"/>
        <v>0</v>
      </c>
      <c r="AA104" s="138">
        <f t="shared" si="59"/>
        <v>0</v>
      </c>
      <c r="AB104" s="138">
        <f t="shared" si="59"/>
        <v>0</v>
      </c>
      <c r="AC104" s="243"/>
      <c r="AE104" s="241">
        <v>31</v>
      </c>
      <c r="AF104" s="171" t="str">
        <f>IF(ISBLANK(STUD!B67)," ",STUD!B67)</f>
        <v>NANO</v>
      </c>
      <c r="AG104" s="183">
        <f>IFERROR(VLOOKUP(AF104,$B$73:$C$148,2,0),0)</f>
        <v>0</v>
      </c>
      <c r="AH104" s="183">
        <f t="shared" si="58"/>
        <v>13.700000000000001</v>
      </c>
    </row>
    <row r="105" spans="1:40" ht="15.75" customHeight="1" x14ac:dyDescent="0.4">
      <c r="A105" s="242">
        <f t="shared" si="45"/>
        <v>17</v>
      </c>
      <c r="B105" s="243" t="str">
        <f>STUD!B51</f>
        <v>TRES COPAS</v>
      </c>
      <c r="C105" s="244">
        <f>SUM(D106:AB106)</f>
        <v>1.1000000000000001</v>
      </c>
      <c r="D105" s="139">
        <v>3</v>
      </c>
      <c r="E105" s="139">
        <v>3</v>
      </c>
      <c r="F105" s="139">
        <v>11</v>
      </c>
      <c r="G105" s="139">
        <v>7</v>
      </c>
      <c r="H105" s="139">
        <v>5</v>
      </c>
      <c r="I105" s="139">
        <v>11</v>
      </c>
      <c r="J105" s="139">
        <v>4</v>
      </c>
      <c r="K105" s="139">
        <v>9</v>
      </c>
      <c r="L105" s="139">
        <v>9</v>
      </c>
      <c r="M105" s="139">
        <v>8</v>
      </c>
      <c r="N105" s="139">
        <v>3</v>
      </c>
      <c r="O105" s="139">
        <v>8</v>
      </c>
      <c r="P105" s="139">
        <v>11</v>
      </c>
      <c r="Q105" s="139">
        <v>6</v>
      </c>
      <c r="R105" s="139">
        <v>5</v>
      </c>
      <c r="S105" s="139">
        <v>9</v>
      </c>
      <c r="T105" s="139">
        <v>11</v>
      </c>
      <c r="U105" s="139">
        <v>4</v>
      </c>
      <c r="V105" s="139">
        <v>1</v>
      </c>
      <c r="W105" s="139">
        <v>8</v>
      </c>
      <c r="X105" s="14">
        <v>9</v>
      </c>
      <c r="Y105" s="14">
        <v>8</v>
      </c>
      <c r="Z105" s="14">
        <v>3</v>
      </c>
      <c r="AA105" s="135"/>
      <c r="AB105" s="135"/>
      <c r="AC105" s="243">
        <f>SUM(D106:AB106)</f>
        <v>1.1000000000000001</v>
      </c>
      <c r="AE105" s="241">
        <v>32</v>
      </c>
      <c r="AF105" s="171" t="str">
        <f>IF(ISBLANK(STUD!B43)," ",STUD!B43)</f>
        <v>MANZANA</v>
      </c>
      <c r="AG105" s="183">
        <f>IFERROR(VLOOKUP(AF105,$B$73:$C$148,2,0),0)</f>
        <v>0</v>
      </c>
      <c r="AH105" s="183">
        <f t="shared" si="58"/>
        <v>13.700000000000001</v>
      </c>
    </row>
    <row r="106" spans="1:40" ht="15.75" customHeight="1" x14ac:dyDescent="0.4">
      <c r="A106" s="242"/>
      <c r="B106" s="243"/>
      <c r="C106" s="245"/>
      <c r="D106" s="138">
        <f t="shared" ref="D106:AB106" si="60">IF(IFERROR(IF(VLOOKUP(D105,D$181:D$185,1,0)&gt;=1,D$180,0),D105)=D$162,D$166,IF(IFERROR(IF(VLOOKUP(D105,D$181:D$185,1,0)&gt;=1,D$180,0),D105)=D$169,D$172,IF(IFERROR(IF(VLOOKUP(D105,D$181:D$185,1,0)&gt;=1,D$180,0),D105)=D$175,D$177,0)))</f>
        <v>1.1000000000000001</v>
      </c>
      <c r="E106" s="138">
        <f t="shared" si="60"/>
        <v>0</v>
      </c>
      <c r="F106" s="138">
        <f t="shared" si="60"/>
        <v>0</v>
      </c>
      <c r="G106" s="138">
        <f t="shared" si="60"/>
        <v>0</v>
      </c>
      <c r="H106" s="138">
        <f t="shared" si="60"/>
        <v>0</v>
      </c>
      <c r="I106" s="138">
        <f t="shared" si="60"/>
        <v>0</v>
      </c>
      <c r="J106" s="138">
        <f t="shared" si="60"/>
        <v>0</v>
      </c>
      <c r="K106" s="138">
        <f t="shared" si="60"/>
        <v>0</v>
      </c>
      <c r="L106" s="138">
        <f t="shared" si="60"/>
        <v>0</v>
      </c>
      <c r="M106" s="138">
        <f t="shared" si="60"/>
        <v>0</v>
      </c>
      <c r="N106" s="138">
        <f t="shared" si="60"/>
        <v>0</v>
      </c>
      <c r="O106" s="138">
        <f t="shared" si="60"/>
        <v>0</v>
      </c>
      <c r="P106" s="138">
        <f t="shared" si="60"/>
        <v>0</v>
      </c>
      <c r="Q106" s="138">
        <f t="shared" si="60"/>
        <v>0</v>
      </c>
      <c r="R106" s="138">
        <f t="shared" si="60"/>
        <v>0</v>
      </c>
      <c r="S106" s="138">
        <f t="shared" si="60"/>
        <v>0</v>
      </c>
      <c r="T106" s="138">
        <f t="shared" si="60"/>
        <v>0</v>
      </c>
      <c r="U106" s="138">
        <f t="shared" si="60"/>
        <v>0</v>
      </c>
      <c r="V106" s="138">
        <f t="shared" si="60"/>
        <v>0</v>
      </c>
      <c r="W106" s="138">
        <f t="shared" si="60"/>
        <v>0</v>
      </c>
      <c r="X106" s="138">
        <f t="shared" si="60"/>
        <v>0</v>
      </c>
      <c r="Y106" s="138">
        <f t="shared" si="60"/>
        <v>0</v>
      </c>
      <c r="Z106" s="138">
        <f t="shared" si="60"/>
        <v>0</v>
      </c>
      <c r="AA106" s="138">
        <f t="shared" si="60"/>
        <v>0</v>
      </c>
      <c r="AB106" s="219">
        <f t="shared" si="60"/>
        <v>0</v>
      </c>
      <c r="AC106" s="243"/>
      <c r="AE106" s="241">
        <v>33</v>
      </c>
      <c r="AF106" s="171" t="str">
        <f>IF(ISBLANK(STUD!B47)," ",STUD!B47)</f>
        <v>LMF</v>
      </c>
      <c r="AG106" s="183">
        <f>IFERROR(VLOOKUP(AF106,$B$73:$C$148,2,0),0)</f>
        <v>0</v>
      </c>
      <c r="AH106" s="183">
        <f t="shared" si="58"/>
        <v>13.700000000000001</v>
      </c>
    </row>
    <row r="107" spans="1:40" ht="15.75" customHeight="1" x14ac:dyDescent="0.4">
      <c r="A107" s="242">
        <f t="shared" si="45"/>
        <v>18</v>
      </c>
      <c r="B107" s="243" t="str">
        <f>STUD!B52</f>
        <v>CUATRO COPAS</v>
      </c>
      <c r="C107" s="244">
        <f>SUM(D108:AB108)</f>
        <v>0</v>
      </c>
      <c r="D107" s="14">
        <v>15</v>
      </c>
      <c r="E107" s="14">
        <v>7</v>
      </c>
      <c r="F107" s="14">
        <v>3</v>
      </c>
      <c r="G107" s="14">
        <v>7</v>
      </c>
      <c r="H107" s="14">
        <v>5</v>
      </c>
      <c r="I107" s="14">
        <v>5</v>
      </c>
      <c r="J107" s="14">
        <v>7</v>
      </c>
      <c r="K107" s="14">
        <v>15</v>
      </c>
      <c r="L107" s="14">
        <v>7</v>
      </c>
      <c r="M107" s="14">
        <v>7</v>
      </c>
      <c r="N107" s="14">
        <v>2</v>
      </c>
      <c r="O107" s="14">
        <v>4</v>
      </c>
      <c r="P107" s="14">
        <v>3</v>
      </c>
      <c r="Q107" s="14">
        <v>6</v>
      </c>
      <c r="R107" s="14">
        <v>12</v>
      </c>
      <c r="S107" s="14">
        <v>2</v>
      </c>
      <c r="T107" s="14">
        <v>13</v>
      </c>
      <c r="U107" s="14">
        <v>10</v>
      </c>
      <c r="V107" s="14">
        <v>2</v>
      </c>
      <c r="W107" s="14">
        <v>6</v>
      </c>
      <c r="X107" s="14">
        <v>14</v>
      </c>
      <c r="Y107" s="135">
        <v>5</v>
      </c>
      <c r="Z107" s="135">
        <v>11</v>
      </c>
      <c r="AA107" s="135"/>
      <c r="AB107" s="135"/>
      <c r="AC107" s="243">
        <f>SUM(D108:AB108)</f>
        <v>0</v>
      </c>
      <c r="AE107" s="241">
        <v>34</v>
      </c>
      <c r="AF107" s="171" t="str">
        <f>IF(ISBLANK(STUD!B50)," ",STUD!B50)</f>
        <v>LA AMBULANCIA</v>
      </c>
      <c r="AG107" s="183">
        <f>IFERROR(VLOOKUP(AF107,$B$73:$C$148,2,0),0)</f>
        <v>0</v>
      </c>
      <c r="AH107" s="183">
        <f t="shared" si="58"/>
        <v>13.700000000000001</v>
      </c>
    </row>
    <row r="108" spans="1:40" ht="15.75" customHeight="1" x14ac:dyDescent="0.4">
      <c r="A108" s="242"/>
      <c r="B108" s="243"/>
      <c r="C108" s="245"/>
      <c r="D108" s="138">
        <f t="shared" ref="D108:AB108" si="61">IF(IFERROR(IF(VLOOKUP(D107,D$181:D$185,1,0)&gt;=1,D$180,0),D107)=D$162,D$166,IF(IFERROR(IF(VLOOKUP(D107,D$181:D$185,1,0)&gt;=1,D$180,0),D107)=D$169,D$172,IF(IFERROR(IF(VLOOKUP(D107,D$181:D$185,1,0)&gt;=1,D$180,0),D107)=D$175,D$177,0)))</f>
        <v>0</v>
      </c>
      <c r="E108" s="138">
        <f t="shared" si="61"/>
        <v>0</v>
      </c>
      <c r="F108" s="138">
        <f t="shared" si="61"/>
        <v>0</v>
      </c>
      <c r="G108" s="138">
        <f t="shared" si="61"/>
        <v>0</v>
      </c>
      <c r="H108" s="138">
        <f t="shared" si="61"/>
        <v>0</v>
      </c>
      <c r="I108" s="138">
        <f t="shared" si="61"/>
        <v>0</v>
      </c>
      <c r="J108" s="138">
        <f t="shared" si="61"/>
        <v>0</v>
      </c>
      <c r="K108" s="138">
        <f t="shared" si="61"/>
        <v>0</v>
      </c>
      <c r="L108" s="138">
        <f t="shared" si="61"/>
        <v>0</v>
      </c>
      <c r="M108" s="138">
        <f t="shared" si="61"/>
        <v>0</v>
      </c>
      <c r="N108" s="138">
        <f t="shared" si="61"/>
        <v>0</v>
      </c>
      <c r="O108" s="138">
        <f t="shared" si="61"/>
        <v>0</v>
      </c>
      <c r="P108" s="138">
        <f t="shared" si="61"/>
        <v>0</v>
      </c>
      <c r="Q108" s="138">
        <f t="shared" si="61"/>
        <v>0</v>
      </c>
      <c r="R108" s="138">
        <f t="shared" si="61"/>
        <v>0</v>
      </c>
      <c r="S108" s="138">
        <f t="shared" si="61"/>
        <v>0</v>
      </c>
      <c r="T108" s="138">
        <f t="shared" si="61"/>
        <v>0</v>
      </c>
      <c r="U108" s="138">
        <f t="shared" si="61"/>
        <v>0</v>
      </c>
      <c r="V108" s="138">
        <f t="shared" si="61"/>
        <v>0</v>
      </c>
      <c r="W108" s="138">
        <f t="shared" si="61"/>
        <v>0</v>
      </c>
      <c r="X108" s="138">
        <f t="shared" si="61"/>
        <v>0</v>
      </c>
      <c r="Y108" s="138">
        <f t="shared" si="61"/>
        <v>0</v>
      </c>
      <c r="Z108" s="138">
        <f t="shared" si="61"/>
        <v>0</v>
      </c>
      <c r="AA108" s="138">
        <f t="shared" si="61"/>
        <v>0</v>
      </c>
      <c r="AB108" s="219">
        <f t="shared" si="61"/>
        <v>0</v>
      </c>
      <c r="AC108" s="243"/>
      <c r="AE108" s="241">
        <v>35</v>
      </c>
      <c r="AF108" s="171" t="str">
        <f>IF(ISBLANK(STUD!B41)," ",STUD!B41)</f>
        <v>KING MAGUENCHO</v>
      </c>
      <c r="AG108" s="183">
        <f>IFERROR(VLOOKUP(AF108,$B$73:$C$148,2,0),0)</f>
        <v>0</v>
      </c>
      <c r="AH108" s="183">
        <f t="shared" si="58"/>
        <v>13.700000000000001</v>
      </c>
    </row>
    <row r="109" spans="1:40" ht="15.75" customHeight="1" x14ac:dyDescent="0.4">
      <c r="A109" s="242">
        <f t="shared" si="45"/>
        <v>19</v>
      </c>
      <c r="B109" s="243" t="str">
        <f>STUD!B53</f>
        <v>OVAYORK</v>
      </c>
      <c r="C109" s="244">
        <f>SUM(D110:AB110)</f>
        <v>0</v>
      </c>
      <c r="D109" s="135">
        <v>1</v>
      </c>
      <c r="E109" s="135">
        <v>4</v>
      </c>
      <c r="F109" s="135">
        <v>3</v>
      </c>
      <c r="G109" s="135">
        <v>4</v>
      </c>
      <c r="H109" s="135">
        <v>13</v>
      </c>
      <c r="I109" s="135">
        <v>1</v>
      </c>
      <c r="J109" s="135">
        <v>7</v>
      </c>
      <c r="K109" s="135">
        <v>10</v>
      </c>
      <c r="L109" s="135">
        <v>9</v>
      </c>
      <c r="M109" s="135">
        <v>1</v>
      </c>
      <c r="N109" s="135">
        <v>3</v>
      </c>
      <c r="O109" s="135">
        <v>4</v>
      </c>
      <c r="P109" s="135">
        <v>2</v>
      </c>
      <c r="Q109" s="135">
        <v>4</v>
      </c>
      <c r="R109" s="135">
        <v>9</v>
      </c>
      <c r="S109" s="135">
        <v>2</v>
      </c>
      <c r="T109" s="135">
        <v>5</v>
      </c>
      <c r="U109" s="135">
        <v>4</v>
      </c>
      <c r="V109" s="135">
        <v>3</v>
      </c>
      <c r="W109" s="135">
        <v>1</v>
      </c>
      <c r="X109" s="135">
        <v>4</v>
      </c>
      <c r="Y109" s="135">
        <v>2</v>
      </c>
      <c r="Z109" s="135">
        <v>1</v>
      </c>
      <c r="AA109" s="135"/>
      <c r="AB109" s="135"/>
      <c r="AC109" s="243">
        <f>SUM(D110:AB110)</f>
        <v>0</v>
      </c>
      <c r="AE109" s="241">
        <v>36</v>
      </c>
      <c r="AF109" s="171" t="str">
        <f>IF(ISBLANK(STUD!B40)," ",STUD!B40)</f>
        <v>KING JORANTO</v>
      </c>
      <c r="AG109" s="183">
        <f>IFERROR(VLOOKUP(AF109,$B$73:$C$148,2,0),0)</f>
        <v>0</v>
      </c>
      <c r="AH109" s="183">
        <f t="shared" si="58"/>
        <v>13.700000000000001</v>
      </c>
    </row>
    <row r="110" spans="1:40" ht="15.75" customHeight="1" x14ac:dyDescent="0.4">
      <c r="A110" s="242"/>
      <c r="B110" s="243"/>
      <c r="C110" s="245"/>
      <c r="D110" s="138">
        <f t="shared" ref="D110:AB110" si="62">IF(IFERROR(IF(VLOOKUP(D109,D$181:D$185,1,0)&gt;=1,D$180,0),D109)=D$162,D$166,IF(IFERROR(IF(VLOOKUP(D109,D$181:D$185,1,0)&gt;=1,D$180,0),D109)=D$169,D$172,IF(IFERROR(IF(VLOOKUP(D109,D$181:D$185,1,0)&gt;=1,D$180,0),D109)=D$175,D$177,0)))</f>
        <v>0</v>
      </c>
      <c r="E110" s="138">
        <f t="shared" si="62"/>
        <v>0</v>
      </c>
      <c r="F110" s="138">
        <f t="shared" si="62"/>
        <v>0</v>
      </c>
      <c r="G110" s="138">
        <f t="shared" si="62"/>
        <v>0</v>
      </c>
      <c r="H110" s="138">
        <f t="shared" si="62"/>
        <v>0</v>
      </c>
      <c r="I110" s="138">
        <f t="shared" si="62"/>
        <v>0</v>
      </c>
      <c r="J110" s="138">
        <f t="shared" si="62"/>
        <v>0</v>
      </c>
      <c r="K110" s="138">
        <f t="shared" si="62"/>
        <v>0</v>
      </c>
      <c r="L110" s="138">
        <f t="shared" si="62"/>
        <v>0</v>
      </c>
      <c r="M110" s="138">
        <f t="shared" si="62"/>
        <v>0</v>
      </c>
      <c r="N110" s="138">
        <f t="shared" si="62"/>
        <v>0</v>
      </c>
      <c r="O110" s="138">
        <f t="shared" si="62"/>
        <v>0</v>
      </c>
      <c r="P110" s="138">
        <f t="shared" si="62"/>
        <v>0</v>
      </c>
      <c r="Q110" s="138">
        <f t="shared" si="62"/>
        <v>0</v>
      </c>
      <c r="R110" s="138">
        <f t="shared" si="62"/>
        <v>0</v>
      </c>
      <c r="S110" s="138">
        <f t="shared" si="62"/>
        <v>0</v>
      </c>
      <c r="T110" s="138">
        <f t="shared" si="62"/>
        <v>0</v>
      </c>
      <c r="U110" s="138">
        <f t="shared" si="62"/>
        <v>0</v>
      </c>
      <c r="V110" s="138">
        <f t="shared" si="62"/>
        <v>0</v>
      </c>
      <c r="W110" s="138">
        <f t="shared" si="62"/>
        <v>0</v>
      </c>
      <c r="X110" s="138">
        <f t="shared" si="62"/>
        <v>0</v>
      </c>
      <c r="Y110" s="138">
        <f t="shared" si="62"/>
        <v>0</v>
      </c>
      <c r="Z110" s="138">
        <f t="shared" si="62"/>
        <v>0</v>
      </c>
      <c r="AA110" s="138">
        <f t="shared" si="62"/>
        <v>0</v>
      </c>
      <c r="AB110" s="219">
        <f t="shared" si="62"/>
        <v>0</v>
      </c>
      <c r="AC110" s="243"/>
      <c r="AE110" s="241">
        <v>37</v>
      </c>
      <c r="AF110" s="171" t="str">
        <f>IF(ISBLANK(STUD!B52)," ",STUD!B52)</f>
        <v>CUATRO COPAS</v>
      </c>
      <c r="AG110" s="183">
        <f>IFERROR(VLOOKUP(AF110,$B$73:$C$148,2,0),0)</f>
        <v>0</v>
      </c>
      <c r="AH110" s="183">
        <f t="shared" si="58"/>
        <v>13.700000000000001</v>
      </c>
    </row>
    <row r="111" spans="1:40" ht="15.75" customHeight="1" x14ac:dyDescent="0.4">
      <c r="A111" s="242">
        <f t="shared" si="45"/>
        <v>20</v>
      </c>
      <c r="B111" s="243" t="str">
        <f>STUD!B54</f>
        <v>SALVAYORK</v>
      </c>
      <c r="C111" s="244">
        <f>SUM(D112:AB112)</f>
        <v>13.700000000000001</v>
      </c>
      <c r="D111" s="135">
        <v>9</v>
      </c>
      <c r="E111" s="135">
        <v>12</v>
      </c>
      <c r="F111" s="135">
        <v>3</v>
      </c>
      <c r="G111" s="135">
        <v>8</v>
      </c>
      <c r="H111" s="135">
        <v>12</v>
      </c>
      <c r="I111" s="135">
        <v>8</v>
      </c>
      <c r="J111" s="135">
        <v>7</v>
      </c>
      <c r="K111" s="135">
        <v>14</v>
      </c>
      <c r="L111" s="135">
        <v>9</v>
      </c>
      <c r="M111" s="135">
        <v>13</v>
      </c>
      <c r="N111" s="135">
        <v>3</v>
      </c>
      <c r="O111" s="135">
        <v>11</v>
      </c>
      <c r="P111" s="135">
        <v>7</v>
      </c>
      <c r="Q111" s="135">
        <v>7</v>
      </c>
      <c r="R111" s="135">
        <v>10</v>
      </c>
      <c r="S111" s="135">
        <v>3</v>
      </c>
      <c r="T111" s="135">
        <v>5</v>
      </c>
      <c r="U111" s="135">
        <v>11</v>
      </c>
      <c r="V111" s="135">
        <v>7</v>
      </c>
      <c r="W111" s="135">
        <v>3</v>
      </c>
      <c r="X111" s="135">
        <v>14</v>
      </c>
      <c r="Y111" s="135">
        <v>14</v>
      </c>
      <c r="Z111" s="135">
        <v>5</v>
      </c>
      <c r="AA111" s="135"/>
      <c r="AB111" s="135"/>
      <c r="AC111" s="243">
        <f>SUM(D112:AB112)</f>
        <v>13.700000000000001</v>
      </c>
      <c r="AE111" s="241">
        <v>38</v>
      </c>
      <c r="AF111" s="171" t="str">
        <f>IF(ISBLANK(STUD!B58)," ",STUD!B58)</f>
        <v>ARRE DEMONIO</v>
      </c>
      <c r="AG111" s="183">
        <f>IFERROR(VLOOKUP(AF111,$B$73:$C$148,2,0),0)</f>
        <v>0</v>
      </c>
      <c r="AH111" s="183">
        <f t="shared" si="58"/>
        <v>13.700000000000001</v>
      </c>
    </row>
    <row r="112" spans="1:40" ht="15.75" customHeight="1" x14ac:dyDescent="0.4">
      <c r="A112" s="242"/>
      <c r="B112" s="243"/>
      <c r="C112" s="245"/>
      <c r="D112" s="138">
        <f t="shared" ref="D112:AB112" si="63">IF(IFERROR(IF(VLOOKUP(D111,D$181:D$185,1,0)&gt;=1,D$180,0),D111)=D$162,D$166,IF(IFERROR(IF(VLOOKUP(D111,D$181:D$185,1,0)&gt;=1,D$180,0),D111)=D$169,D$172,IF(IFERROR(IF(VLOOKUP(D111,D$181:D$185,1,0)&gt;=1,D$180,0),D111)=D$175,D$177,0)))</f>
        <v>9.7000000000000011</v>
      </c>
      <c r="E112" s="138">
        <f t="shared" si="63"/>
        <v>4</v>
      </c>
      <c r="F112" s="138">
        <f t="shared" si="63"/>
        <v>0</v>
      </c>
      <c r="G112" s="138">
        <f t="shared" si="63"/>
        <v>0</v>
      </c>
      <c r="H112" s="138">
        <f t="shared" si="63"/>
        <v>0</v>
      </c>
      <c r="I112" s="138">
        <f t="shared" si="63"/>
        <v>0</v>
      </c>
      <c r="J112" s="138">
        <f t="shared" si="63"/>
        <v>0</v>
      </c>
      <c r="K112" s="138">
        <f t="shared" si="63"/>
        <v>0</v>
      </c>
      <c r="L112" s="138">
        <f t="shared" si="63"/>
        <v>0</v>
      </c>
      <c r="M112" s="138">
        <f t="shared" si="63"/>
        <v>0</v>
      </c>
      <c r="N112" s="138">
        <f t="shared" si="63"/>
        <v>0</v>
      </c>
      <c r="O112" s="138">
        <f t="shared" si="63"/>
        <v>0</v>
      </c>
      <c r="P112" s="138">
        <f t="shared" si="63"/>
        <v>0</v>
      </c>
      <c r="Q112" s="138">
        <f t="shared" si="63"/>
        <v>0</v>
      </c>
      <c r="R112" s="138">
        <f t="shared" si="63"/>
        <v>0</v>
      </c>
      <c r="S112" s="138">
        <f t="shared" si="63"/>
        <v>0</v>
      </c>
      <c r="T112" s="138">
        <f t="shared" si="63"/>
        <v>0</v>
      </c>
      <c r="U112" s="138">
        <f t="shared" si="63"/>
        <v>0</v>
      </c>
      <c r="V112" s="138">
        <f t="shared" si="63"/>
        <v>0</v>
      </c>
      <c r="W112" s="138">
        <f t="shared" si="63"/>
        <v>0</v>
      </c>
      <c r="X112" s="138">
        <f t="shared" si="63"/>
        <v>0</v>
      </c>
      <c r="Y112" s="138">
        <f t="shared" si="63"/>
        <v>0</v>
      </c>
      <c r="Z112" s="138">
        <f t="shared" si="63"/>
        <v>0</v>
      </c>
      <c r="AA112" s="138">
        <f t="shared" si="63"/>
        <v>0</v>
      </c>
      <c r="AB112" s="219">
        <f t="shared" si="63"/>
        <v>0</v>
      </c>
      <c r="AC112" s="243"/>
      <c r="AE112" s="241">
        <v>39</v>
      </c>
      <c r="AF112" s="171" t="str">
        <f>IF(ISBLANK(STUD!B84)," ",STUD!B84)</f>
        <v xml:space="preserve"> </v>
      </c>
      <c r="AG112" s="183">
        <f>IFERROR(VLOOKUP(AF112,$B$73:$C$148,2,0),0)</f>
        <v>0</v>
      </c>
      <c r="AH112" s="183">
        <f t="shared" si="58"/>
        <v>13.700000000000001</v>
      </c>
    </row>
    <row r="113" spans="1:34" ht="15.75" customHeight="1" x14ac:dyDescent="0.4">
      <c r="A113" s="242">
        <f t="shared" si="45"/>
        <v>21</v>
      </c>
      <c r="B113" s="243" t="str">
        <f>STUD!B55</f>
        <v>SEA COURT 1</v>
      </c>
      <c r="C113" s="244">
        <f>SUM(D114:AB114)</f>
        <v>1.1000000000000001</v>
      </c>
      <c r="D113" s="135">
        <v>3</v>
      </c>
      <c r="E113" s="135">
        <v>3</v>
      </c>
      <c r="F113" s="135">
        <v>5</v>
      </c>
      <c r="G113" s="135">
        <v>2</v>
      </c>
      <c r="H113" s="135">
        <v>14</v>
      </c>
      <c r="I113" s="135">
        <v>9</v>
      </c>
      <c r="J113" s="135">
        <v>5</v>
      </c>
      <c r="K113" s="135">
        <v>5</v>
      </c>
      <c r="L113" s="135">
        <v>1</v>
      </c>
      <c r="M113" s="135">
        <v>14</v>
      </c>
      <c r="N113" s="135">
        <v>4</v>
      </c>
      <c r="O113" s="135">
        <v>4</v>
      </c>
      <c r="P113" s="135">
        <v>1</v>
      </c>
      <c r="Q113" s="135">
        <v>3</v>
      </c>
      <c r="R113" s="135">
        <v>2</v>
      </c>
      <c r="S113" s="135">
        <v>9</v>
      </c>
      <c r="T113" s="135">
        <v>7</v>
      </c>
      <c r="U113" s="135">
        <v>10</v>
      </c>
      <c r="V113" s="135">
        <v>1</v>
      </c>
      <c r="W113" s="135">
        <v>8</v>
      </c>
      <c r="X113" s="135">
        <v>14</v>
      </c>
      <c r="Y113" s="135">
        <v>4</v>
      </c>
      <c r="Z113" s="135">
        <v>4</v>
      </c>
      <c r="AA113" s="135"/>
      <c r="AB113" s="135"/>
      <c r="AC113" s="243">
        <f>SUM(D114:AB114)</f>
        <v>1.1000000000000001</v>
      </c>
      <c r="AE113" s="241">
        <v>40</v>
      </c>
      <c r="AF113" s="171" t="str">
        <f>IF(ISBLANK(STUD!B86)," ",STUD!B86)</f>
        <v xml:space="preserve"> </v>
      </c>
      <c r="AG113" s="183">
        <f>IFERROR(VLOOKUP(AF113,$B$73:$C$148,2,0),0)</f>
        <v>0</v>
      </c>
      <c r="AH113" s="183">
        <f t="shared" si="58"/>
        <v>13.700000000000001</v>
      </c>
    </row>
    <row r="114" spans="1:34" ht="15.75" customHeight="1" x14ac:dyDescent="0.4">
      <c r="A114" s="242"/>
      <c r="B114" s="243"/>
      <c r="C114" s="245"/>
      <c r="D114" s="138">
        <f t="shared" ref="D114:AB114" si="64">IF(IFERROR(IF(VLOOKUP(D113,D$181:D$185,1,0)&gt;=1,D$180,0),D113)=D$162,D$166,IF(IFERROR(IF(VLOOKUP(D113,D$181:D$185,1,0)&gt;=1,D$180,0),D113)=D$169,D$172,IF(IFERROR(IF(VLOOKUP(D113,D$181:D$185,1,0)&gt;=1,D$180,0),D113)=D$175,D$177,0)))</f>
        <v>1.1000000000000001</v>
      </c>
      <c r="E114" s="138">
        <f t="shared" si="64"/>
        <v>0</v>
      </c>
      <c r="F114" s="138">
        <f t="shared" si="64"/>
        <v>0</v>
      </c>
      <c r="G114" s="138">
        <f t="shared" si="64"/>
        <v>0</v>
      </c>
      <c r="H114" s="138">
        <f t="shared" si="64"/>
        <v>0</v>
      </c>
      <c r="I114" s="138">
        <f t="shared" si="64"/>
        <v>0</v>
      </c>
      <c r="J114" s="138">
        <f t="shared" si="64"/>
        <v>0</v>
      </c>
      <c r="K114" s="138">
        <f t="shared" si="64"/>
        <v>0</v>
      </c>
      <c r="L114" s="138">
        <f t="shared" si="64"/>
        <v>0</v>
      </c>
      <c r="M114" s="138">
        <f t="shared" si="64"/>
        <v>0</v>
      </c>
      <c r="N114" s="138">
        <f t="shared" si="64"/>
        <v>0</v>
      </c>
      <c r="O114" s="138">
        <f t="shared" si="64"/>
        <v>0</v>
      </c>
      <c r="P114" s="138">
        <f t="shared" si="64"/>
        <v>0</v>
      </c>
      <c r="Q114" s="138">
        <f t="shared" si="64"/>
        <v>0</v>
      </c>
      <c r="R114" s="138">
        <f t="shared" si="64"/>
        <v>0</v>
      </c>
      <c r="S114" s="138">
        <f t="shared" si="64"/>
        <v>0</v>
      </c>
      <c r="T114" s="138">
        <f t="shared" si="64"/>
        <v>0</v>
      </c>
      <c r="U114" s="138">
        <f t="shared" si="64"/>
        <v>0</v>
      </c>
      <c r="V114" s="138">
        <f t="shared" si="64"/>
        <v>0</v>
      </c>
      <c r="W114" s="138">
        <f t="shared" si="64"/>
        <v>0</v>
      </c>
      <c r="X114" s="138">
        <f t="shared" si="64"/>
        <v>0</v>
      </c>
      <c r="Y114" s="138">
        <f t="shared" si="64"/>
        <v>0</v>
      </c>
      <c r="Z114" s="138">
        <f t="shared" si="64"/>
        <v>0</v>
      </c>
      <c r="AA114" s="138">
        <f t="shared" si="64"/>
        <v>0</v>
      </c>
      <c r="AB114" s="138">
        <f t="shared" si="64"/>
        <v>0</v>
      </c>
      <c r="AC114" s="243"/>
    </row>
    <row r="115" spans="1:34" ht="15.75" customHeight="1" x14ac:dyDescent="0.4">
      <c r="A115" s="242">
        <f t="shared" si="45"/>
        <v>22</v>
      </c>
      <c r="B115" s="243" t="str">
        <f>STUD!B56</f>
        <v>SEACOURT 2</v>
      </c>
      <c r="C115" s="244">
        <f>SUM(D116:AB116)</f>
        <v>10.9</v>
      </c>
      <c r="D115" s="135">
        <v>9</v>
      </c>
      <c r="E115" s="135">
        <v>6</v>
      </c>
      <c r="F115" s="135">
        <v>5</v>
      </c>
      <c r="G115" s="135">
        <v>11</v>
      </c>
      <c r="H115" s="135">
        <v>12</v>
      </c>
      <c r="I115" s="135">
        <v>8</v>
      </c>
      <c r="J115" s="135">
        <v>7</v>
      </c>
      <c r="K115" s="135">
        <v>5</v>
      </c>
      <c r="L115" s="135">
        <v>1</v>
      </c>
      <c r="M115" s="135">
        <v>2</v>
      </c>
      <c r="N115" s="135">
        <v>4</v>
      </c>
      <c r="O115" s="135">
        <v>7</v>
      </c>
      <c r="P115" s="135">
        <v>3</v>
      </c>
      <c r="Q115" s="135">
        <v>1</v>
      </c>
      <c r="R115" s="135">
        <v>11</v>
      </c>
      <c r="S115" s="135">
        <v>11</v>
      </c>
      <c r="T115" s="135">
        <v>7</v>
      </c>
      <c r="U115" s="135">
        <v>10</v>
      </c>
      <c r="V115" s="135">
        <v>3</v>
      </c>
      <c r="W115" s="135">
        <v>8</v>
      </c>
      <c r="X115" s="135">
        <v>14</v>
      </c>
      <c r="Y115" s="135">
        <v>2</v>
      </c>
      <c r="Z115" s="135">
        <v>4</v>
      </c>
      <c r="AA115" s="135"/>
      <c r="AB115" s="135"/>
      <c r="AC115" s="243">
        <f>SUM(D116:AB116)</f>
        <v>10.9</v>
      </c>
    </row>
    <row r="116" spans="1:34" ht="15.75" customHeight="1" x14ac:dyDescent="0.4">
      <c r="A116" s="242"/>
      <c r="B116" s="243"/>
      <c r="C116" s="245"/>
      <c r="D116" s="138">
        <f t="shared" ref="D116:AB116" si="65">IF(IFERROR(IF(VLOOKUP(D115,D$181:D$185,1,0)&gt;=1,D$180,0),D115)=D$162,D$166,IF(IFERROR(IF(VLOOKUP(D115,D$181:D$185,1,0)&gt;=1,D$180,0),D115)=D$169,D$172,IF(IFERROR(IF(VLOOKUP(D115,D$181:D$185,1,0)&gt;=1,D$180,0),D115)=D$175,D$177,0)))</f>
        <v>9.7000000000000011</v>
      </c>
      <c r="E116" s="138">
        <f t="shared" si="65"/>
        <v>1.2</v>
      </c>
      <c r="F116" s="138">
        <f t="shared" si="65"/>
        <v>0</v>
      </c>
      <c r="G116" s="138">
        <f t="shared" si="65"/>
        <v>0</v>
      </c>
      <c r="H116" s="138">
        <f t="shared" si="65"/>
        <v>0</v>
      </c>
      <c r="I116" s="138">
        <f t="shared" si="65"/>
        <v>0</v>
      </c>
      <c r="J116" s="138">
        <f t="shared" si="65"/>
        <v>0</v>
      </c>
      <c r="K116" s="138">
        <f t="shared" si="65"/>
        <v>0</v>
      </c>
      <c r="L116" s="138">
        <f t="shared" si="65"/>
        <v>0</v>
      </c>
      <c r="M116" s="138">
        <f t="shared" si="65"/>
        <v>0</v>
      </c>
      <c r="N116" s="138">
        <f t="shared" si="65"/>
        <v>0</v>
      </c>
      <c r="O116" s="138">
        <f t="shared" si="65"/>
        <v>0</v>
      </c>
      <c r="P116" s="138">
        <f t="shared" si="65"/>
        <v>0</v>
      </c>
      <c r="Q116" s="138">
        <f t="shared" si="65"/>
        <v>0</v>
      </c>
      <c r="R116" s="138">
        <f t="shared" si="65"/>
        <v>0</v>
      </c>
      <c r="S116" s="138">
        <f t="shared" si="65"/>
        <v>0</v>
      </c>
      <c r="T116" s="138">
        <f t="shared" si="65"/>
        <v>0</v>
      </c>
      <c r="U116" s="138">
        <f t="shared" si="65"/>
        <v>0</v>
      </c>
      <c r="V116" s="138">
        <f t="shared" si="65"/>
        <v>0</v>
      </c>
      <c r="W116" s="138">
        <f t="shared" si="65"/>
        <v>0</v>
      </c>
      <c r="X116" s="138">
        <f t="shared" si="65"/>
        <v>0</v>
      </c>
      <c r="Y116" s="138">
        <f t="shared" si="65"/>
        <v>0</v>
      </c>
      <c r="Z116" s="138">
        <f t="shared" si="65"/>
        <v>0</v>
      </c>
      <c r="AA116" s="138">
        <f t="shared" si="65"/>
        <v>0</v>
      </c>
      <c r="AB116" s="138">
        <f t="shared" si="65"/>
        <v>0</v>
      </c>
      <c r="AC116" s="243"/>
    </row>
    <row r="117" spans="1:34" ht="15.75" customHeight="1" x14ac:dyDescent="0.4">
      <c r="A117" s="242">
        <f t="shared" si="45"/>
        <v>23</v>
      </c>
      <c r="B117" s="243" t="str">
        <f>STUD!B57</f>
        <v>MANZOR</v>
      </c>
      <c r="C117" s="244">
        <f>SUM(D118:AB118)</f>
        <v>5.0999999999999996</v>
      </c>
      <c r="D117" s="135">
        <v>6</v>
      </c>
      <c r="E117" s="135">
        <v>12</v>
      </c>
      <c r="F117" s="135">
        <v>2</v>
      </c>
      <c r="G117" s="135">
        <v>2</v>
      </c>
      <c r="H117" s="135">
        <v>12</v>
      </c>
      <c r="I117" s="135">
        <v>8</v>
      </c>
      <c r="J117" s="135">
        <v>5</v>
      </c>
      <c r="K117" s="135">
        <v>5</v>
      </c>
      <c r="L117" s="135">
        <v>1</v>
      </c>
      <c r="M117" s="135">
        <v>8</v>
      </c>
      <c r="N117" s="135">
        <v>2</v>
      </c>
      <c r="O117" s="135">
        <v>8</v>
      </c>
      <c r="P117" s="135">
        <v>3</v>
      </c>
      <c r="Q117" s="135">
        <v>6</v>
      </c>
      <c r="R117" s="135">
        <v>2</v>
      </c>
      <c r="S117" s="135">
        <v>3</v>
      </c>
      <c r="T117" s="135">
        <v>13</v>
      </c>
      <c r="U117" s="135">
        <v>10</v>
      </c>
      <c r="V117" s="135">
        <v>2</v>
      </c>
      <c r="W117" s="135">
        <v>3</v>
      </c>
      <c r="X117" s="135">
        <v>13</v>
      </c>
      <c r="Y117" s="135">
        <v>3</v>
      </c>
      <c r="Z117" s="135">
        <v>5</v>
      </c>
      <c r="AA117" s="135"/>
      <c r="AB117" s="135"/>
      <c r="AC117" s="243">
        <f>SUM(D118:AB118)</f>
        <v>5.0999999999999996</v>
      </c>
    </row>
    <row r="118" spans="1:34" ht="15.75" customHeight="1" x14ac:dyDescent="0.4">
      <c r="A118" s="242"/>
      <c r="B118" s="243"/>
      <c r="C118" s="245"/>
      <c r="D118" s="138">
        <f t="shared" ref="D118:AB118" si="66">IF(IFERROR(IF(VLOOKUP(D117,D$181:D$185,1,0)&gt;=1,D$180,0),D117)=D$162,D$166,IF(IFERROR(IF(VLOOKUP(D117,D$181:D$185,1,0)&gt;=1,D$180,0),D117)=D$169,D$172,IF(IFERROR(IF(VLOOKUP(D117,D$181:D$185,1,0)&gt;=1,D$180,0),D117)=D$175,D$177,0)))</f>
        <v>1.1000000000000001</v>
      </c>
      <c r="E118" s="138">
        <f t="shared" si="66"/>
        <v>4</v>
      </c>
      <c r="F118" s="138">
        <f t="shared" si="66"/>
        <v>0</v>
      </c>
      <c r="G118" s="138">
        <f t="shared" si="66"/>
        <v>0</v>
      </c>
      <c r="H118" s="138">
        <f t="shared" si="66"/>
        <v>0</v>
      </c>
      <c r="I118" s="138">
        <f t="shared" si="66"/>
        <v>0</v>
      </c>
      <c r="J118" s="138">
        <f t="shared" si="66"/>
        <v>0</v>
      </c>
      <c r="K118" s="138">
        <f t="shared" si="66"/>
        <v>0</v>
      </c>
      <c r="L118" s="138">
        <f t="shared" si="66"/>
        <v>0</v>
      </c>
      <c r="M118" s="138">
        <f t="shared" si="66"/>
        <v>0</v>
      </c>
      <c r="N118" s="138">
        <f t="shared" si="66"/>
        <v>0</v>
      </c>
      <c r="O118" s="138">
        <f t="shared" si="66"/>
        <v>0</v>
      </c>
      <c r="P118" s="138">
        <f t="shared" si="66"/>
        <v>0</v>
      </c>
      <c r="Q118" s="138">
        <f t="shared" si="66"/>
        <v>0</v>
      </c>
      <c r="R118" s="138">
        <f t="shared" si="66"/>
        <v>0</v>
      </c>
      <c r="S118" s="138">
        <f t="shared" si="66"/>
        <v>0</v>
      </c>
      <c r="T118" s="138">
        <f t="shared" si="66"/>
        <v>0</v>
      </c>
      <c r="U118" s="138">
        <f t="shared" si="66"/>
        <v>0</v>
      </c>
      <c r="V118" s="138">
        <f t="shared" si="66"/>
        <v>0</v>
      </c>
      <c r="W118" s="138">
        <f t="shared" si="66"/>
        <v>0</v>
      </c>
      <c r="X118" s="138">
        <f t="shared" si="66"/>
        <v>0</v>
      </c>
      <c r="Y118" s="138">
        <f t="shared" si="66"/>
        <v>0</v>
      </c>
      <c r="Z118" s="138">
        <f t="shared" si="66"/>
        <v>0</v>
      </c>
      <c r="AA118" s="138">
        <f t="shared" si="66"/>
        <v>0</v>
      </c>
      <c r="AB118" s="138">
        <f t="shared" si="66"/>
        <v>0</v>
      </c>
      <c r="AC118" s="243"/>
    </row>
    <row r="119" spans="1:34" ht="15.75" customHeight="1" x14ac:dyDescent="0.4">
      <c r="A119" s="242">
        <f t="shared" si="45"/>
        <v>24</v>
      </c>
      <c r="B119" s="243" t="str">
        <f>STUD!B58</f>
        <v>ARRE DEMONIO</v>
      </c>
      <c r="C119" s="244">
        <f>SUM(D120:AB120)</f>
        <v>0</v>
      </c>
      <c r="D119" s="135">
        <v>1</v>
      </c>
      <c r="E119" s="135">
        <v>14</v>
      </c>
      <c r="F119" s="135">
        <v>2</v>
      </c>
      <c r="G119" s="135">
        <v>11</v>
      </c>
      <c r="H119" s="135">
        <v>7</v>
      </c>
      <c r="I119" s="135">
        <v>3</v>
      </c>
      <c r="J119" s="135">
        <v>3</v>
      </c>
      <c r="K119" s="135">
        <v>15</v>
      </c>
      <c r="L119" s="135">
        <v>1</v>
      </c>
      <c r="M119" s="135">
        <v>6</v>
      </c>
      <c r="N119" s="135">
        <v>3</v>
      </c>
      <c r="O119" s="135">
        <v>12</v>
      </c>
      <c r="P119" s="135">
        <v>9</v>
      </c>
      <c r="Q119" s="135">
        <v>7</v>
      </c>
      <c r="R119" s="135">
        <v>8</v>
      </c>
      <c r="S119" s="135">
        <v>8</v>
      </c>
      <c r="T119" s="135">
        <v>3</v>
      </c>
      <c r="U119" s="135">
        <v>8</v>
      </c>
      <c r="V119" s="135">
        <v>11</v>
      </c>
      <c r="W119" s="135">
        <v>3</v>
      </c>
      <c r="X119" s="135">
        <v>6</v>
      </c>
      <c r="Y119" s="135">
        <v>12</v>
      </c>
      <c r="Z119" s="135">
        <v>6</v>
      </c>
      <c r="AA119" s="135"/>
      <c r="AB119" s="135"/>
      <c r="AC119" s="243">
        <f>SUM(D120:AB120)</f>
        <v>0</v>
      </c>
    </row>
    <row r="120" spans="1:34" ht="15.75" customHeight="1" x14ac:dyDescent="0.4">
      <c r="A120" s="242"/>
      <c r="B120" s="243"/>
      <c r="C120" s="245"/>
      <c r="D120" s="138">
        <f t="shared" ref="D120:AB120" si="67">IF(IFERROR(IF(VLOOKUP(D119,D$181:D$185,1,0)&gt;=1,D$180,0),D119)=D$162,D$166,IF(IFERROR(IF(VLOOKUP(D119,D$181:D$185,1,0)&gt;=1,D$180,0),D119)=D$169,D$172,IF(IFERROR(IF(VLOOKUP(D119,D$181:D$185,1,0)&gt;=1,D$180,0),D119)=D$175,D$177,0)))</f>
        <v>0</v>
      </c>
      <c r="E120" s="138">
        <f t="shared" si="67"/>
        <v>0</v>
      </c>
      <c r="F120" s="138">
        <f t="shared" si="67"/>
        <v>0</v>
      </c>
      <c r="G120" s="138">
        <f t="shared" si="67"/>
        <v>0</v>
      </c>
      <c r="H120" s="138">
        <f t="shared" si="67"/>
        <v>0</v>
      </c>
      <c r="I120" s="138">
        <f t="shared" si="67"/>
        <v>0</v>
      </c>
      <c r="J120" s="138">
        <f t="shared" si="67"/>
        <v>0</v>
      </c>
      <c r="K120" s="138">
        <f t="shared" si="67"/>
        <v>0</v>
      </c>
      <c r="L120" s="138">
        <f t="shared" si="67"/>
        <v>0</v>
      </c>
      <c r="M120" s="138">
        <f t="shared" si="67"/>
        <v>0</v>
      </c>
      <c r="N120" s="138">
        <f t="shared" si="67"/>
        <v>0</v>
      </c>
      <c r="O120" s="138">
        <f t="shared" si="67"/>
        <v>0</v>
      </c>
      <c r="P120" s="138">
        <f t="shared" si="67"/>
        <v>0</v>
      </c>
      <c r="Q120" s="138">
        <f t="shared" si="67"/>
        <v>0</v>
      </c>
      <c r="R120" s="138">
        <f t="shared" si="67"/>
        <v>0</v>
      </c>
      <c r="S120" s="138">
        <f t="shared" si="67"/>
        <v>0</v>
      </c>
      <c r="T120" s="138">
        <f t="shared" si="67"/>
        <v>0</v>
      </c>
      <c r="U120" s="138">
        <f t="shared" si="67"/>
        <v>0</v>
      </c>
      <c r="V120" s="138">
        <f t="shared" si="67"/>
        <v>0</v>
      </c>
      <c r="W120" s="138">
        <f t="shared" si="67"/>
        <v>0</v>
      </c>
      <c r="X120" s="138">
        <f t="shared" si="67"/>
        <v>0</v>
      </c>
      <c r="Y120" s="138">
        <f t="shared" si="67"/>
        <v>0</v>
      </c>
      <c r="Z120" s="138">
        <f t="shared" si="67"/>
        <v>0</v>
      </c>
      <c r="AA120" s="138">
        <f t="shared" si="67"/>
        <v>0</v>
      </c>
      <c r="AB120" s="219">
        <f t="shared" si="67"/>
        <v>0</v>
      </c>
      <c r="AC120" s="243"/>
    </row>
    <row r="121" spans="1:34" ht="15.75" customHeight="1" x14ac:dyDescent="0.4">
      <c r="A121" s="242">
        <f t="shared" si="45"/>
        <v>25</v>
      </c>
      <c r="B121" s="243" t="str">
        <f>STUD!B59</f>
        <v>SOSAMAFIA</v>
      </c>
      <c r="C121" s="244">
        <f>SUM(D122:AB122)</f>
        <v>4</v>
      </c>
      <c r="D121" s="14">
        <v>14</v>
      </c>
      <c r="E121" s="14">
        <v>1</v>
      </c>
      <c r="F121" s="14">
        <v>11</v>
      </c>
      <c r="G121" s="14">
        <v>2</v>
      </c>
      <c r="H121" s="14">
        <v>5</v>
      </c>
      <c r="I121" s="14">
        <v>6</v>
      </c>
      <c r="J121" s="14">
        <v>5</v>
      </c>
      <c r="K121" s="14">
        <v>13</v>
      </c>
      <c r="L121" s="14">
        <v>5</v>
      </c>
      <c r="M121" s="14">
        <v>15</v>
      </c>
      <c r="N121" s="14">
        <v>2</v>
      </c>
      <c r="O121" s="139">
        <v>14</v>
      </c>
      <c r="P121" s="14">
        <v>5</v>
      </c>
      <c r="Q121" s="14">
        <v>3</v>
      </c>
      <c r="R121" s="14">
        <v>10</v>
      </c>
      <c r="S121" s="14">
        <v>4</v>
      </c>
      <c r="T121" s="14">
        <v>7</v>
      </c>
      <c r="U121" s="14">
        <v>8</v>
      </c>
      <c r="V121" s="14">
        <v>2</v>
      </c>
      <c r="W121" s="14">
        <v>3</v>
      </c>
      <c r="X121" s="14">
        <v>8</v>
      </c>
      <c r="Y121" s="14">
        <v>15</v>
      </c>
      <c r="Z121" s="14">
        <v>6</v>
      </c>
      <c r="AA121" s="220"/>
      <c r="AB121" s="220"/>
      <c r="AC121" s="243">
        <f>SUM(D122:AB122)</f>
        <v>4</v>
      </c>
    </row>
    <row r="122" spans="1:34" ht="15.75" customHeight="1" x14ac:dyDescent="0.4">
      <c r="A122" s="242"/>
      <c r="B122" s="243"/>
      <c r="C122" s="245"/>
      <c r="D122" s="138">
        <f t="shared" ref="D122:AB122" si="68">IF(IFERROR(IF(VLOOKUP(D121,D$181:D$185,1,0)&gt;=1,D$180,0),D121)=D$162,D$166,IF(IFERROR(IF(VLOOKUP(D121,D$181:D$185,1,0)&gt;=1,D$180,0),D121)=D$169,D$172,IF(IFERROR(IF(VLOOKUP(D121,D$181:D$185,1,0)&gt;=1,D$180,0),D121)=D$175,D$177,0)))</f>
        <v>0</v>
      </c>
      <c r="E122" s="138">
        <f t="shared" si="68"/>
        <v>4</v>
      </c>
      <c r="F122" s="138">
        <f t="shared" si="68"/>
        <v>0</v>
      </c>
      <c r="G122" s="138">
        <f t="shared" si="68"/>
        <v>0</v>
      </c>
      <c r="H122" s="138">
        <f t="shared" si="68"/>
        <v>0</v>
      </c>
      <c r="I122" s="138">
        <f t="shared" si="68"/>
        <v>0</v>
      </c>
      <c r="J122" s="138">
        <f t="shared" si="68"/>
        <v>0</v>
      </c>
      <c r="K122" s="138">
        <f t="shared" si="68"/>
        <v>0</v>
      </c>
      <c r="L122" s="138">
        <f t="shared" si="68"/>
        <v>0</v>
      </c>
      <c r="M122" s="138">
        <f t="shared" si="68"/>
        <v>0</v>
      </c>
      <c r="N122" s="138">
        <f t="shared" si="68"/>
        <v>0</v>
      </c>
      <c r="O122" s="138">
        <f t="shared" si="68"/>
        <v>0</v>
      </c>
      <c r="P122" s="138">
        <f t="shared" si="68"/>
        <v>0</v>
      </c>
      <c r="Q122" s="138">
        <f t="shared" si="68"/>
        <v>0</v>
      </c>
      <c r="R122" s="138">
        <f t="shared" si="68"/>
        <v>0</v>
      </c>
      <c r="S122" s="138">
        <f t="shared" si="68"/>
        <v>0</v>
      </c>
      <c r="T122" s="138">
        <f t="shared" si="68"/>
        <v>0</v>
      </c>
      <c r="U122" s="138">
        <f t="shared" si="68"/>
        <v>0</v>
      </c>
      <c r="V122" s="138">
        <f t="shared" si="68"/>
        <v>0</v>
      </c>
      <c r="W122" s="138">
        <f t="shared" si="68"/>
        <v>0</v>
      </c>
      <c r="X122" s="138">
        <f t="shared" si="68"/>
        <v>0</v>
      </c>
      <c r="Y122" s="138">
        <f t="shared" si="68"/>
        <v>0</v>
      </c>
      <c r="Z122" s="138">
        <f t="shared" si="68"/>
        <v>0</v>
      </c>
      <c r="AA122" s="138">
        <f t="shared" si="68"/>
        <v>0</v>
      </c>
      <c r="AB122" s="138">
        <f t="shared" si="68"/>
        <v>0</v>
      </c>
      <c r="AC122" s="243"/>
    </row>
    <row r="123" spans="1:34" ht="15.75" customHeight="1" x14ac:dyDescent="0.4">
      <c r="A123" s="242">
        <f t="shared" si="45"/>
        <v>26</v>
      </c>
      <c r="B123" s="243" t="str">
        <f>STUD!B60</f>
        <v>JUAN DE LOS CABALLOS</v>
      </c>
      <c r="C123" s="244">
        <f>SUM(D124:AB124)</f>
        <v>5.0999999999999996</v>
      </c>
      <c r="D123" s="135">
        <v>6</v>
      </c>
      <c r="E123" s="135">
        <v>1</v>
      </c>
      <c r="F123" s="135">
        <v>5</v>
      </c>
      <c r="G123" s="135">
        <v>4</v>
      </c>
      <c r="H123" s="135">
        <v>14</v>
      </c>
      <c r="I123" s="135">
        <v>7</v>
      </c>
      <c r="J123" s="135">
        <v>4</v>
      </c>
      <c r="K123" s="135">
        <v>12</v>
      </c>
      <c r="L123" s="135">
        <v>2</v>
      </c>
      <c r="M123" s="135">
        <v>2</v>
      </c>
      <c r="N123" s="135">
        <v>2</v>
      </c>
      <c r="O123" s="135">
        <v>4</v>
      </c>
      <c r="P123" s="135">
        <v>3</v>
      </c>
      <c r="Q123" s="135">
        <v>7</v>
      </c>
      <c r="R123" s="135">
        <v>10</v>
      </c>
      <c r="S123" s="135">
        <v>9</v>
      </c>
      <c r="T123" s="135">
        <v>8</v>
      </c>
      <c r="U123" s="135">
        <v>11</v>
      </c>
      <c r="V123" s="135">
        <v>8</v>
      </c>
      <c r="W123" s="135">
        <v>3</v>
      </c>
      <c r="X123" s="135">
        <v>13</v>
      </c>
      <c r="Y123" s="135">
        <v>8</v>
      </c>
      <c r="Z123" s="135">
        <v>5</v>
      </c>
      <c r="AA123" s="220"/>
      <c r="AB123" s="220"/>
      <c r="AC123" s="243">
        <f>SUM(D124:AB124)</f>
        <v>5.0999999999999996</v>
      </c>
    </row>
    <row r="124" spans="1:34" ht="19.5" x14ac:dyDescent="0.4">
      <c r="A124" s="242"/>
      <c r="B124" s="243"/>
      <c r="C124" s="245"/>
      <c r="D124" s="138">
        <f t="shared" ref="D124:AB124" si="69">IF(IFERROR(IF(VLOOKUP(D123,D$181:D$185,1,0)&gt;=1,D$180,0),D123)=D$162,D$166,IF(IFERROR(IF(VLOOKUP(D123,D$181:D$185,1,0)&gt;=1,D$180,0),D123)=D$169,D$172,IF(IFERROR(IF(VLOOKUP(D123,D$181:D$185,1,0)&gt;=1,D$180,0),D123)=D$175,D$177,0)))</f>
        <v>1.1000000000000001</v>
      </c>
      <c r="E124" s="138">
        <f t="shared" si="69"/>
        <v>4</v>
      </c>
      <c r="F124" s="138">
        <f t="shared" si="69"/>
        <v>0</v>
      </c>
      <c r="G124" s="138">
        <f t="shared" si="69"/>
        <v>0</v>
      </c>
      <c r="H124" s="138">
        <f t="shared" si="69"/>
        <v>0</v>
      </c>
      <c r="I124" s="138">
        <f t="shared" si="69"/>
        <v>0</v>
      </c>
      <c r="J124" s="138">
        <f t="shared" si="69"/>
        <v>0</v>
      </c>
      <c r="K124" s="138">
        <f t="shared" si="69"/>
        <v>0</v>
      </c>
      <c r="L124" s="138">
        <f t="shared" si="69"/>
        <v>0</v>
      </c>
      <c r="M124" s="138">
        <f t="shared" si="69"/>
        <v>0</v>
      </c>
      <c r="N124" s="138">
        <f t="shared" si="69"/>
        <v>0</v>
      </c>
      <c r="O124" s="138">
        <f t="shared" si="69"/>
        <v>0</v>
      </c>
      <c r="P124" s="138">
        <f t="shared" si="69"/>
        <v>0</v>
      </c>
      <c r="Q124" s="138">
        <f t="shared" si="69"/>
        <v>0</v>
      </c>
      <c r="R124" s="138">
        <f t="shared" si="69"/>
        <v>0</v>
      </c>
      <c r="S124" s="138">
        <f t="shared" si="69"/>
        <v>0</v>
      </c>
      <c r="T124" s="138">
        <f t="shared" si="69"/>
        <v>0</v>
      </c>
      <c r="U124" s="138">
        <f t="shared" si="69"/>
        <v>0</v>
      </c>
      <c r="V124" s="138">
        <f t="shared" si="69"/>
        <v>0</v>
      </c>
      <c r="W124" s="138">
        <f t="shared" si="69"/>
        <v>0</v>
      </c>
      <c r="X124" s="138">
        <f t="shared" si="69"/>
        <v>0</v>
      </c>
      <c r="Y124" s="138">
        <f t="shared" si="69"/>
        <v>0</v>
      </c>
      <c r="Z124" s="138">
        <f t="shared" si="69"/>
        <v>0</v>
      </c>
      <c r="AA124" s="138">
        <f t="shared" si="69"/>
        <v>0</v>
      </c>
      <c r="AB124" s="138">
        <f t="shared" si="69"/>
        <v>0</v>
      </c>
      <c r="AC124" s="243"/>
    </row>
    <row r="125" spans="1:34" ht="19.5" x14ac:dyDescent="0.4">
      <c r="A125" s="242">
        <f t="shared" si="45"/>
        <v>27</v>
      </c>
      <c r="B125" s="243" t="str">
        <f>STUD!B61</f>
        <v>MIS SOBRINOS</v>
      </c>
      <c r="C125" s="244">
        <f>SUM(D126:AB126)</f>
        <v>7.9</v>
      </c>
      <c r="D125" s="14">
        <v>12</v>
      </c>
      <c r="E125" s="14">
        <v>1</v>
      </c>
      <c r="F125" s="14">
        <v>5</v>
      </c>
      <c r="G125" s="14">
        <v>2</v>
      </c>
      <c r="H125" s="14">
        <v>13</v>
      </c>
      <c r="I125" s="14">
        <v>4</v>
      </c>
      <c r="J125" s="14">
        <v>4</v>
      </c>
      <c r="K125" s="14">
        <v>9</v>
      </c>
      <c r="L125" s="14">
        <v>4</v>
      </c>
      <c r="M125" s="14">
        <v>9</v>
      </c>
      <c r="N125" s="14">
        <v>2</v>
      </c>
      <c r="O125" s="14">
        <v>6</v>
      </c>
      <c r="P125" s="14">
        <v>8</v>
      </c>
      <c r="Q125" s="14">
        <v>3</v>
      </c>
      <c r="R125" s="14">
        <v>6</v>
      </c>
      <c r="S125" s="14">
        <v>1</v>
      </c>
      <c r="T125" s="14">
        <v>11</v>
      </c>
      <c r="U125" s="14">
        <v>9</v>
      </c>
      <c r="V125" s="14">
        <v>5</v>
      </c>
      <c r="W125" s="14">
        <v>11</v>
      </c>
      <c r="X125" s="14">
        <v>11</v>
      </c>
      <c r="Y125" s="14">
        <v>7</v>
      </c>
      <c r="Z125" s="14">
        <v>3</v>
      </c>
      <c r="AA125" s="222"/>
      <c r="AB125" s="222"/>
      <c r="AC125" s="263">
        <f>SUM(D126:AB126)</f>
        <v>7.9</v>
      </c>
    </row>
    <row r="126" spans="1:34" ht="19.5" x14ac:dyDescent="0.4">
      <c r="A126" s="242"/>
      <c r="B126" s="243"/>
      <c r="C126" s="245"/>
      <c r="D126" s="138">
        <f t="shared" ref="D126:AB126" si="70">IF(IFERROR(IF(VLOOKUP(D125,D$181:D$185,1,0)&gt;=1,D$180,0),D125)=D$162,D$166,IF(IFERROR(IF(VLOOKUP(D125,D$181:D$185,1,0)&gt;=1,D$180,0),D125)=D$169,D$172,IF(IFERROR(IF(VLOOKUP(D125,D$181:D$185,1,0)&gt;=1,D$180,0),D125)=D$175,D$177,0)))</f>
        <v>3.9000000000000004</v>
      </c>
      <c r="E126" s="138">
        <f t="shared" si="70"/>
        <v>4</v>
      </c>
      <c r="F126" s="138">
        <f t="shared" si="70"/>
        <v>0</v>
      </c>
      <c r="G126" s="138">
        <f t="shared" si="70"/>
        <v>0</v>
      </c>
      <c r="H126" s="138">
        <f t="shared" si="70"/>
        <v>0</v>
      </c>
      <c r="I126" s="138">
        <f t="shared" si="70"/>
        <v>0</v>
      </c>
      <c r="J126" s="138">
        <f t="shared" si="70"/>
        <v>0</v>
      </c>
      <c r="K126" s="138">
        <f t="shared" si="70"/>
        <v>0</v>
      </c>
      <c r="L126" s="138">
        <f t="shared" si="70"/>
        <v>0</v>
      </c>
      <c r="M126" s="138">
        <f t="shared" si="70"/>
        <v>0</v>
      </c>
      <c r="N126" s="138">
        <f t="shared" si="70"/>
        <v>0</v>
      </c>
      <c r="O126" s="138">
        <f t="shared" si="70"/>
        <v>0</v>
      </c>
      <c r="P126" s="138">
        <f t="shared" si="70"/>
        <v>0</v>
      </c>
      <c r="Q126" s="138">
        <f t="shared" si="70"/>
        <v>0</v>
      </c>
      <c r="R126" s="138">
        <f t="shared" si="70"/>
        <v>0</v>
      </c>
      <c r="S126" s="138">
        <f t="shared" si="70"/>
        <v>0</v>
      </c>
      <c r="T126" s="138">
        <f t="shared" si="70"/>
        <v>0</v>
      </c>
      <c r="U126" s="138">
        <f t="shared" si="70"/>
        <v>0</v>
      </c>
      <c r="V126" s="138">
        <f t="shared" si="70"/>
        <v>0</v>
      </c>
      <c r="W126" s="138">
        <f t="shared" si="70"/>
        <v>0</v>
      </c>
      <c r="X126" s="138">
        <f t="shared" si="70"/>
        <v>0</v>
      </c>
      <c r="Y126" s="138">
        <f t="shared" si="70"/>
        <v>0</v>
      </c>
      <c r="Z126" s="138">
        <f t="shared" si="70"/>
        <v>0</v>
      </c>
      <c r="AA126" s="128">
        <f t="shared" si="70"/>
        <v>0</v>
      </c>
      <c r="AB126" s="128">
        <f t="shared" si="70"/>
        <v>0</v>
      </c>
      <c r="AC126" s="263"/>
    </row>
    <row r="127" spans="1:34" ht="19.5" x14ac:dyDescent="0.4">
      <c r="A127" s="242">
        <f t="shared" si="45"/>
        <v>28</v>
      </c>
      <c r="B127" s="243" t="str">
        <f>STUD!B62</f>
        <v>SANVI</v>
      </c>
      <c r="C127" s="244">
        <f>SUM(D128:AB128)</f>
        <v>5.0999999999999996</v>
      </c>
      <c r="D127" s="135">
        <v>6</v>
      </c>
      <c r="E127" s="135">
        <v>12</v>
      </c>
      <c r="F127" s="135">
        <v>5</v>
      </c>
      <c r="G127" s="135">
        <v>11</v>
      </c>
      <c r="H127" s="135">
        <v>9</v>
      </c>
      <c r="I127" s="135">
        <v>6</v>
      </c>
      <c r="J127" s="135">
        <v>5</v>
      </c>
      <c r="K127" s="135">
        <v>8</v>
      </c>
      <c r="L127" s="135">
        <v>9</v>
      </c>
      <c r="M127" s="135">
        <v>2</v>
      </c>
      <c r="N127" s="135">
        <v>2</v>
      </c>
      <c r="O127" s="135">
        <v>7</v>
      </c>
      <c r="P127" s="135">
        <v>11</v>
      </c>
      <c r="Q127" s="135">
        <v>4</v>
      </c>
      <c r="R127" s="135">
        <v>6</v>
      </c>
      <c r="S127" s="135">
        <v>8</v>
      </c>
      <c r="T127" s="135">
        <v>7</v>
      </c>
      <c r="U127" s="135">
        <v>10</v>
      </c>
      <c r="V127" s="135">
        <v>4</v>
      </c>
      <c r="W127" s="135">
        <v>13</v>
      </c>
      <c r="X127" s="135">
        <v>14</v>
      </c>
      <c r="Y127" s="135">
        <v>14</v>
      </c>
      <c r="Z127" s="135">
        <v>4</v>
      </c>
      <c r="AA127" s="222"/>
      <c r="AB127" s="222"/>
      <c r="AC127" s="263">
        <f>SUM(D128:AB128)</f>
        <v>5.0999999999999996</v>
      </c>
    </row>
    <row r="128" spans="1:34" ht="19.5" x14ac:dyDescent="0.4">
      <c r="A128" s="242"/>
      <c r="B128" s="243"/>
      <c r="C128" s="245"/>
      <c r="D128" s="138">
        <f t="shared" ref="D128:AB128" si="71">IF(IFERROR(IF(VLOOKUP(D127,D$181:D$185,1,0)&gt;=1,D$180,0),D127)=D$162,D$166,IF(IFERROR(IF(VLOOKUP(D127,D$181:D$185,1,0)&gt;=1,D$180,0),D127)=D$169,D$172,IF(IFERROR(IF(VLOOKUP(D127,D$181:D$185,1,0)&gt;=1,D$180,0),D127)=D$175,D$177,0)))</f>
        <v>1.1000000000000001</v>
      </c>
      <c r="E128" s="138">
        <f t="shared" si="71"/>
        <v>4</v>
      </c>
      <c r="F128" s="138">
        <f t="shared" si="71"/>
        <v>0</v>
      </c>
      <c r="G128" s="138">
        <f t="shared" si="71"/>
        <v>0</v>
      </c>
      <c r="H128" s="138">
        <f t="shared" si="71"/>
        <v>0</v>
      </c>
      <c r="I128" s="138">
        <f t="shared" si="71"/>
        <v>0</v>
      </c>
      <c r="J128" s="138">
        <f t="shared" si="71"/>
        <v>0</v>
      </c>
      <c r="K128" s="138">
        <f t="shared" si="71"/>
        <v>0</v>
      </c>
      <c r="L128" s="138">
        <f t="shared" si="71"/>
        <v>0</v>
      </c>
      <c r="M128" s="138">
        <f t="shared" si="71"/>
        <v>0</v>
      </c>
      <c r="N128" s="138">
        <f t="shared" si="71"/>
        <v>0</v>
      </c>
      <c r="O128" s="138">
        <f t="shared" si="71"/>
        <v>0</v>
      </c>
      <c r="P128" s="138">
        <f t="shared" si="71"/>
        <v>0</v>
      </c>
      <c r="Q128" s="138">
        <f t="shared" si="71"/>
        <v>0</v>
      </c>
      <c r="R128" s="138">
        <f t="shared" si="71"/>
        <v>0</v>
      </c>
      <c r="S128" s="138">
        <f t="shared" si="71"/>
        <v>0</v>
      </c>
      <c r="T128" s="138">
        <f t="shared" si="71"/>
        <v>0</v>
      </c>
      <c r="U128" s="138">
        <f t="shared" si="71"/>
        <v>0</v>
      </c>
      <c r="V128" s="138">
        <f t="shared" si="71"/>
        <v>0</v>
      </c>
      <c r="W128" s="138">
        <f t="shared" si="71"/>
        <v>0</v>
      </c>
      <c r="X128" s="138">
        <f t="shared" si="71"/>
        <v>0</v>
      </c>
      <c r="Y128" s="138">
        <f t="shared" si="71"/>
        <v>0</v>
      </c>
      <c r="Z128" s="138">
        <f t="shared" si="71"/>
        <v>0</v>
      </c>
      <c r="AA128" s="128">
        <f t="shared" si="71"/>
        <v>0</v>
      </c>
      <c r="AB128" s="128">
        <f t="shared" si="71"/>
        <v>0</v>
      </c>
      <c r="AC128" s="263"/>
    </row>
    <row r="129" spans="1:29" ht="19.5" x14ac:dyDescent="0.4">
      <c r="A129" s="242">
        <f t="shared" si="45"/>
        <v>29</v>
      </c>
      <c r="B129" s="243" t="str">
        <f>STUD!B64</f>
        <v>BILZ</v>
      </c>
      <c r="C129" s="244">
        <f t="shared" ref="C129" si="72">SUM(D130:AB130)</f>
        <v>9.7000000000000011</v>
      </c>
      <c r="D129" s="135">
        <v>9</v>
      </c>
      <c r="E129" s="135">
        <v>3</v>
      </c>
      <c r="F129" s="135">
        <v>4</v>
      </c>
      <c r="G129" s="135">
        <v>10</v>
      </c>
      <c r="H129" s="135">
        <v>10</v>
      </c>
      <c r="I129" s="135">
        <v>6</v>
      </c>
      <c r="J129" s="135">
        <v>5</v>
      </c>
      <c r="K129" s="135">
        <v>5</v>
      </c>
      <c r="L129" s="135">
        <v>2</v>
      </c>
      <c r="M129" s="135">
        <v>6</v>
      </c>
      <c r="N129" s="135">
        <v>3</v>
      </c>
      <c r="O129" s="135">
        <v>4</v>
      </c>
      <c r="P129" s="135">
        <v>14</v>
      </c>
      <c r="Q129" s="135">
        <v>3</v>
      </c>
      <c r="R129" s="135">
        <v>8</v>
      </c>
      <c r="S129" s="135">
        <v>8</v>
      </c>
      <c r="T129" s="135">
        <v>11</v>
      </c>
      <c r="U129" s="135">
        <v>8</v>
      </c>
      <c r="V129" s="135">
        <v>6</v>
      </c>
      <c r="W129" s="135">
        <v>3</v>
      </c>
      <c r="X129" s="135">
        <v>9</v>
      </c>
      <c r="Y129" s="135">
        <v>11</v>
      </c>
      <c r="Z129" s="135">
        <v>3</v>
      </c>
      <c r="AA129" s="222"/>
      <c r="AB129" s="238"/>
      <c r="AC129" s="239"/>
    </row>
    <row r="130" spans="1:29" ht="19.5" x14ac:dyDescent="0.4">
      <c r="A130" s="242"/>
      <c r="B130" s="243"/>
      <c r="C130" s="245"/>
      <c r="D130" s="138">
        <f t="shared" ref="D130:AA130" si="73">IF(IFERROR(IF(VLOOKUP(D129,D$181:D$185,1,0)&gt;=1,D$180,0),D129)=D$162,D$166,IF(IFERROR(IF(VLOOKUP(D129,D$181:D$185,1,0)&gt;=1,D$180,0),D129)=D$169,D$172,IF(IFERROR(IF(VLOOKUP(D129,D$181:D$185,1,0)&gt;=1,D$180,0),D129)=D$175,D$177,0)))</f>
        <v>9.7000000000000011</v>
      </c>
      <c r="E130" s="138">
        <f t="shared" si="73"/>
        <v>0</v>
      </c>
      <c r="F130" s="138">
        <f t="shared" si="73"/>
        <v>0</v>
      </c>
      <c r="G130" s="138">
        <f t="shared" si="73"/>
        <v>0</v>
      </c>
      <c r="H130" s="138">
        <f t="shared" si="73"/>
        <v>0</v>
      </c>
      <c r="I130" s="138">
        <f t="shared" si="73"/>
        <v>0</v>
      </c>
      <c r="J130" s="138">
        <f t="shared" si="73"/>
        <v>0</v>
      </c>
      <c r="K130" s="138">
        <f t="shared" si="73"/>
        <v>0</v>
      </c>
      <c r="L130" s="138">
        <f t="shared" si="73"/>
        <v>0</v>
      </c>
      <c r="M130" s="138">
        <f t="shared" si="73"/>
        <v>0</v>
      </c>
      <c r="N130" s="138">
        <f t="shared" si="73"/>
        <v>0</v>
      </c>
      <c r="O130" s="138">
        <f t="shared" si="73"/>
        <v>0</v>
      </c>
      <c r="P130" s="138">
        <f t="shared" si="73"/>
        <v>0</v>
      </c>
      <c r="Q130" s="138">
        <f t="shared" si="73"/>
        <v>0</v>
      </c>
      <c r="R130" s="138">
        <f t="shared" si="73"/>
        <v>0</v>
      </c>
      <c r="S130" s="138">
        <f t="shared" si="73"/>
        <v>0</v>
      </c>
      <c r="T130" s="138">
        <f t="shared" si="73"/>
        <v>0</v>
      </c>
      <c r="U130" s="138">
        <f t="shared" si="73"/>
        <v>0</v>
      </c>
      <c r="V130" s="138">
        <f t="shared" si="73"/>
        <v>0</v>
      </c>
      <c r="W130" s="138">
        <f t="shared" si="73"/>
        <v>0</v>
      </c>
      <c r="X130" s="138">
        <f t="shared" si="73"/>
        <v>0</v>
      </c>
      <c r="Y130" s="138">
        <f t="shared" si="73"/>
        <v>0</v>
      </c>
      <c r="Z130" s="138">
        <f t="shared" si="73"/>
        <v>0</v>
      </c>
      <c r="AA130" s="128">
        <f t="shared" si="73"/>
        <v>0</v>
      </c>
      <c r="AB130" s="238"/>
      <c r="AC130" s="239"/>
    </row>
    <row r="131" spans="1:29" ht="19.5" x14ac:dyDescent="0.4">
      <c r="A131" s="242">
        <f t="shared" si="45"/>
        <v>30</v>
      </c>
      <c r="B131" s="243" t="str">
        <f>STUD!B63</f>
        <v>PAP</v>
      </c>
      <c r="C131" s="244">
        <f t="shared" ref="C131" si="74">SUM(D132:AB132)</f>
        <v>0</v>
      </c>
      <c r="D131" s="135">
        <v>15</v>
      </c>
      <c r="E131" s="135">
        <v>4</v>
      </c>
      <c r="F131" s="135">
        <v>5</v>
      </c>
      <c r="G131" s="135">
        <v>7</v>
      </c>
      <c r="H131" s="135">
        <v>1</v>
      </c>
      <c r="I131" s="135">
        <v>7</v>
      </c>
      <c r="J131" s="135">
        <v>5</v>
      </c>
      <c r="K131" s="135">
        <v>10</v>
      </c>
      <c r="L131" s="135">
        <v>1</v>
      </c>
      <c r="M131" s="135">
        <v>8</v>
      </c>
      <c r="N131" s="135">
        <v>2</v>
      </c>
      <c r="O131" s="135">
        <v>14</v>
      </c>
      <c r="P131" s="135">
        <v>14</v>
      </c>
      <c r="Q131" s="135">
        <v>6</v>
      </c>
      <c r="R131" s="135">
        <v>8</v>
      </c>
      <c r="S131" s="135">
        <v>9</v>
      </c>
      <c r="T131" s="135">
        <v>7</v>
      </c>
      <c r="U131" s="135">
        <v>13</v>
      </c>
      <c r="V131" s="135">
        <v>8</v>
      </c>
      <c r="W131" s="135">
        <v>2</v>
      </c>
      <c r="X131" s="135">
        <v>14</v>
      </c>
      <c r="Y131" s="135">
        <v>5</v>
      </c>
      <c r="Z131" s="135">
        <v>13</v>
      </c>
      <c r="AA131" s="222"/>
      <c r="AB131" s="238"/>
      <c r="AC131" s="239"/>
    </row>
    <row r="132" spans="1:29" ht="19.5" x14ac:dyDescent="0.4">
      <c r="A132" s="242"/>
      <c r="B132" s="243"/>
      <c r="C132" s="245"/>
      <c r="D132" s="138">
        <f t="shared" ref="D132:AA132" si="75">IF(IFERROR(IF(VLOOKUP(D131,D$181:D$185,1,0)&gt;=1,D$180,0),D131)=D$162,D$166,IF(IFERROR(IF(VLOOKUP(D131,D$181:D$185,1,0)&gt;=1,D$180,0),D131)=D$169,D$172,IF(IFERROR(IF(VLOOKUP(D131,D$181:D$185,1,0)&gt;=1,D$180,0),D131)=D$175,D$177,0)))</f>
        <v>0</v>
      </c>
      <c r="E132" s="138">
        <f t="shared" si="75"/>
        <v>0</v>
      </c>
      <c r="F132" s="138">
        <f t="shared" si="75"/>
        <v>0</v>
      </c>
      <c r="G132" s="138">
        <f t="shared" si="75"/>
        <v>0</v>
      </c>
      <c r="H132" s="138">
        <f t="shared" si="75"/>
        <v>0</v>
      </c>
      <c r="I132" s="138">
        <f t="shared" si="75"/>
        <v>0</v>
      </c>
      <c r="J132" s="138">
        <f t="shared" si="75"/>
        <v>0</v>
      </c>
      <c r="K132" s="138">
        <f t="shared" si="75"/>
        <v>0</v>
      </c>
      <c r="L132" s="138">
        <f t="shared" si="75"/>
        <v>0</v>
      </c>
      <c r="M132" s="138">
        <f t="shared" si="75"/>
        <v>0</v>
      </c>
      <c r="N132" s="138">
        <f t="shared" si="75"/>
        <v>0</v>
      </c>
      <c r="O132" s="138">
        <f t="shared" si="75"/>
        <v>0</v>
      </c>
      <c r="P132" s="138">
        <f t="shared" si="75"/>
        <v>0</v>
      </c>
      <c r="Q132" s="138">
        <f t="shared" si="75"/>
        <v>0</v>
      </c>
      <c r="R132" s="138">
        <f t="shared" si="75"/>
        <v>0</v>
      </c>
      <c r="S132" s="138">
        <f t="shared" si="75"/>
        <v>0</v>
      </c>
      <c r="T132" s="138">
        <f t="shared" si="75"/>
        <v>0</v>
      </c>
      <c r="U132" s="138">
        <f t="shared" si="75"/>
        <v>0</v>
      </c>
      <c r="V132" s="138">
        <f t="shared" si="75"/>
        <v>0</v>
      </c>
      <c r="W132" s="138">
        <f t="shared" si="75"/>
        <v>0</v>
      </c>
      <c r="X132" s="138">
        <f t="shared" si="75"/>
        <v>0</v>
      </c>
      <c r="Y132" s="138">
        <f t="shared" si="75"/>
        <v>0</v>
      </c>
      <c r="Z132" s="138">
        <f t="shared" si="75"/>
        <v>0</v>
      </c>
      <c r="AA132" s="128">
        <f t="shared" si="75"/>
        <v>0</v>
      </c>
      <c r="AB132" s="238"/>
      <c r="AC132" s="239"/>
    </row>
    <row r="133" spans="1:29" ht="19.5" x14ac:dyDescent="0.4">
      <c r="A133" s="242">
        <f t="shared" si="45"/>
        <v>31</v>
      </c>
      <c r="B133" s="243" t="str">
        <f>STUD!B65</f>
        <v>SIN FE</v>
      </c>
      <c r="C133" s="244">
        <f t="shared" ref="C133" si="76">SUM(D134:AB134)</f>
        <v>4</v>
      </c>
      <c r="D133" s="135">
        <v>5</v>
      </c>
      <c r="E133" s="135">
        <v>12</v>
      </c>
      <c r="F133" s="135">
        <v>11</v>
      </c>
      <c r="G133" s="135">
        <v>2</v>
      </c>
      <c r="H133" s="135">
        <v>13</v>
      </c>
      <c r="I133" s="135">
        <v>7</v>
      </c>
      <c r="J133" s="135">
        <v>2</v>
      </c>
      <c r="K133" s="135">
        <v>7</v>
      </c>
      <c r="L133" s="135">
        <v>9</v>
      </c>
      <c r="M133" s="135">
        <v>2</v>
      </c>
      <c r="N133" s="135">
        <v>2</v>
      </c>
      <c r="O133" s="135">
        <v>5</v>
      </c>
      <c r="P133" s="135">
        <v>9</v>
      </c>
      <c r="Q133" s="135">
        <v>1</v>
      </c>
      <c r="R133" s="135">
        <v>2</v>
      </c>
      <c r="S133" s="135">
        <v>9</v>
      </c>
      <c r="T133" s="135">
        <v>13</v>
      </c>
      <c r="U133" s="135">
        <v>10</v>
      </c>
      <c r="V133" s="135">
        <v>2</v>
      </c>
      <c r="W133" s="135">
        <v>8</v>
      </c>
      <c r="X133" s="135">
        <v>9</v>
      </c>
      <c r="Y133" s="135">
        <v>7</v>
      </c>
      <c r="Z133" s="135">
        <v>3</v>
      </c>
      <c r="AA133" s="222"/>
      <c r="AB133" s="238"/>
      <c r="AC133" s="239"/>
    </row>
    <row r="134" spans="1:29" ht="19.5" x14ac:dyDescent="0.4">
      <c r="A134" s="242"/>
      <c r="B134" s="243"/>
      <c r="C134" s="245"/>
      <c r="D134" s="138">
        <f t="shared" ref="D134:AA134" si="77">IF(IFERROR(IF(VLOOKUP(D133,D$181:D$185,1,0)&gt;=1,D$180,0),D133)=D$162,D$166,IF(IFERROR(IF(VLOOKUP(D133,D$181:D$185,1,0)&gt;=1,D$180,0),D133)=D$169,D$172,IF(IFERROR(IF(VLOOKUP(D133,D$181:D$185,1,0)&gt;=1,D$180,0),D133)=D$175,D$177,0)))</f>
        <v>0</v>
      </c>
      <c r="E134" s="138">
        <f t="shared" si="77"/>
        <v>4</v>
      </c>
      <c r="F134" s="138">
        <f t="shared" si="77"/>
        <v>0</v>
      </c>
      <c r="G134" s="138">
        <f t="shared" si="77"/>
        <v>0</v>
      </c>
      <c r="H134" s="138">
        <f t="shared" si="77"/>
        <v>0</v>
      </c>
      <c r="I134" s="138">
        <f t="shared" si="77"/>
        <v>0</v>
      </c>
      <c r="J134" s="138">
        <f t="shared" si="77"/>
        <v>0</v>
      </c>
      <c r="K134" s="138">
        <f t="shared" si="77"/>
        <v>0</v>
      </c>
      <c r="L134" s="138">
        <f t="shared" si="77"/>
        <v>0</v>
      </c>
      <c r="M134" s="138">
        <f t="shared" si="77"/>
        <v>0</v>
      </c>
      <c r="N134" s="138">
        <f t="shared" si="77"/>
        <v>0</v>
      </c>
      <c r="O134" s="138">
        <f t="shared" si="77"/>
        <v>0</v>
      </c>
      <c r="P134" s="138">
        <f t="shared" si="77"/>
        <v>0</v>
      </c>
      <c r="Q134" s="138">
        <f t="shared" si="77"/>
        <v>0</v>
      </c>
      <c r="R134" s="138">
        <f t="shared" si="77"/>
        <v>0</v>
      </c>
      <c r="S134" s="138">
        <f t="shared" si="77"/>
        <v>0</v>
      </c>
      <c r="T134" s="138">
        <f t="shared" si="77"/>
        <v>0</v>
      </c>
      <c r="U134" s="138">
        <f t="shared" si="77"/>
        <v>0</v>
      </c>
      <c r="V134" s="138">
        <f t="shared" si="77"/>
        <v>0</v>
      </c>
      <c r="W134" s="138">
        <f t="shared" si="77"/>
        <v>0</v>
      </c>
      <c r="X134" s="138">
        <f t="shared" si="77"/>
        <v>0</v>
      </c>
      <c r="Y134" s="138">
        <f t="shared" si="77"/>
        <v>0</v>
      </c>
      <c r="Z134" s="138">
        <f t="shared" si="77"/>
        <v>0</v>
      </c>
      <c r="AA134" s="128">
        <f t="shared" si="77"/>
        <v>0</v>
      </c>
      <c r="AB134" s="238"/>
      <c r="AC134" s="239"/>
    </row>
    <row r="135" spans="1:29" ht="19.5" x14ac:dyDescent="0.4">
      <c r="A135" s="242">
        <f t="shared" si="45"/>
        <v>32</v>
      </c>
      <c r="B135" s="243" t="str">
        <f>STUD!B66</f>
        <v>SIN FE-IA</v>
      </c>
      <c r="C135" s="244">
        <f t="shared" ref="C135" si="78">SUM(D136:AB136)</f>
        <v>7.9</v>
      </c>
      <c r="D135" s="135">
        <v>12</v>
      </c>
      <c r="E135" s="135">
        <v>1</v>
      </c>
      <c r="F135" s="135">
        <v>5</v>
      </c>
      <c r="G135" s="135">
        <v>1</v>
      </c>
      <c r="H135" s="135">
        <v>11</v>
      </c>
      <c r="I135" s="135">
        <v>10</v>
      </c>
      <c r="J135" s="135">
        <v>5</v>
      </c>
      <c r="K135" s="135">
        <v>12</v>
      </c>
      <c r="L135" s="135">
        <v>3</v>
      </c>
      <c r="M135" s="135">
        <v>13</v>
      </c>
      <c r="N135" s="135">
        <v>4</v>
      </c>
      <c r="O135" s="135">
        <v>10</v>
      </c>
      <c r="P135" s="135">
        <v>4</v>
      </c>
      <c r="Q135" s="135">
        <v>7</v>
      </c>
      <c r="R135" s="135">
        <v>11</v>
      </c>
      <c r="S135" s="135">
        <v>4</v>
      </c>
      <c r="T135" s="135">
        <v>11</v>
      </c>
      <c r="U135" s="135">
        <v>4</v>
      </c>
      <c r="V135" s="135">
        <v>7</v>
      </c>
      <c r="W135" s="135">
        <v>1</v>
      </c>
      <c r="X135" s="135">
        <v>11</v>
      </c>
      <c r="Y135" s="135">
        <v>3</v>
      </c>
      <c r="Z135" s="135">
        <v>4</v>
      </c>
      <c r="AA135" s="222"/>
      <c r="AB135" s="238"/>
      <c r="AC135" s="239"/>
    </row>
    <row r="136" spans="1:29" ht="19.5" x14ac:dyDescent="0.4">
      <c r="A136" s="242"/>
      <c r="B136" s="243"/>
      <c r="C136" s="245"/>
      <c r="D136" s="138">
        <f t="shared" ref="D136:AA136" si="79">IF(IFERROR(IF(VLOOKUP(D135,D$181:D$185,1,0)&gt;=1,D$180,0),D135)=D$162,D$166,IF(IFERROR(IF(VLOOKUP(D135,D$181:D$185,1,0)&gt;=1,D$180,0),D135)=D$169,D$172,IF(IFERROR(IF(VLOOKUP(D135,D$181:D$185,1,0)&gt;=1,D$180,0),D135)=D$175,D$177,0)))</f>
        <v>3.9000000000000004</v>
      </c>
      <c r="E136" s="138">
        <f t="shared" si="79"/>
        <v>4</v>
      </c>
      <c r="F136" s="138">
        <f t="shared" si="79"/>
        <v>0</v>
      </c>
      <c r="G136" s="138">
        <f t="shared" si="79"/>
        <v>0</v>
      </c>
      <c r="H136" s="138">
        <f t="shared" si="79"/>
        <v>0</v>
      </c>
      <c r="I136" s="138">
        <f t="shared" si="79"/>
        <v>0</v>
      </c>
      <c r="J136" s="138">
        <f t="shared" si="79"/>
        <v>0</v>
      </c>
      <c r="K136" s="138">
        <f t="shared" si="79"/>
        <v>0</v>
      </c>
      <c r="L136" s="138">
        <f t="shared" si="79"/>
        <v>0</v>
      </c>
      <c r="M136" s="138">
        <f t="shared" si="79"/>
        <v>0</v>
      </c>
      <c r="N136" s="138">
        <f t="shared" si="79"/>
        <v>0</v>
      </c>
      <c r="O136" s="138">
        <f t="shared" si="79"/>
        <v>0</v>
      </c>
      <c r="P136" s="138">
        <f t="shared" si="79"/>
        <v>0</v>
      </c>
      <c r="Q136" s="138">
        <f t="shared" si="79"/>
        <v>0</v>
      </c>
      <c r="R136" s="138">
        <f t="shared" si="79"/>
        <v>0</v>
      </c>
      <c r="S136" s="138">
        <f t="shared" si="79"/>
        <v>0</v>
      </c>
      <c r="T136" s="138">
        <f t="shared" si="79"/>
        <v>0</v>
      </c>
      <c r="U136" s="138">
        <f t="shared" si="79"/>
        <v>0</v>
      </c>
      <c r="V136" s="138">
        <f t="shared" si="79"/>
        <v>0</v>
      </c>
      <c r="W136" s="138">
        <f t="shared" si="79"/>
        <v>0</v>
      </c>
      <c r="X136" s="138">
        <f t="shared" si="79"/>
        <v>0</v>
      </c>
      <c r="Y136" s="138">
        <f t="shared" si="79"/>
        <v>0</v>
      </c>
      <c r="Z136" s="138">
        <f t="shared" si="79"/>
        <v>0</v>
      </c>
      <c r="AA136" s="128">
        <f t="shared" si="79"/>
        <v>0</v>
      </c>
      <c r="AB136" s="238"/>
      <c r="AC136" s="239"/>
    </row>
    <row r="137" spans="1:29" ht="19.5" x14ac:dyDescent="0.4">
      <c r="A137" s="242">
        <f t="shared" si="45"/>
        <v>33</v>
      </c>
      <c r="B137" s="243" t="str">
        <f>STUD!B67</f>
        <v>NANO</v>
      </c>
      <c r="C137" s="244">
        <f t="shared" ref="C137" si="80">SUM(D138:AB138)</f>
        <v>0</v>
      </c>
      <c r="D137" s="14">
        <v>5</v>
      </c>
      <c r="E137" s="14">
        <v>3</v>
      </c>
      <c r="F137" s="14">
        <v>5</v>
      </c>
      <c r="G137" s="14">
        <v>4</v>
      </c>
      <c r="H137" s="14">
        <v>14</v>
      </c>
      <c r="I137" s="14">
        <v>1</v>
      </c>
      <c r="J137" s="14">
        <v>7</v>
      </c>
      <c r="K137" s="14">
        <v>5</v>
      </c>
      <c r="L137" s="14">
        <v>2</v>
      </c>
      <c r="M137" s="14">
        <v>6</v>
      </c>
      <c r="N137" s="14">
        <v>2</v>
      </c>
      <c r="O137" s="14">
        <v>7</v>
      </c>
      <c r="P137" s="14">
        <v>9</v>
      </c>
      <c r="Q137" s="14">
        <v>7</v>
      </c>
      <c r="R137" s="14">
        <v>2</v>
      </c>
      <c r="S137" s="14">
        <v>4</v>
      </c>
      <c r="T137" s="14">
        <v>13</v>
      </c>
      <c r="U137" s="14">
        <v>4</v>
      </c>
      <c r="V137" s="14">
        <v>3</v>
      </c>
      <c r="W137" s="14">
        <v>3</v>
      </c>
      <c r="X137" s="14">
        <v>14</v>
      </c>
      <c r="Y137" s="14">
        <v>2</v>
      </c>
      <c r="Z137" s="14">
        <v>11</v>
      </c>
      <c r="AA137" s="222"/>
      <c r="AB137" s="238"/>
      <c r="AC137" s="239"/>
    </row>
    <row r="138" spans="1:29" ht="19.5" x14ac:dyDescent="0.4">
      <c r="A138" s="242"/>
      <c r="B138" s="243"/>
      <c r="C138" s="245"/>
      <c r="D138" s="138">
        <f t="shared" ref="D138:AA138" si="81">IF(IFERROR(IF(VLOOKUP(D137,D$181:D$185,1,0)&gt;=1,D$180,0),D137)=D$162,D$166,IF(IFERROR(IF(VLOOKUP(D137,D$181:D$185,1,0)&gt;=1,D$180,0),D137)=D$169,D$172,IF(IFERROR(IF(VLOOKUP(D137,D$181:D$185,1,0)&gt;=1,D$180,0),D137)=D$175,D$177,0)))</f>
        <v>0</v>
      </c>
      <c r="E138" s="138">
        <f t="shared" si="81"/>
        <v>0</v>
      </c>
      <c r="F138" s="138">
        <f t="shared" si="81"/>
        <v>0</v>
      </c>
      <c r="G138" s="138">
        <f t="shared" si="81"/>
        <v>0</v>
      </c>
      <c r="H138" s="138">
        <f t="shared" si="81"/>
        <v>0</v>
      </c>
      <c r="I138" s="138">
        <f t="shared" si="81"/>
        <v>0</v>
      </c>
      <c r="J138" s="138">
        <f t="shared" si="81"/>
        <v>0</v>
      </c>
      <c r="K138" s="138">
        <f t="shared" si="81"/>
        <v>0</v>
      </c>
      <c r="L138" s="138">
        <f t="shared" si="81"/>
        <v>0</v>
      </c>
      <c r="M138" s="138">
        <f t="shared" si="81"/>
        <v>0</v>
      </c>
      <c r="N138" s="138">
        <f t="shared" si="81"/>
        <v>0</v>
      </c>
      <c r="O138" s="138">
        <f t="shared" si="81"/>
        <v>0</v>
      </c>
      <c r="P138" s="138">
        <f t="shared" si="81"/>
        <v>0</v>
      </c>
      <c r="Q138" s="138">
        <f t="shared" si="81"/>
        <v>0</v>
      </c>
      <c r="R138" s="138">
        <f t="shared" si="81"/>
        <v>0</v>
      </c>
      <c r="S138" s="138">
        <f t="shared" si="81"/>
        <v>0</v>
      </c>
      <c r="T138" s="138">
        <f t="shared" si="81"/>
        <v>0</v>
      </c>
      <c r="U138" s="138">
        <f t="shared" si="81"/>
        <v>0</v>
      </c>
      <c r="V138" s="138">
        <f t="shared" si="81"/>
        <v>0</v>
      </c>
      <c r="W138" s="138">
        <f t="shared" si="81"/>
        <v>0</v>
      </c>
      <c r="X138" s="138">
        <f t="shared" si="81"/>
        <v>0</v>
      </c>
      <c r="Y138" s="138">
        <f t="shared" si="81"/>
        <v>0</v>
      </c>
      <c r="Z138" s="138">
        <f t="shared" si="81"/>
        <v>0</v>
      </c>
      <c r="AA138" s="128">
        <f t="shared" si="81"/>
        <v>0</v>
      </c>
      <c r="AB138" s="238"/>
      <c r="AC138" s="239"/>
    </row>
    <row r="139" spans="1:29" ht="19.5" x14ac:dyDescent="0.4">
      <c r="A139" s="242">
        <f t="shared" si="45"/>
        <v>34</v>
      </c>
      <c r="B139" s="243" t="str">
        <f>STUD!B68</f>
        <v>PINKY</v>
      </c>
      <c r="C139" s="244">
        <f t="shared" ref="C139" si="82">SUM(D140:AB140)</f>
        <v>10.9</v>
      </c>
      <c r="D139" s="14">
        <v>9</v>
      </c>
      <c r="E139" s="14">
        <v>6</v>
      </c>
      <c r="F139" s="14">
        <v>3</v>
      </c>
      <c r="G139" s="14">
        <v>5</v>
      </c>
      <c r="H139" s="14">
        <v>12</v>
      </c>
      <c r="I139" s="14">
        <v>4</v>
      </c>
      <c r="J139" s="14">
        <v>4</v>
      </c>
      <c r="K139" s="14">
        <v>4</v>
      </c>
      <c r="L139" s="14">
        <v>3</v>
      </c>
      <c r="M139" s="14">
        <v>9</v>
      </c>
      <c r="N139" s="14">
        <v>2</v>
      </c>
      <c r="O139" s="14">
        <v>14</v>
      </c>
      <c r="P139" s="14">
        <v>3</v>
      </c>
      <c r="Q139" s="14">
        <v>7</v>
      </c>
      <c r="R139" s="14">
        <v>7</v>
      </c>
      <c r="S139" s="14">
        <v>8</v>
      </c>
      <c r="T139" s="14">
        <v>8</v>
      </c>
      <c r="U139" s="14">
        <v>8</v>
      </c>
      <c r="V139" s="14">
        <v>7</v>
      </c>
      <c r="W139" s="14">
        <v>8</v>
      </c>
      <c r="X139" s="14">
        <v>13</v>
      </c>
      <c r="Y139" s="14">
        <v>12</v>
      </c>
      <c r="Z139" s="14">
        <v>14</v>
      </c>
      <c r="AA139" s="238"/>
      <c r="AB139" s="238"/>
      <c r="AC139" s="239"/>
    </row>
    <row r="140" spans="1:29" ht="19.5" x14ac:dyDescent="0.4">
      <c r="A140" s="242"/>
      <c r="B140" s="243"/>
      <c r="C140" s="245"/>
      <c r="D140" s="138">
        <f t="shared" ref="D140:Z140" si="83">IF(IFERROR(IF(VLOOKUP(D139,D$181:D$185,1,0)&gt;=1,D$180,0),D139)=D$162,D$166,IF(IFERROR(IF(VLOOKUP(D139,D$181:D$185,1,0)&gt;=1,D$180,0),D139)=D$169,D$172,IF(IFERROR(IF(VLOOKUP(D139,D$181:D$185,1,0)&gt;=1,D$180,0),D139)=D$175,D$177,0)))</f>
        <v>9.7000000000000011</v>
      </c>
      <c r="E140" s="138">
        <f t="shared" si="83"/>
        <v>1.2</v>
      </c>
      <c r="F140" s="138">
        <f t="shared" si="83"/>
        <v>0</v>
      </c>
      <c r="G140" s="138">
        <f t="shared" si="83"/>
        <v>0</v>
      </c>
      <c r="H140" s="138">
        <f t="shared" si="83"/>
        <v>0</v>
      </c>
      <c r="I140" s="138">
        <f t="shared" si="83"/>
        <v>0</v>
      </c>
      <c r="J140" s="138">
        <f t="shared" si="83"/>
        <v>0</v>
      </c>
      <c r="K140" s="138">
        <f t="shared" si="83"/>
        <v>0</v>
      </c>
      <c r="L140" s="138">
        <f t="shared" si="83"/>
        <v>0</v>
      </c>
      <c r="M140" s="138">
        <f t="shared" si="83"/>
        <v>0</v>
      </c>
      <c r="N140" s="138">
        <f t="shared" si="83"/>
        <v>0</v>
      </c>
      <c r="O140" s="138">
        <f t="shared" si="83"/>
        <v>0</v>
      </c>
      <c r="P140" s="138">
        <f t="shared" si="83"/>
        <v>0</v>
      </c>
      <c r="Q140" s="138">
        <f t="shared" si="83"/>
        <v>0</v>
      </c>
      <c r="R140" s="138">
        <f t="shared" si="83"/>
        <v>0</v>
      </c>
      <c r="S140" s="138">
        <f t="shared" si="83"/>
        <v>0</v>
      </c>
      <c r="T140" s="138">
        <f t="shared" si="83"/>
        <v>0</v>
      </c>
      <c r="U140" s="138">
        <f t="shared" si="83"/>
        <v>0</v>
      </c>
      <c r="V140" s="138">
        <f t="shared" si="83"/>
        <v>0</v>
      </c>
      <c r="W140" s="138">
        <f t="shared" si="83"/>
        <v>0</v>
      </c>
      <c r="X140" s="138">
        <f t="shared" si="83"/>
        <v>0</v>
      </c>
      <c r="Y140" s="138">
        <f t="shared" si="83"/>
        <v>0</v>
      </c>
      <c r="Z140" s="138">
        <f t="shared" si="83"/>
        <v>0</v>
      </c>
      <c r="AA140" s="238"/>
      <c r="AB140" s="238"/>
      <c r="AC140" s="239"/>
    </row>
    <row r="141" spans="1:29" ht="19.5" x14ac:dyDescent="0.4">
      <c r="A141" s="242">
        <f t="shared" si="45"/>
        <v>35</v>
      </c>
      <c r="B141" s="243" t="str">
        <f>STUD!B69</f>
        <v>MG</v>
      </c>
      <c r="C141" s="244">
        <f t="shared" ref="C141" si="84">SUM(D142:AB142)</f>
        <v>9.7000000000000011</v>
      </c>
      <c r="D141" s="135">
        <v>9</v>
      </c>
      <c r="E141" s="135">
        <v>4</v>
      </c>
      <c r="F141" s="135">
        <v>5</v>
      </c>
      <c r="G141" s="135">
        <v>9</v>
      </c>
      <c r="H141" s="135">
        <v>14</v>
      </c>
      <c r="I141" s="135">
        <v>7</v>
      </c>
      <c r="J141" s="135">
        <v>2</v>
      </c>
      <c r="K141" s="135">
        <v>6</v>
      </c>
      <c r="L141" s="135">
        <v>1</v>
      </c>
      <c r="M141" s="135">
        <v>7</v>
      </c>
      <c r="N141" s="135">
        <v>4</v>
      </c>
      <c r="O141" s="135">
        <v>6</v>
      </c>
      <c r="P141" s="135">
        <v>10</v>
      </c>
      <c r="Q141" s="135">
        <v>3</v>
      </c>
      <c r="R141" s="135">
        <v>6</v>
      </c>
      <c r="S141" s="135">
        <v>4</v>
      </c>
      <c r="T141" s="135">
        <v>4</v>
      </c>
      <c r="U141" s="135">
        <v>4</v>
      </c>
      <c r="V141" s="135">
        <v>6</v>
      </c>
      <c r="W141" s="135">
        <v>9</v>
      </c>
      <c r="X141" s="135">
        <v>2</v>
      </c>
      <c r="Y141" s="135">
        <v>3</v>
      </c>
      <c r="Z141" s="135">
        <v>8</v>
      </c>
      <c r="AA141" s="238"/>
      <c r="AB141" s="238"/>
      <c r="AC141" s="239"/>
    </row>
    <row r="142" spans="1:29" ht="19.5" x14ac:dyDescent="0.4">
      <c r="A142" s="242"/>
      <c r="B142" s="243"/>
      <c r="C142" s="245"/>
      <c r="D142" s="138">
        <f t="shared" ref="D142:Z142" si="85">IF(IFERROR(IF(VLOOKUP(D141,D$181:D$185,1,0)&gt;=1,D$180,0),D141)=D$162,D$166,IF(IFERROR(IF(VLOOKUP(D141,D$181:D$185,1,0)&gt;=1,D$180,0),D141)=D$169,D$172,IF(IFERROR(IF(VLOOKUP(D141,D$181:D$185,1,0)&gt;=1,D$180,0),D141)=D$175,D$177,0)))</f>
        <v>9.7000000000000011</v>
      </c>
      <c r="E142" s="138">
        <f t="shared" si="85"/>
        <v>0</v>
      </c>
      <c r="F142" s="138">
        <f t="shared" si="85"/>
        <v>0</v>
      </c>
      <c r="G142" s="138">
        <f t="shared" si="85"/>
        <v>0</v>
      </c>
      <c r="H142" s="138">
        <f t="shared" si="85"/>
        <v>0</v>
      </c>
      <c r="I142" s="138">
        <f t="shared" si="85"/>
        <v>0</v>
      </c>
      <c r="J142" s="138">
        <f t="shared" si="85"/>
        <v>0</v>
      </c>
      <c r="K142" s="138">
        <f t="shared" si="85"/>
        <v>0</v>
      </c>
      <c r="L142" s="138">
        <f t="shared" si="85"/>
        <v>0</v>
      </c>
      <c r="M142" s="138">
        <f t="shared" si="85"/>
        <v>0</v>
      </c>
      <c r="N142" s="138">
        <f t="shared" si="85"/>
        <v>0</v>
      </c>
      <c r="O142" s="138">
        <f t="shared" si="85"/>
        <v>0</v>
      </c>
      <c r="P142" s="138">
        <f t="shared" si="85"/>
        <v>0</v>
      </c>
      <c r="Q142" s="138">
        <f t="shared" si="85"/>
        <v>0</v>
      </c>
      <c r="R142" s="138">
        <f t="shared" si="85"/>
        <v>0</v>
      </c>
      <c r="S142" s="138">
        <f t="shared" si="85"/>
        <v>0</v>
      </c>
      <c r="T142" s="138">
        <f t="shared" si="85"/>
        <v>0</v>
      </c>
      <c r="U142" s="138">
        <f t="shared" si="85"/>
        <v>0</v>
      </c>
      <c r="V142" s="138">
        <f t="shared" si="85"/>
        <v>0</v>
      </c>
      <c r="W142" s="138">
        <f t="shared" si="85"/>
        <v>0</v>
      </c>
      <c r="X142" s="138">
        <f t="shared" si="85"/>
        <v>0</v>
      </c>
      <c r="Y142" s="138">
        <f t="shared" si="85"/>
        <v>0</v>
      </c>
      <c r="Z142" s="138">
        <f t="shared" si="85"/>
        <v>0</v>
      </c>
      <c r="AA142" s="238"/>
      <c r="AB142" s="238"/>
      <c r="AC142" s="239"/>
    </row>
    <row r="143" spans="1:29" ht="19.5" x14ac:dyDescent="0.4">
      <c r="A143" s="242">
        <f t="shared" si="45"/>
        <v>36</v>
      </c>
      <c r="B143" s="243" t="str">
        <f>STUD!B70</f>
        <v>ROMATRI</v>
      </c>
      <c r="C143" s="244">
        <f t="shared" ref="C143" si="86">SUM(D144:AB144)</f>
        <v>3.9000000000000004</v>
      </c>
      <c r="D143" s="135">
        <v>12</v>
      </c>
      <c r="E143" s="135">
        <v>10</v>
      </c>
      <c r="F143" s="135">
        <v>6</v>
      </c>
      <c r="G143" s="135">
        <v>9</v>
      </c>
      <c r="H143" s="135">
        <v>5</v>
      </c>
      <c r="I143" s="135">
        <v>12</v>
      </c>
      <c r="J143" s="135">
        <v>4</v>
      </c>
      <c r="K143" s="135">
        <v>10</v>
      </c>
      <c r="L143" s="135">
        <v>6</v>
      </c>
      <c r="M143" s="135">
        <v>1</v>
      </c>
      <c r="N143" s="135">
        <v>3</v>
      </c>
      <c r="O143" s="135">
        <v>11</v>
      </c>
      <c r="P143" s="135">
        <v>11</v>
      </c>
      <c r="Q143" s="135">
        <v>6</v>
      </c>
      <c r="R143" s="135">
        <v>7</v>
      </c>
      <c r="S143" s="135">
        <v>7</v>
      </c>
      <c r="T143" s="135">
        <v>5</v>
      </c>
      <c r="U143" s="135">
        <v>13</v>
      </c>
      <c r="V143" s="135">
        <v>5</v>
      </c>
      <c r="W143" s="135">
        <v>1</v>
      </c>
      <c r="X143" s="135">
        <v>4</v>
      </c>
      <c r="Y143" s="135">
        <v>5</v>
      </c>
      <c r="Z143" s="135">
        <v>11</v>
      </c>
      <c r="AA143" s="238"/>
      <c r="AB143" s="238"/>
      <c r="AC143" s="239"/>
    </row>
    <row r="144" spans="1:29" ht="19.5" x14ac:dyDescent="0.4">
      <c r="A144" s="242"/>
      <c r="B144" s="243"/>
      <c r="C144" s="245"/>
      <c r="D144" s="138">
        <f t="shared" ref="D144:Z144" si="87">IF(IFERROR(IF(VLOOKUP(D143,D$181:D$185,1,0)&gt;=1,D$180,0),D143)=D$162,D$166,IF(IFERROR(IF(VLOOKUP(D143,D$181:D$185,1,0)&gt;=1,D$180,0),D143)=D$169,D$172,IF(IFERROR(IF(VLOOKUP(D143,D$181:D$185,1,0)&gt;=1,D$180,0),D143)=D$175,D$177,0)))</f>
        <v>3.9000000000000004</v>
      </c>
      <c r="E144" s="138">
        <f t="shared" si="87"/>
        <v>0</v>
      </c>
      <c r="F144" s="138">
        <f t="shared" si="87"/>
        <v>0</v>
      </c>
      <c r="G144" s="138">
        <f t="shared" si="87"/>
        <v>0</v>
      </c>
      <c r="H144" s="138">
        <f t="shared" si="87"/>
        <v>0</v>
      </c>
      <c r="I144" s="138">
        <f t="shared" si="87"/>
        <v>0</v>
      </c>
      <c r="J144" s="138">
        <f t="shared" si="87"/>
        <v>0</v>
      </c>
      <c r="K144" s="138">
        <f t="shared" si="87"/>
        <v>0</v>
      </c>
      <c r="L144" s="138">
        <f t="shared" si="87"/>
        <v>0</v>
      </c>
      <c r="M144" s="138">
        <f t="shared" si="87"/>
        <v>0</v>
      </c>
      <c r="N144" s="138">
        <f t="shared" si="87"/>
        <v>0</v>
      </c>
      <c r="O144" s="138">
        <f t="shared" si="87"/>
        <v>0</v>
      </c>
      <c r="P144" s="138">
        <f t="shared" si="87"/>
        <v>0</v>
      </c>
      <c r="Q144" s="138">
        <f t="shared" si="87"/>
        <v>0</v>
      </c>
      <c r="R144" s="138">
        <f t="shared" si="87"/>
        <v>0</v>
      </c>
      <c r="S144" s="138">
        <f t="shared" si="87"/>
        <v>0</v>
      </c>
      <c r="T144" s="138">
        <f t="shared" si="87"/>
        <v>0</v>
      </c>
      <c r="U144" s="138">
        <f t="shared" si="87"/>
        <v>0</v>
      </c>
      <c r="V144" s="138">
        <f t="shared" si="87"/>
        <v>0</v>
      </c>
      <c r="W144" s="138">
        <f t="shared" si="87"/>
        <v>0</v>
      </c>
      <c r="X144" s="138">
        <f t="shared" si="87"/>
        <v>0</v>
      </c>
      <c r="Y144" s="138">
        <f t="shared" si="87"/>
        <v>0</v>
      </c>
      <c r="Z144" s="138">
        <f t="shared" si="87"/>
        <v>0</v>
      </c>
      <c r="AA144" s="238"/>
      <c r="AB144" s="238"/>
      <c r="AC144" s="239"/>
    </row>
    <row r="145" spans="1:29" ht="19.5" x14ac:dyDescent="0.4">
      <c r="A145" s="242">
        <f t="shared" ref="A145:A157" si="88">+A143+1</f>
        <v>37</v>
      </c>
      <c r="B145" s="243" t="str">
        <f>STUD!B71</f>
        <v>PASASTE BANDIDO</v>
      </c>
      <c r="C145" s="244">
        <f t="shared" ref="C145" si="89">SUM(D146:AB146)</f>
        <v>4</v>
      </c>
      <c r="D145" s="14">
        <v>10</v>
      </c>
      <c r="E145" s="14">
        <v>1</v>
      </c>
      <c r="F145" s="14">
        <v>5</v>
      </c>
      <c r="G145" s="14">
        <v>11</v>
      </c>
      <c r="H145" s="14">
        <v>14</v>
      </c>
      <c r="I145" s="14">
        <v>9</v>
      </c>
      <c r="J145" s="14">
        <v>5</v>
      </c>
      <c r="K145" s="14">
        <v>2</v>
      </c>
      <c r="L145" s="14">
        <v>1</v>
      </c>
      <c r="M145" s="14">
        <v>14</v>
      </c>
      <c r="N145" s="14">
        <v>4</v>
      </c>
      <c r="O145" s="14">
        <v>11</v>
      </c>
      <c r="P145" s="14">
        <v>3</v>
      </c>
      <c r="Q145" s="14">
        <v>1</v>
      </c>
      <c r="R145" s="14">
        <v>2</v>
      </c>
      <c r="S145" s="14">
        <v>8</v>
      </c>
      <c r="T145" s="14">
        <v>2</v>
      </c>
      <c r="U145" s="14">
        <v>10</v>
      </c>
      <c r="V145" s="14">
        <v>7</v>
      </c>
      <c r="W145" s="14">
        <v>8</v>
      </c>
      <c r="X145" s="14">
        <v>13</v>
      </c>
      <c r="Y145" s="14">
        <v>7</v>
      </c>
      <c r="Z145" s="14">
        <v>4</v>
      </c>
      <c r="AA145" s="238"/>
      <c r="AB145" s="238"/>
      <c r="AC145" s="239"/>
    </row>
    <row r="146" spans="1:29" ht="19.5" x14ac:dyDescent="0.4">
      <c r="A146" s="242"/>
      <c r="B146" s="243"/>
      <c r="C146" s="245"/>
      <c r="D146" s="138">
        <f t="shared" ref="D146:Z146" si="90">IF(IFERROR(IF(VLOOKUP(D145,D$181:D$185,1,0)&gt;=1,D$180,0),D145)=D$162,D$166,IF(IFERROR(IF(VLOOKUP(D145,D$181:D$185,1,0)&gt;=1,D$180,0),D145)=D$169,D$172,IF(IFERROR(IF(VLOOKUP(D145,D$181:D$185,1,0)&gt;=1,D$180,0),D145)=D$175,D$177,0)))</f>
        <v>0</v>
      </c>
      <c r="E146" s="138">
        <f t="shared" si="90"/>
        <v>4</v>
      </c>
      <c r="F146" s="138">
        <f t="shared" si="90"/>
        <v>0</v>
      </c>
      <c r="G146" s="138">
        <f t="shared" si="90"/>
        <v>0</v>
      </c>
      <c r="H146" s="138">
        <f t="shared" si="90"/>
        <v>0</v>
      </c>
      <c r="I146" s="138">
        <f t="shared" si="90"/>
        <v>0</v>
      </c>
      <c r="J146" s="138">
        <f t="shared" si="90"/>
        <v>0</v>
      </c>
      <c r="K146" s="138">
        <f t="shared" si="90"/>
        <v>0</v>
      </c>
      <c r="L146" s="138">
        <f t="shared" si="90"/>
        <v>0</v>
      </c>
      <c r="M146" s="138">
        <f t="shared" si="90"/>
        <v>0</v>
      </c>
      <c r="N146" s="138">
        <f t="shared" si="90"/>
        <v>0</v>
      </c>
      <c r="O146" s="138">
        <f t="shared" si="90"/>
        <v>0</v>
      </c>
      <c r="P146" s="138">
        <f t="shared" si="90"/>
        <v>0</v>
      </c>
      <c r="Q146" s="138">
        <f t="shared" si="90"/>
        <v>0</v>
      </c>
      <c r="R146" s="138">
        <f t="shared" si="90"/>
        <v>0</v>
      </c>
      <c r="S146" s="138">
        <f t="shared" si="90"/>
        <v>0</v>
      </c>
      <c r="T146" s="138">
        <f t="shared" si="90"/>
        <v>0</v>
      </c>
      <c r="U146" s="138">
        <f t="shared" si="90"/>
        <v>0</v>
      </c>
      <c r="V146" s="138">
        <f t="shared" si="90"/>
        <v>0</v>
      </c>
      <c r="W146" s="138">
        <f t="shared" si="90"/>
        <v>0</v>
      </c>
      <c r="X146" s="138">
        <f t="shared" si="90"/>
        <v>0</v>
      </c>
      <c r="Y146" s="138">
        <f t="shared" si="90"/>
        <v>0</v>
      </c>
      <c r="Z146" s="138">
        <f t="shared" si="90"/>
        <v>0</v>
      </c>
      <c r="AA146" s="238"/>
      <c r="AB146" s="238"/>
      <c r="AC146" s="239"/>
    </row>
    <row r="147" spans="1:29" ht="19.5" x14ac:dyDescent="0.4">
      <c r="A147" s="242">
        <f t="shared" si="88"/>
        <v>38</v>
      </c>
      <c r="B147" s="243" t="str">
        <f>STUD!B72</f>
        <v>STORMILORD</v>
      </c>
      <c r="C147" s="244">
        <f t="shared" ref="C147" si="91">SUM(D148:AB148)</f>
        <v>0</v>
      </c>
      <c r="D147" s="135">
        <v>2</v>
      </c>
      <c r="E147" s="135">
        <v>3</v>
      </c>
      <c r="F147" s="135">
        <v>6</v>
      </c>
      <c r="G147" s="135">
        <v>10</v>
      </c>
      <c r="H147" s="135">
        <v>9</v>
      </c>
      <c r="I147" s="135">
        <v>11</v>
      </c>
      <c r="J147" s="135">
        <v>4</v>
      </c>
      <c r="K147" s="135">
        <v>12</v>
      </c>
      <c r="L147" s="135">
        <v>5</v>
      </c>
      <c r="M147" s="135">
        <v>6</v>
      </c>
      <c r="N147" s="135">
        <v>2</v>
      </c>
      <c r="O147" s="135">
        <v>7</v>
      </c>
      <c r="P147" s="135">
        <v>10</v>
      </c>
      <c r="Q147" s="135">
        <v>9</v>
      </c>
      <c r="R147" s="135">
        <v>6</v>
      </c>
      <c r="S147" s="135">
        <v>2</v>
      </c>
      <c r="T147" s="135">
        <v>9</v>
      </c>
      <c r="U147" s="135">
        <v>9</v>
      </c>
      <c r="V147" s="135">
        <v>2</v>
      </c>
      <c r="W147" s="135">
        <v>2</v>
      </c>
      <c r="X147" s="135">
        <v>14</v>
      </c>
      <c r="Y147" s="135">
        <v>5</v>
      </c>
      <c r="Z147" s="135">
        <v>8</v>
      </c>
      <c r="AA147" s="238"/>
      <c r="AB147" s="238"/>
      <c r="AC147" s="239"/>
    </row>
    <row r="148" spans="1:29" ht="19.5" x14ac:dyDescent="0.4">
      <c r="A148" s="242"/>
      <c r="B148" s="243"/>
      <c r="C148" s="245"/>
      <c r="D148" s="138">
        <f t="shared" ref="D148:Z148" si="92">IF(IFERROR(IF(VLOOKUP(D147,D$181:D$185,1,0)&gt;=1,D$180,0),D147)=D$162,D$166,IF(IFERROR(IF(VLOOKUP(D147,D$181:D$185,1,0)&gt;=1,D$180,0),D147)=D$169,D$172,IF(IFERROR(IF(VLOOKUP(D147,D$181:D$185,1,0)&gt;=1,D$180,0),D147)=D$175,D$177,0)))</f>
        <v>0</v>
      </c>
      <c r="E148" s="138">
        <f t="shared" si="92"/>
        <v>0</v>
      </c>
      <c r="F148" s="138">
        <f t="shared" si="92"/>
        <v>0</v>
      </c>
      <c r="G148" s="138">
        <f t="shared" si="92"/>
        <v>0</v>
      </c>
      <c r="H148" s="138">
        <f t="shared" si="92"/>
        <v>0</v>
      </c>
      <c r="I148" s="138">
        <f t="shared" si="92"/>
        <v>0</v>
      </c>
      <c r="J148" s="138">
        <f t="shared" si="92"/>
        <v>0</v>
      </c>
      <c r="K148" s="138">
        <f t="shared" si="92"/>
        <v>0</v>
      </c>
      <c r="L148" s="138">
        <f t="shared" si="92"/>
        <v>0</v>
      </c>
      <c r="M148" s="138">
        <f t="shared" si="92"/>
        <v>0</v>
      </c>
      <c r="N148" s="138">
        <f t="shared" si="92"/>
        <v>0</v>
      </c>
      <c r="O148" s="138">
        <f t="shared" si="92"/>
        <v>0</v>
      </c>
      <c r="P148" s="138">
        <f t="shared" si="92"/>
        <v>0</v>
      </c>
      <c r="Q148" s="138">
        <f t="shared" si="92"/>
        <v>0</v>
      </c>
      <c r="R148" s="138">
        <f t="shared" si="92"/>
        <v>0</v>
      </c>
      <c r="S148" s="138">
        <f t="shared" si="92"/>
        <v>0</v>
      </c>
      <c r="T148" s="138">
        <f t="shared" si="92"/>
        <v>0</v>
      </c>
      <c r="U148" s="138">
        <f t="shared" si="92"/>
        <v>0</v>
      </c>
      <c r="V148" s="138">
        <f t="shared" si="92"/>
        <v>0</v>
      </c>
      <c r="W148" s="138">
        <f t="shared" si="92"/>
        <v>0</v>
      </c>
      <c r="X148" s="138">
        <f t="shared" si="92"/>
        <v>0</v>
      </c>
      <c r="Y148" s="138">
        <f t="shared" si="92"/>
        <v>0</v>
      </c>
      <c r="Z148" s="138">
        <f t="shared" si="92"/>
        <v>0</v>
      </c>
      <c r="AA148" s="238"/>
      <c r="AB148" s="238"/>
      <c r="AC148" s="239"/>
    </row>
    <row r="149" spans="1:29" ht="19.5" hidden="1" x14ac:dyDescent="0.4">
      <c r="A149" s="242">
        <f t="shared" si="88"/>
        <v>39</v>
      </c>
      <c r="B149" s="243">
        <f>STUD!B84</f>
        <v>0</v>
      </c>
      <c r="C149" s="244">
        <f t="shared" ref="C149" si="93">SUM(D150:AB150)</f>
        <v>0</v>
      </c>
      <c r="D149" s="135"/>
      <c r="E149" s="135"/>
      <c r="F149" s="135"/>
      <c r="G149" s="135"/>
      <c r="H149" s="135"/>
      <c r="I149" s="135"/>
      <c r="J149" s="135"/>
      <c r="K149" s="135"/>
      <c r="L149" s="135"/>
      <c r="M149" s="135"/>
      <c r="N149" s="135"/>
      <c r="O149" s="135"/>
      <c r="P149" s="135"/>
      <c r="Q149" s="135"/>
      <c r="R149" s="135"/>
      <c r="S149" s="135"/>
      <c r="T149" s="135"/>
      <c r="U149" s="135"/>
      <c r="V149" s="135"/>
      <c r="W149" s="135"/>
      <c r="X149" s="135"/>
      <c r="Y149" s="220"/>
      <c r="Z149" s="220"/>
      <c r="AA149" s="238"/>
      <c r="AB149" s="238"/>
      <c r="AC149" s="239"/>
    </row>
    <row r="150" spans="1:29" ht="19.5" hidden="1" x14ac:dyDescent="0.4">
      <c r="A150" s="242"/>
      <c r="B150" s="243"/>
      <c r="C150" s="245"/>
      <c r="D150" s="138">
        <f t="shared" ref="D150:Z150" si="94">IF(IFERROR(IF(VLOOKUP(D149,D$181:D$185,1,0)&gt;=1,D$180,0),D149)=D$162,D$166,IF(IFERROR(IF(VLOOKUP(D149,D$181:D$185,1,0)&gt;=1,D$180,0),D149)=D$169,D$172,IF(IFERROR(IF(VLOOKUP(D149,D$181:D$185,1,0)&gt;=1,D$180,0),D149)=D$175,D$177,0)))</f>
        <v>0</v>
      </c>
      <c r="E150" s="138">
        <f t="shared" si="94"/>
        <v>0</v>
      </c>
      <c r="F150" s="138">
        <f t="shared" si="94"/>
        <v>0</v>
      </c>
      <c r="G150" s="138">
        <f t="shared" si="94"/>
        <v>0</v>
      </c>
      <c r="H150" s="138">
        <f t="shared" si="94"/>
        <v>0</v>
      </c>
      <c r="I150" s="138">
        <f t="shared" si="94"/>
        <v>0</v>
      </c>
      <c r="J150" s="138">
        <f t="shared" si="94"/>
        <v>0</v>
      </c>
      <c r="K150" s="138">
        <f t="shared" si="94"/>
        <v>0</v>
      </c>
      <c r="L150" s="138">
        <f t="shared" si="94"/>
        <v>0</v>
      </c>
      <c r="M150" s="138">
        <f t="shared" si="94"/>
        <v>0</v>
      </c>
      <c r="N150" s="138">
        <f t="shared" si="94"/>
        <v>0</v>
      </c>
      <c r="O150" s="138">
        <f t="shared" si="94"/>
        <v>0</v>
      </c>
      <c r="P150" s="138">
        <f t="shared" si="94"/>
        <v>0</v>
      </c>
      <c r="Q150" s="138">
        <f t="shared" si="94"/>
        <v>0</v>
      </c>
      <c r="R150" s="138">
        <f t="shared" si="94"/>
        <v>0</v>
      </c>
      <c r="S150" s="138">
        <f t="shared" si="94"/>
        <v>0</v>
      </c>
      <c r="T150" s="138">
        <f t="shared" si="94"/>
        <v>0</v>
      </c>
      <c r="U150" s="138">
        <f t="shared" si="94"/>
        <v>0</v>
      </c>
      <c r="V150" s="138">
        <f t="shared" si="94"/>
        <v>0</v>
      </c>
      <c r="W150" s="138">
        <f t="shared" si="94"/>
        <v>0</v>
      </c>
      <c r="X150" s="138">
        <f t="shared" si="94"/>
        <v>0</v>
      </c>
      <c r="Y150" s="138">
        <f t="shared" si="94"/>
        <v>0</v>
      </c>
      <c r="Z150" s="138">
        <f t="shared" si="94"/>
        <v>0</v>
      </c>
      <c r="AA150" s="238"/>
      <c r="AB150" s="238"/>
      <c r="AC150" s="239"/>
    </row>
    <row r="151" spans="1:29" ht="19.5" hidden="1" x14ac:dyDescent="0.4">
      <c r="A151" s="242">
        <f t="shared" si="88"/>
        <v>40</v>
      </c>
      <c r="B151" s="243">
        <f>STUD!B86</f>
        <v>0</v>
      </c>
      <c r="C151" s="244">
        <f t="shared" ref="C151" si="95">SUM(D152:AB152)</f>
        <v>0</v>
      </c>
      <c r="D151" s="135"/>
      <c r="E151" s="135"/>
      <c r="F151" s="135"/>
      <c r="G151" s="135"/>
      <c r="H151" s="135"/>
      <c r="I151" s="135"/>
      <c r="J151" s="135"/>
      <c r="K151" s="135"/>
      <c r="L151" s="135"/>
      <c r="M151" s="135"/>
      <c r="N151" s="135"/>
      <c r="O151" s="135"/>
      <c r="P151" s="135"/>
      <c r="Q151" s="135"/>
      <c r="R151" s="135"/>
      <c r="S151" s="135"/>
      <c r="T151" s="135"/>
      <c r="U151" s="135"/>
      <c r="V151" s="135"/>
      <c r="W151" s="135"/>
      <c r="X151" s="135"/>
      <c r="Y151" s="220"/>
      <c r="Z151" s="220"/>
      <c r="AA151" s="238"/>
      <c r="AB151" s="238"/>
      <c r="AC151" s="239"/>
    </row>
    <row r="152" spans="1:29" ht="19.5" hidden="1" x14ac:dyDescent="0.4">
      <c r="A152" s="242"/>
      <c r="B152" s="243"/>
      <c r="C152" s="245"/>
      <c r="D152" s="138">
        <f t="shared" ref="D152:Z152" si="96">IF(IFERROR(IF(VLOOKUP(D151,D$181:D$185,1,0)&gt;=1,D$180,0),D151)=D$162,D$166,IF(IFERROR(IF(VLOOKUP(D151,D$181:D$185,1,0)&gt;=1,D$180,0),D151)=D$169,D$172,IF(IFERROR(IF(VLOOKUP(D151,D$181:D$185,1,0)&gt;=1,D$180,0),D151)=D$175,D$177,0)))</f>
        <v>0</v>
      </c>
      <c r="E152" s="138">
        <f t="shared" si="96"/>
        <v>0</v>
      </c>
      <c r="F152" s="138">
        <f t="shared" si="96"/>
        <v>0</v>
      </c>
      <c r="G152" s="138">
        <f t="shared" si="96"/>
        <v>0</v>
      </c>
      <c r="H152" s="138">
        <f t="shared" si="96"/>
        <v>0</v>
      </c>
      <c r="I152" s="138">
        <f t="shared" si="96"/>
        <v>0</v>
      </c>
      <c r="J152" s="138">
        <f t="shared" si="96"/>
        <v>0</v>
      </c>
      <c r="K152" s="138">
        <f t="shared" si="96"/>
        <v>0</v>
      </c>
      <c r="L152" s="138">
        <f t="shared" si="96"/>
        <v>0</v>
      </c>
      <c r="M152" s="138">
        <f t="shared" si="96"/>
        <v>0</v>
      </c>
      <c r="N152" s="138">
        <f t="shared" si="96"/>
        <v>0</v>
      </c>
      <c r="O152" s="138">
        <f t="shared" si="96"/>
        <v>0</v>
      </c>
      <c r="P152" s="138">
        <f t="shared" si="96"/>
        <v>0</v>
      </c>
      <c r="Q152" s="138">
        <f t="shared" si="96"/>
        <v>0</v>
      </c>
      <c r="R152" s="138">
        <f t="shared" si="96"/>
        <v>0</v>
      </c>
      <c r="S152" s="138">
        <f t="shared" si="96"/>
        <v>0</v>
      </c>
      <c r="T152" s="138">
        <f t="shared" si="96"/>
        <v>0</v>
      </c>
      <c r="U152" s="138">
        <f t="shared" si="96"/>
        <v>0</v>
      </c>
      <c r="V152" s="138">
        <f t="shared" si="96"/>
        <v>0</v>
      </c>
      <c r="W152" s="138">
        <f t="shared" si="96"/>
        <v>0</v>
      </c>
      <c r="X152" s="138">
        <f t="shared" si="96"/>
        <v>0</v>
      </c>
      <c r="Y152" s="138">
        <f t="shared" si="96"/>
        <v>0</v>
      </c>
      <c r="Z152" s="138">
        <f t="shared" si="96"/>
        <v>0</v>
      </c>
      <c r="AA152" s="238"/>
      <c r="AB152" s="238"/>
      <c r="AC152" s="239"/>
    </row>
    <row r="153" spans="1:29" ht="19.5" hidden="1" x14ac:dyDescent="0.4">
      <c r="A153" s="242">
        <f t="shared" si="88"/>
        <v>41</v>
      </c>
      <c r="B153" s="243">
        <f>STUD!B88</f>
        <v>0</v>
      </c>
      <c r="C153" s="244">
        <f t="shared" ref="C153" si="97">SUM(D154:AB154)</f>
        <v>0</v>
      </c>
      <c r="D153" s="135"/>
      <c r="E153" s="135"/>
      <c r="F153" s="135"/>
      <c r="G153" s="135"/>
      <c r="H153" s="135"/>
      <c r="I153" s="135"/>
      <c r="J153" s="135"/>
      <c r="K153" s="135"/>
      <c r="L153" s="135"/>
      <c r="M153" s="135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220"/>
      <c r="Z153" s="220"/>
      <c r="AA153" s="238"/>
      <c r="AB153" s="238"/>
      <c r="AC153" s="239"/>
    </row>
    <row r="154" spans="1:29" ht="19.5" hidden="1" x14ac:dyDescent="0.4">
      <c r="A154" s="242"/>
      <c r="B154" s="243"/>
      <c r="C154" s="245"/>
      <c r="D154" s="138">
        <f t="shared" ref="D154:Z154" si="98">IF(IFERROR(IF(VLOOKUP(D153,D$181:D$185,1,0)&gt;=1,D$180,0),D153)=D$162,D$166,IF(IFERROR(IF(VLOOKUP(D153,D$181:D$185,1,0)&gt;=1,D$180,0),D153)=D$169,D$172,IF(IFERROR(IF(VLOOKUP(D153,D$181:D$185,1,0)&gt;=1,D$180,0),D153)=D$175,D$177,0)))</f>
        <v>0</v>
      </c>
      <c r="E154" s="138">
        <f t="shared" si="98"/>
        <v>0</v>
      </c>
      <c r="F154" s="138">
        <f t="shared" si="98"/>
        <v>0</v>
      </c>
      <c r="G154" s="138">
        <f t="shared" si="98"/>
        <v>0</v>
      </c>
      <c r="H154" s="138">
        <f t="shared" si="98"/>
        <v>0</v>
      </c>
      <c r="I154" s="138">
        <f t="shared" si="98"/>
        <v>0</v>
      </c>
      <c r="J154" s="138">
        <f t="shared" si="98"/>
        <v>0</v>
      </c>
      <c r="K154" s="138">
        <f t="shared" si="98"/>
        <v>0</v>
      </c>
      <c r="L154" s="138">
        <f t="shared" si="98"/>
        <v>0</v>
      </c>
      <c r="M154" s="138">
        <f t="shared" si="98"/>
        <v>0</v>
      </c>
      <c r="N154" s="138">
        <f t="shared" si="98"/>
        <v>0</v>
      </c>
      <c r="O154" s="138">
        <f t="shared" si="98"/>
        <v>0</v>
      </c>
      <c r="P154" s="138">
        <f t="shared" si="98"/>
        <v>0</v>
      </c>
      <c r="Q154" s="138">
        <f t="shared" si="98"/>
        <v>0</v>
      </c>
      <c r="R154" s="138">
        <f t="shared" si="98"/>
        <v>0</v>
      </c>
      <c r="S154" s="138">
        <f t="shared" si="98"/>
        <v>0</v>
      </c>
      <c r="T154" s="138">
        <f t="shared" si="98"/>
        <v>0</v>
      </c>
      <c r="U154" s="138">
        <f t="shared" si="98"/>
        <v>0</v>
      </c>
      <c r="V154" s="138">
        <f t="shared" si="98"/>
        <v>0</v>
      </c>
      <c r="W154" s="138">
        <f t="shared" si="98"/>
        <v>0</v>
      </c>
      <c r="X154" s="138">
        <f t="shared" si="98"/>
        <v>0</v>
      </c>
      <c r="Y154" s="138">
        <f t="shared" si="98"/>
        <v>0</v>
      </c>
      <c r="Z154" s="138">
        <f t="shared" si="98"/>
        <v>0</v>
      </c>
      <c r="AA154" s="238"/>
      <c r="AB154" s="238"/>
      <c r="AC154" s="239"/>
    </row>
    <row r="155" spans="1:29" ht="19.5" hidden="1" x14ac:dyDescent="0.4">
      <c r="A155" s="242">
        <f t="shared" si="88"/>
        <v>42</v>
      </c>
      <c r="B155" s="243">
        <f>STUD!B90</f>
        <v>0</v>
      </c>
      <c r="C155" s="244">
        <f t="shared" ref="C155" si="99">SUM(D156:AB156)</f>
        <v>0</v>
      </c>
      <c r="D155" s="135"/>
      <c r="E155" s="135"/>
      <c r="F155" s="135"/>
      <c r="G155" s="135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220"/>
      <c r="Z155" s="220"/>
      <c r="AA155" s="238"/>
      <c r="AB155" s="238"/>
      <c r="AC155" s="239"/>
    </row>
    <row r="156" spans="1:29" ht="19.5" hidden="1" x14ac:dyDescent="0.4">
      <c r="A156" s="242"/>
      <c r="B156" s="243"/>
      <c r="C156" s="245"/>
      <c r="D156" s="138">
        <f t="shared" ref="D156:Z156" si="100">IF(IFERROR(IF(VLOOKUP(D155,D$181:D$185,1,0)&gt;=1,D$180,0),D155)=D$162,D$166,IF(IFERROR(IF(VLOOKUP(D155,D$181:D$185,1,0)&gt;=1,D$180,0),D155)=D$169,D$172,IF(IFERROR(IF(VLOOKUP(D155,D$181:D$185,1,0)&gt;=1,D$180,0),D155)=D$175,D$177,0)))</f>
        <v>0</v>
      </c>
      <c r="E156" s="138">
        <f t="shared" si="100"/>
        <v>0</v>
      </c>
      <c r="F156" s="138">
        <f t="shared" si="100"/>
        <v>0</v>
      </c>
      <c r="G156" s="138">
        <f t="shared" si="100"/>
        <v>0</v>
      </c>
      <c r="H156" s="138">
        <f t="shared" si="100"/>
        <v>0</v>
      </c>
      <c r="I156" s="138">
        <f t="shared" si="100"/>
        <v>0</v>
      </c>
      <c r="J156" s="138">
        <f t="shared" si="100"/>
        <v>0</v>
      </c>
      <c r="K156" s="138">
        <f t="shared" si="100"/>
        <v>0</v>
      </c>
      <c r="L156" s="138">
        <f t="shared" si="100"/>
        <v>0</v>
      </c>
      <c r="M156" s="138">
        <f t="shared" si="100"/>
        <v>0</v>
      </c>
      <c r="N156" s="138">
        <f t="shared" si="100"/>
        <v>0</v>
      </c>
      <c r="O156" s="138">
        <f t="shared" si="100"/>
        <v>0</v>
      </c>
      <c r="P156" s="138">
        <f t="shared" si="100"/>
        <v>0</v>
      </c>
      <c r="Q156" s="138">
        <f t="shared" si="100"/>
        <v>0</v>
      </c>
      <c r="R156" s="138">
        <f t="shared" si="100"/>
        <v>0</v>
      </c>
      <c r="S156" s="138">
        <f t="shared" si="100"/>
        <v>0</v>
      </c>
      <c r="T156" s="138">
        <f t="shared" si="100"/>
        <v>0</v>
      </c>
      <c r="U156" s="138">
        <f t="shared" si="100"/>
        <v>0</v>
      </c>
      <c r="V156" s="138">
        <f t="shared" si="100"/>
        <v>0</v>
      </c>
      <c r="W156" s="138">
        <f t="shared" si="100"/>
        <v>0</v>
      </c>
      <c r="X156" s="138">
        <f t="shared" si="100"/>
        <v>0</v>
      </c>
      <c r="Y156" s="138">
        <f t="shared" si="100"/>
        <v>0</v>
      </c>
      <c r="Z156" s="138">
        <f t="shared" si="100"/>
        <v>0</v>
      </c>
      <c r="AA156" s="238"/>
      <c r="AB156" s="238"/>
      <c r="AC156" s="239"/>
    </row>
    <row r="157" spans="1:29" ht="19.5" hidden="1" x14ac:dyDescent="0.4">
      <c r="A157" s="242">
        <f t="shared" si="88"/>
        <v>43</v>
      </c>
      <c r="B157" s="243">
        <f>STUD!B92</f>
        <v>0</v>
      </c>
      <c r="C157" s="244">
        <f t="shared" ref="C157" si="101">SUM(D158:AB158)</f>
        <v>0</v>
      </c>
      <c r="D157" s="135"/>
      <c r="E157" s="135"/>
      <c r="F157" s="135"/>
      <c r="G157" s="135"/>
      <c r="H157" s="135"/>
      <c r="I157" s="135"/>
      <c r="J157" s="135"/>
      <c r="K157" s="135"/>
      <c r="L157" s="135"/>
      <c r="M157" s="135"/>
      <c r="N157" s="135"/>
      <c r="O157" s="135"/>
      <c r="P157" s="135"/>
      <c r="Q157" s="135"/>
      <c r="R157" s="135"/>
      <c r="S157" s="135"/>
      <c r="T157" s="135"/>
      <c r="U157" s="135"/>
      <c r="V157" s="135"/>
      <c r="W157" s="135"/>
      <c r="X157" s="135"/>
      <c r="Y157" s="220"/>
      <c r="Z157" s="220"/>
      <c r="AA157" s="238"/>
      <c r="AB157" s="238"/>
      <c r="AC157" s="239"/>
    </row>
    <row r="158" spans="1:29" ht="19.5" hidden="1" x14ac:dyDescent="0.4">
      <c r="A158" s="242"/>
      <c r="B158" s="243"/>
      <c r="C158" s="245"/>
      <c r="D158" s="138">
        <f t="shared" ref="D158:Z158" si="102">IF(IFERROR(IF(VLOOKUP(D157,D$181:D$185,1,0)&gt;=1,D$180,0),D157)=D$162,D$166,IF(IFERROR(IF(VLOOKUP(D157,D$181:D$185,1,0)&gt;=1,D$180,0),D157)=D$169,D$172,IF(IFERROR(IF(VLOOKUP(D157,D$181:D$185,1,0)&gt;=1,D$180,0),D157)=D$175,D$177,0)))</f>
        <v>0</v>
      </c>
      <c r="E158" s="138">
        <f t="shared" si="102"/>
        <v>0</v>
      </c>
      <c r="F158" s="138">
        <f t="shared" si="102"/>
        <v>0</v>
      </c>
      <c r="G158" s="138">
        <f t="shared" si="102"/>
        <v>0</v>
      </c>
      <c r="H158" s="138">
        <f t="shared" si="102"/>
        <v>0</v>
      </c>
      <c r="I158" s="138">
        <f t="shared" si="102"/>
        <v>0</v>
      </c>
      <c r="J158" s="138">
        <f t="shared" si="102"/>
        <v>0</v>
      </c>
      <c r="K158" s="138">
        <f t="shared" si="102"/>
        <v>0</v>
      </c>
      <c r="L158" s="138">
        <f t="shared" si="102"/>
        <v>0</v>
      </c>
      <c r="M158" s="138">
        <f t="shared" si="102"/>
        <v>0</v>
      </c>
      <c r="N158" s="138">
        <f t="shared" si="102"/>
        <v>0</v>
      </c>
      <c r="O158" s="138">
        <f t="shared" si="102"/>
        <v>0</v>
      </c>
      <c r="P158" s="138">
        <f t="shared" si="102"/>
        <v>0</v>
      </c>
      <c r="Q158" s="138">
        <f t="shared" si="102"/>
        <v>0</v>
      </c>
      <c r="R158" s="138">
        <f t="shared" si="102"/>
        <v>0</v>
      </c>
      <c r="S158" s="138">
        <f t="shared" si="102"/>
        <v>0</v>
      </c>
      <c r="T158" s="138">
        <f t="shared" si="102"/>
        <v>0</v>
      </c>
      <c r="U158" s="138">
        <f t="shared" si="102"/>
        <v>0</v>
      </c>
      <c r="V158" s="138">
        <f t="shared" si="102"/>
        <v>0</v>
      </c>
      <c r="W158" s="138">
        <f t="shared" si="102"/>
        <v>0</v>
      </c>
      <c r="X158" s="138">
        <f t="shared" si="102"/>
        <v>0</v>
      </c>
      <c r="Y158" s="138">
        <f t="shared" si="102"/>
        <v>0</v>
      </c>
      <c r="Z158" s="138">
        <f t="shared" si="102"/>
        <v>0</v>
      </c>
      <c r="AA158" s="238"/>
      <c r="AB158" s="238"/>
      <c r="AC158" s="239"/>
    </row>
    <row r="159" spans="1:29" hidden="1" x14ac:dyDescent="0.4">
      <c r="A159" s="13"/>
      <c r="B159" s="10"/>
      <c r="C159" s="10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0"/>
    </row>
    <row r="160" spans="1:29" ht="13.5" thickBot="1" x14ac:dyDescent="0.45">
      <c r="A160" s="3"/>
    </row>
    <row r="161" spans="1:29" ht="19.899999999999999" thickBot="1" x14ac:dyDescent="0.65">
      <c r="A161" s="3"/>
      <c r="C161" s="17" t="s">
        <v>21</v>
      </c>
      <c r="D161" s="18">
        <v>1</v>
      </c>
      <c r="E161" s="18">
        <v>2</v>
      </c>
      <c r="F161" s="18">
        <v>3</v>
      </c>
      <c r="G161" s="18">
        <v>4</v>
      </c>
      <c r="H161" s="18">
        <v>5</v>
      </c>
      <c r="I161" s="18">
        <v>6</v>
      </c>
      <c r="J161" s="18">
        <v>7</v>
      </c>
      <c r="K161" s="18">
        <v>8</v>
      </c>
      <c r="L161" s="18">
        <v>9</v>
      </c>
      <c r="M161" s="18">
        <v>10</v>
      </c>
      <c r="N161" s="18">
        <v>11</v>
      </c>
      <c r="O161" s="18">
        <v>12</v>
      </c>
      <c r="P161" s="18">
        <v>13</v>
      </c>
      <c r="Q161" s="18">
        <v>14</v>
      </c>
      <c r="R161" s="18">
        <v>15</v>
      </c>
      <c r="S161" s="18">
        <v>16</v>
      </c>
      <c r="T161" s="18">
        <v>17</v>
      </c>
      <c r="U161" s="18">
        <v>18</v>
      </c>
      <c r="V161" s="18">
        <v>19</v>
      </c>
      <c r="W161" s="18">
        <v>20</v>
      </c>
      <c r="X161" s="18">
        <v>21</v>
      </c>
      <c r="Y161" s="18">
        <v>22</v>
      </c>
      <c r="Z161" s="18">
        <v>23</v>
      </c>
      <c r="AA161" s="18">
        <v>24</v>
      </c>
      <c r="AB161" s="4">
        <v>25</v>
      </c>
    </row>
    <row r="162" spans="1:29" ht="19.5" x14ac:dyDescent="0.6">
      <c r="A162" s="3"/>
      <c r="C162" s="19" t="s">
        <v>22</v>
      </c>
      <c r="D162" s="20">
        <v>9</v>
      </c>
      <c r="E162" s="20">
        <v>1</v>
      </c>
      <c r="F162" s="20"/>
      <c r="G162" s="20"/>
      <c r="H162" s="20"/>
      <c r="I162" s="20"/>
      <c r="J162" s="20"/>
      <c r="K162" s="20"/>
      <c r="L162" s="20"/>
      <c r="M162" s="41"/>
      <c r="N162" s="41"/>
      <c r="O162" s="41"/>
      <c r="P162" s="20"/>
      <c r="Q162" s="20"/>
      <c r="R162" s="20"/>
      <c r="S162" s="41"/>
      <c r="T162" s="41"/>
      <c r="U162" s="41"/>
      <c r="V162" s="20"/>
      <c r="W162" s="20"/>
      <c r="X162" s="41"/>
      <c r="Y162" s="41"/>
      <c r="Z162" s="41"/>
      <c r="AA162" s="41"/>
      <c r="AB162" s="5"/>
    </row>
    <row r="163" spans="1:29" ht="19.5" x14ac:dyDescent="0.6">
      <c r="A163" s="3"/>
      <c r="C163" s="22" t="s">
        <v>23</v>
      </c>
      <c r="D163" s="37">
        <v>5.3</v>
      </c>
      <c r="E163" s="37">
        <v>1.7</v>
      </c>
      <c r="F163" s="37"/>
      <c r="G163" s="37"/>
      <c r="H163" s="37"/>
      <c r="I163" s="37"/>
      <c r="J163" s="37"/>
      <c r="K163" s="37"/>
      <c r="L163" s="37"/>
      <c r="M163" s="42"/>
      <c r="N163" s="43"/>
      <c r="O163" s="43"/>
      <c r="P163" s="37"/>
      <c r="Q163" s="37"/>
      <c r="R163" s="37"/>
      <c r="S163" s="43"/>
      <c r="T163" s="43"/>
      <c r="U163" s="43"/>
      <c r="V163" s="37"/>
      <c r="W163" s="37"/>
      <c r="X163" s="43"/>
      <c r="Y163" s="43"/>
      <c r="Z163" s="43"/>
      <c r="AA163" s="43"/>
      <c r="AB163" s="6"/>
    </row>
    <row r="164" spans="1:29" ht="19.5" x14ac:dyDescent="0.6">
      <c r="A164" s="3"/>
      <c r="C164" s="22" t="s">
        <v>24</v>
      </c>
      <c r="D164" s="37">
        <v>3</v>
      </c>
      <c r="E164" s="37">
        <v>1.3</v>
      </c>
      <c r="F164" s="37"/>
      <c r="G164" s="37"/>
      <c r="H164" s="37"/>
      <c r="I164" s="37"/>
      <c r="J164" s="37"/>
      <c r="K164" s="37"/>
      <c r="L164" s="37"/>
      <c r="M164" s="43"/>
      <c r="N164" s="43"/>
      <c r="O164" s="43"/>
      <c r="P164" s="37"/>
      <c r="Q164" s="37"/>
      <c r="R164" s="37"/>
      <c r="S164" s="43"/>
      <c r="T164" s="43"/>
      <c r="U164" s="43"/>
      <c r="V164" s="37"/>
      <c r="W164" s="37"/>
      <c r="X164" s="43"/>
      <c r="Y164" s="43"/>
      <c r="Z164" s="43"/>
      <c r="AA164" s="43"/>
      <c r="AB164" s="6"/>
    </row>
    <row r="165" spans="1:29" ht="19.5" x14ac:dyDescent="0.6">
      <c r="A165" s="3"/>
      <c r="C165" s="22" t="s">
        <v>25</v>
      </c>
      <c r="D165" s="37">
        <v>1.4</v>
      </c>
      <c r="E165" s="37">
        <v>1</v>
      </c>
      <c r="F165" s="37"/>
      <c r="G165" s="37"/>
      <c r="H165" s="37"/>
      <c r="I165" s="37"/>
      <c r="J165" s="37"/>
      <c r="K165" s="37"/>
      <c r="L165" s="37"/>
      <c r="M165" s="43"/>
      <c r="N165" s="43"/>
      <c r="O165" s="43"/>
      <c r="P165" s="37"/>
      <c r="Q165" s="37"/>
      <c r="R165" s="37"/>
      <c r="S165" s="43"/>
      <c r="T165" s="43"/>
      <c r="U165" s="43"/>
      <c r="V165" s="37"/>
      <c r="W165" s="37"/>
      <c r="X165" s="43"/>
      <c r="Y165" s="43"/>
      <c r="Z165" s="43"/>
      <c r="AA165" s="43"/>
      <c r="AB165" s="6"/>
    </row>
    <row r="166" spans="1:29" ht="19.5" x14ac:dyDescent="0.6">
      <c r="A166" s="3"/>
      <c r="C166" s="24" t="s">
        <v>26</v>
      </c>
      <c r="D166" s="40">
        <f>IF(D160="U",D167*2,D167)</f>
        <v>9.7000000000000011</v>
      </c>
      <c r="E166" s="40">
        <f t="shared" ref="E166:X166" si="103">IF(E160="U",E167*2,E167)</f>
        <v>4</v>
      </c>
      <c r="F166" s="40">
        <f t="shared" si="103"/>
        <v>0</v>
      </c>
      <c r="G166" s="40">
        <f t="shared" si="103"/>
        <v>0</v>
      </c>
      <c r="H166" s="40">
        <f t="shared" si="103"/>
        <v>0</v>
      </c>
      <c r="I166" s="40">
        <f t="shared" si="103"/>
        <v>0</v>
      </c>
      <c r="J166" s="40">
        <f t="shared" si="103"/>
        <v>0</v>
      </c>
      <c r="K166" s="40">
        <f t="shared" si="103"/>
        <v>0</v>
      </c>
      <c r="L166" s="40">
        <f t="shared" si="103"/>
        <v>0</v>
      </c>
      <c r="M166" s="40">
        <f t="shared" si="103"/>
        <v>0</v>
      </c>
      <c r="N166" s="40">
        <f t="shared" si="103"/>
        <v>0</v>
      </c>
      <c r="O166" s="40">
        <f t="shared" si="103"/>
        <v>0</v>
      </c>
      <c r="P166" s="40">
        <f t="shared" si="103"/>
        <v>0</v>
      </c>
      <c r="Q166" s="40">
        <f t="shared" si="103"/>
        <v>0</v>
      </c>
      <c r="R166" s="40">
        <f t="shared" si="103"/>
        <v>0</v>
      </c>
      <c r="S166" s="40">
        <f t="shared" si="103"/>
        <v>0</v>
      </c>
      <c r="T166" s="40">
        <f t="shared" si="103"/>
        <v>0</v>
      </c>
      <c r="U166" s="40">
        <f t="shared" si="103"/>
        <v>0</v>
      </c>
      <c r="V166" s="40">
        <f t="shared" si="103"/>
        <v>0</v>
      </c>
      <c r="W166" s="40">
        <f t="shared" si="103"/>
        <v>0</v>
      </c>
      <c r="X166" s="40">
        <f t="shared" si="103"/>
        <v>0</v>
      </c>
      <c r="Y166" s="40">
        <f t="shared" ref="Y166:AA166" si="104">IF(Y160="U",Y167*2,Y167)</f>
        <v>0</v>
      </c>
      <c r="Z166" s="40">
        <f t="shared" si="104"/>
        <v>0</v>
      </c>
      <c r="AA166" s="40">
        <f t="shared" si="104"/>
        <v>0</v>
      </c>
      <c r="AB166" s="40">
        <f t="shared" ref="AB166:AC166" si="105">IF(AB160="U",AB167*2,AB167)</f>
        <v>0</v>
      </c>
      <c r="AC166" s="40">
        <f t="shared" si="105"/>
        <v>0</v>
      </c>
    </row>
    <row r="167" spans="1:29" ht="19.5" x14ac:dyDescent="0.6">
      <c r="A167" s="3"/>
      <c r="C167" s="26"/>
      <c r="D167" s="27">
        <f>SUM(D163:D165)</f>
        <v>9.7000000000000011</v>
      </c>
      <c r="E167" s="27">
        <f t="shared" ref="E167:X167" si="106">SUM(E163:E165)</f>
        <v>4</v>
      </c>
      <c r="F167" s="27">
        <f t="shared" si="106"/>
        <v>0</v>
      </c>
      <c r="G167" s="27">
        <f t="shared" si="106"/>
        <v>0</v>
      </c>
      <c r="H167" s="27">
        <f t="shared" si="106"/>
        <v>0</v>
      </c>
      <c r="I167" s="27">
        <f t="shared" si="106"/>
        <v>0</v>
      </c>
      <c r="J167" s="27">
        <f t="shared" si="106"/>
        <v>0</v>
      </c>
      <c r="K167" s="27">
        <f t="shared" si="106"/>
        <v>0</v>
      </c>
      <c r="L167" s="27">
        <f t="shared" si="106"/>
        <v>0</v>
      </c>
      <c r="M167" s="27">
        <f t="shared" si="106"/>
        <v>0</v>
      </c>
      <c r="N167" s="27">
        <f t="shared" si="106"/>
        <v>0</v>
      </c>
      <c r="O167" s="27">
        <f t="shared" si="106"/>
        <v>0</v>
      </c>
      <c r="P167" s="27">
        <f t="shared" si="106"/>
        <v>0</v>
      </c>
      <c r="Q167" s="27">
        <f t="shared" si="106"/>
        <v>0</v>
      </c>
      <c r="R167" s="27">
        <f t="shared" si="106"/>
        <v>0</v>
      </c>
      <c r="S167" s="27">
        <f t="shared" si="106"/>
        <v>0</v>
      </c>
      <c r="T167" s="27">
        <f t="shared" si="106"/>
        <v>0</v>
      </c>
      <c r="U167" s="27">
        <f t="shared" si="106"/>
        <v>0</v>
      </c>
      <c r="V167" s="27">
        <f t="shared" si="106"/>
        <v>0</v>
      </c>
      <c r="W167" s="27">
        <f t="shared" si="106"/>
        <v>0</v>
      </c>
      <c r="X167" s="27">
        <f t="shared" si="106"/>
        <v>0</v>
      </c>
      <c r="Y167" s="27">
        <f t="shared" ref="Y167:AA167" si="107">SUM(Y163:Y165)</f>
        <v>0</v>
      </c>
      <c r="Z167" s="27">
        <f t="shared" si="107"/>
        <v>0</v>
      </c>
      <c r="AA167" s="27">
        <f t="shared" si="107"/>
        <v>0</v>
      </c>
      <c r="AB167" s="27">
        <f t="shared" ref="AB167:AC167" si="108">SUM(AB163:AB165)</f>
        <v>0</v>
      </c>
      <c r="AC167" s="27">
        <f t="shared" si="108"/>
        <v>0</v>
      </c>
    </row>
    <row r="168" spans="1:29" ht="19.5" x14ac:dyDescent="0.6">
      <c r="A168" s="3"/>
      <c r="C168" s="28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8"/>
      <c r="Y168" s="28"/>
      <c r="Z168" s="28"/>
      <c r="AA168" s="28"/>
    </row>
    <row r="169" spans="1:29" ht="19.5" x14ac:dyDescent="0.6">
      <c r="A169" s="3"/>
      <c r="C169" s="30" t="s">
        <v>27</v>
      </c>
      <c r="D169" s="20">
        <v>12</v>
      </c>
      <c r="E169" s="20">
        <v>12</v>
      </c>
      <c r="F169" s="20"/>
      <c r="G169" s="20"/>
      <c r="H169" s="20"/>
      <c r="I169" s="20"/>
      <c r="J169" s="20"/>
      <c r="K169" s="20"/>
      <c r="L169" s="20"/>
      <c r="M169" s="41"/>
      <c r="N169" s="41"/>
      <c r="O169" s="41"/>
      <c r="P169" s="20"/>
      <c r="Q169" s="20"/>
      <c r="R169" s="20"/>
      <c r="S169" s="41"/>
      <c r="T169" s="41"/>
      <c r="U169" s="41"/>
      <c r="V169" s="20"/>
      <c r="W169" s="20"/>
      <c r="X169" s="21"/>
      <c r="Y169" s="21"/>
      <c r="Z169" s="21"/>
      <c r="AA169" s="21"/>
      <c r="AB169" s="5"/>
    </row>
    <row r="170" spans="1:29" ht="19.5" x14ac:dyDescent="0.6">
      <c r="A170" s="3"/>
      <c r="C170" s="22" t="s">
        <v>24</v>
      </c>
      <c r="D170" s="37">
        <v>2.6</v>
      </c>
      <c r="E170" s="37">
        <v>2.5</v>
      </c>
      <c r="F170" s="37"/>
      <c r="G170" s="37"/>
      <c r="H170" s="37"/>
      <c r="I170" s="37"/>
      <c r="J170" s="37"/>
      <c r="K170" s="37"/>
      <c r="L170" s="37"/>
      <c r="M170" s="43"/>
      <c r="N170" s="43"/>
      <c r="O170" s="43"/>
      <c r="P170" s="37"/>
      <c r="Q170" s="37"/>
      <c r="R170" s="37"/>
      <c r="S170" s="43"/>
      <c r="T170" s="43"/>
      <c r="U170" s="43"/>
      <c r="V170" s="37"/>
      <c r="W170" s="37"/>
      <c r="X170" s="40"/>
      <c r="Y170" s="40"/>
      <c r="Z170" s="40"/>
      <c r="AA170" s="40"/>
      <c r="AB170" s="225"/>
    </row>
    <row r="171" spans="1:29" ht="19.5" x14ac:dyDescent="0.6">
      <c r="A171" s="3"/>
      <c r="C171" s="22" t="s">
        <v>25</v>
      </c>
      <c r="D171" s="37">
        <v>1.3</v>
      </c>
      <c r="E171" s="37">
        <v>1.5</v>
      </c>
      <c r="F171" s="37"/>
      <c r="G171" s="37"/>
      <c r="H171" s="37"/>
      <c r="I171" s="37"/>
      <c r="J171" s="37"/>
      <c r="K171" s="37"/>
      <c r="L171" s="37"/>
      <c r="M171" s="43"/>
      <c r="N171" s="43"/>
      <c r="O171" s="43"/>
      <c r="P171" s="37"/>
      <c r="Q171" s="37"/>
      <c r="R171" s="37"/>
      <c r="S171" s="43"/>
      <c r="T171" s="43"/>
      <c r="U171" s="43"/>
      <c r="V171" s="37"/>
      <c r="W171" s="37"/>
      <c r="X171" s="40"/>
      <c r="Y171" s="40"/>
      <c r="Z171" s="40"/>
      <c r="AA171" s="40"/>
      <c r="AB171" s="225"/>
    </row>
    <row r="172" spans="1:29" ht="19.5" x14ac:dyDescent="0.6">
      <c r="A172" s="3"/>
      <c r="C172" s="24" t="s">
        <v>28</v>
      </c>
      <c r="D172" s="40">
        <f>IF(D160="U",D173*2,D173)</f>
        <v>3.9000000000000004</v>
      </c>
      <c r="E172" s="40">
        <f t="shared" ref="E172:X172" si="109">IF(E160="U",E173*2,E173)</f>
        <v>4</v>
      </c>
      <c r="F172" s="40">
        <f t="shared" si="109"/>
        <v>0</v>
      </c>
      <c r="G172" s="40">
        <f t="shared" si="109"/>
        <v>0</v>
      </c>
      <c r="H172" s="40">
        <f t="shared" si="109"/>
        <v>0</v>
      </c>
      <c r="I172" s="40">
        <f t="shared" si="109"/>
        <v>0</v>
      </c>
      <c r="J172" s="40">
        <f t="shared" si="109"/>
        <v>0</v>
      </c>
      <c r="K172" s="40">
        <f t="shared" si="109"/>
        <v>0</v>
      </c>
      <c r="L172" s="40">
        <f t="shared" si="109"/>
        <v>0</v>
      </c>
      <c r="M172" s="40">
        <f t="shared" si="109"/>
        <v>0</v>
      </c>
      <c r="N172" s="40">
        <f t="shared" si="109"/>
        <v>0</v>
      </c>
      <c r="O172" s="40">
        <f t="shared" si="109"/>
        <v>0</v>
      </c>
      <c r="P172" s="40">
        <f t="shared" si="109"/>
        <v>0</v>
      </c>
      <c r="Q172" s="40">
        <f t="shared" si="109"/>
        <v>0</v>
      </c>
      <c r="R172" s="40">
        <f t="shared" si="109"/>
        <v>0</v>
      </c>
      <c r="S172" s="40">
        <f t="shared" si="109"/>
        <v>0</v>
      </c>
      <c r="T172" s="40">
        <f t="shared" si="109"/>
        <v>0</v>
      </c>
      <c r="U172" s="40">
        <f t="shared" si="109"/>
        <v>0</v>
      </c>
      <c r="V172" s="40">
        <f t="shared" si="109"/>
        <v>0</v>
      </c>
      <c r="W172" s="40">
        <f t="shared" si="109"/>
        <v>0</v>
      </c>
      <c r="X172" s="40">
        <f t="shared" si="109"/>
        <v>0</v>
      </c>
      <c r="Y172" s="40">
        <f t="shared" ref="Y172:AA172" si="110">IF(Y160="U",Y173*2,Y173)</f>
        <v>0</v>
      </c>
      <c r="Z172" s="40">
        <f t="shared" si="110"/>
        <v>0</v>
      </c>
      <c r="AA172" s="40">
        <f t="shared" si="110"/>
        <v>0</v>
      </c>
      <c r="AB172" s="7">
        <f>+SUM(AB170:AB171)</f>
        <v>0</v>
      </c>
    </row>
    <row r="173" spans="1:29" ht="19.5" x14ac:dyDescent="0.6">
      <c r="A173" s="3"/>
      <c r="C173" s="26"/>
      <c r="D173" s="27">
        <f>SUM(D170:D171)</f>
        <v>3.9000000000000004</v>
      </c>
      <c r="E173" s="27">
        <f t="shared" ref="E173:X173" si="111">SUM(E170:E171)</f>
        <v>4</v>
      </c>
      <c r="F173" s="27">
        <f t="shared" si="111"/>
        <v>0</v>
      </c>
      <c r="G173" s="27">
        <f t="shared" si="111"/>
        <v>0</v>
      </c>
      <c r="H173" s="27">
        <f t="shared" si="111"/>
        <v>0</v>
      </c>
      <c r="I173" s="27">
        <f t="shared" si="111"/>
        <v>0</v>
      </c>
      <c r="J173" s="27">
        <f t="shared" si="111"/>
        <v>0</v>
      </c>
      <c r="K173" s="27">
        <f t="shared" si="111"/>
        <v>0</v>
      </c>
      <c r="L173" s="27">
        <f t="shared" si="111"/>
        <v>0</v>
      </c>
      <c r="M173" s="27">
        <f t="shared" si="111"/>
        <v>0</v>
      </c>
      <c r="N173" s="27">
        <f t="shared" si="111"/>
        <v>0</v>
      </c>
      <c r="O173" s="27">
        <f t="shared" si="111"/>
        <v>0</v>
      </c>
      <c r="P173" s="27">
        <f t="shared" si="111"/>
        <v>0</v>
      </c>
      <c r="Q173" s="27">
        <f t="shared" si="111"/>
        <v>0</v>
      </c>
      <c r="R173" s="27">
        <f t="shared" si="111"/>
        <v>0</v>
      </c>
      <c r="S173" s="27">
        <f t="shared" si="111"/>
        <v>0</v>
      </c>
      <c r="T173" s="27">
        <f t="shared" si="111"/>
        <v>0</v>
      </c>
      <c r="U173" s="27">
        <f t="shared" si="111"/>
        <v>0</v>
      </c>
      <c r="V173" s="27">
        <f t="shared" si="111"/>
        <v>0</v>
      </c>
      <c r="W173" s="27">
        <f t="shared" si="111"/>
        <v>0</v>
      </c>
      <c r="X173" s="27">
        <f t="shared" si="111"/>
        <v>0</v>
      </c>
      <c r="Y173" s="27">
        <f t="shared" ref="Y173:AA173" si="112">SUM(Y170:Y171)</f>
        <v>0</v>
      </c>
      <c r="Z173" s="27">
        <f t="shared" si="112"/>
        <v>0</v>
      </c>
      <c r="AA173" s="27">
        <f t="shared" si="112"/>
        <v>0</v>
      </c>
      <c r="AB173" s="12"/>
    </row>
    <row r="174" spans="1:29" ht="19.5" x14ac:dyDescent="0.6">
      <c r="A174" s="3"/>
      <c r="C174" s="28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8"/>
      <c r="Y174" s="28"/>
      <c r="Z174" s="28"/>
      <c r="AA174" s="28"/>
    </row>
    <row r="175" spans="1:29" ht="19.5" x14ac:dyDescent="0.6">
      <c r="A175" s="3"/>
      <c r="C175" s="30" t="s">
        <v>29</v>
      </c>
      <c r="D175" s="20">
        <v>6</v>
      </c>
      <c r="E175" s="20">
        <v>6</v>
      </c>
      <c r="F175" s="20"/>
      <c r="G175" s="20"/>
      <c r="H175" s="20"/>
      <c r="I175" s="20"/>
      <c r="J175" s="20"/>
      <c r="K175" s="20"/>
      <c r="L175" s="20"/>
      <c r="M175" s="41"/>
      <c r="N175" s="20"/>
      <c r="O175" s="20"/>
      <c r="P175" s="20"/>
      <c r="Q175" s="20"/>
      <c r="R175" s="20"/>
      <c r="S175" s="41"/>
      <c r="T175" s="41"/>
      <c r="U175" s="41"/>
      <c r="V175" s="20"/>
      <c r="W175" s="20"/>
      <c r="X175" s="21"/>
      <c r="Y175" s="21"/>
      <c r="Z175" s="21"/>
      <c r="AA175" s="21"/>
      <c r="AB175" s="5"/>
    </row>
    <row r="176" spans="1:29" ht="19.5" x14ac:dyDescent="0.6">
      <c r="A176" s="3"/>
      <c r="C176" s="22" t="s">
        <v>25</v>
      </c>
      <c r="D176" s="39">
        <v>1.1000000000000001</v>
      </c>
      <c r="E176" s="39">
        <v>1.2</v>
      </c>
      <c r="F176" s="39"/>
      <c r="G176" s="39"/>
      <c r="H176" s="39"/>
      <c r="I176" s="39"/>
      <c r="J176" s="39"/>
      <c r="K176" s="39"/>
      <c r="L176" s="39"/>
      <c r="M176" s="44"/>
      <c r="N176" s="39"/>
      <c r="O176" s="39"/>
      <c r="P176" s="39"/>
      <c r="Q176" s="39"/>
      <c r="R176" s="39"/>
      <c r="S176" s="44"/>
      <c r="T176" s="44"/>
      <c r="U176" s="44"/>
      <c r="V176" s="39"/>
      <c r="W176" s="39"/>
      <c r="X176" s="40"/>
      <c r="Y176" s="40"/>
      <c r="Z176" s="40"/>
      <c r="AA176" s="40"/>
      <c r="AB176" s="225"/>
    </row>
    <row r="177" spans="1:28" ht="19.5" x14ac:dyDescent="0.6">
      <c r="A177" s="3"/>
      <c r="C177" s="24" t="s">
        <v>30</v>
      </c>
      <c r="D177" s="40">
        <f>IF(D160="U",D178*2,D178)</f>
        <v>1.1000000000000001</v>
      </c>
      <c r="E177" s="40">
        <f t="shared" ref="E177:X177" si="113">IF(E160="U",E178*2,E178)</f>
        <v>1.2</v>
      </c>
      <c r="F177" s="40">
        <f t="shared" si="113"/>
        <v>0</v>
      </c>
      <c r="G177" s="40">
        <f t="shared" si="113"/>
        <v>0</v>
      </c>
      <c r="H177" s="40">
        <f t="shared" si="113"/>
        <v>0</v>
      </c>
      <c r="I177" s="40">
        <f t="shared" si="113"/>
        <v>0</v>
      </c>
      <c r="J177" s="40">
        <f t="shared" si="113"/>
        <v>0</v>
      </c>
      <c r="K177" s="40">
        <f t="shared" si="113"/>
        <v>0</v>
      </c>
      <c r="L177" s="40">
        <f t="shared" si="113"/>
        <v>0</v>
      </c>
      <c r="M177" s="40">
        <f t="shared" si="113"/>
        <v>0</v>
      </c>
      <c r="N177" s="40">
        <f t="shared" si="113"/>
        <v>0</v>
      </c>
      <c r="O177" s="40">
        <f t="shared" si="113"/>
        <v>0</v>
      </c>
      <c r="P177" s="40">
        <f t="shared" si="113"/>
        <v>0</v>
      </c>
      <c r="Q177" s="40">
        <f t="shared" si="113"/>
        <v>0</v>
      </c>
      <c r="R177" s="40">
        <f t="shared" si="113"/>
        <v>0</v>
      </c>
      <c r="S177" s="40">
        <f t="shared" si="113"/>
        <v>0</v>
      </c>
      <c r="T177" s="40">
        <f t="shared" si="113"/>
        <v>0</v>
      </c>
      <c r="U177" s="40">
        <f t="shared" si="113"/>
        <v>0</v>
      </c>
      <c r="V177" s="40">
        <f t="shared" si="113"/>
        <v>0</v>
      </c>
      <c r="W177" s="40">
        <f t="shared" si="113"/>
        <v>0</v>
      </c>
      <c r="X177" s="40">
        <f t="shared" si="113"/>
        <v>0</v>
      </c>
      <c r="Y177" s="40">
        <f t="shared" ref="Y177:AA177" si="114">IF(Y160="U",Y178*2,Y178)</f>
        <v>0</v>
      </c>
      <c r="Z177" s="40">
        <f t="shared" si="114"/>
        <v>0</v>
      </c>
      <c r="AA177" s="40">
        <f t="shared" si="114"/>
        <v>0</v>
      </c>
      <c r="AB177" s="7">
        <f>+SUM(AB176)</f>
        <v>0</v>
      </c>
    </row>
    <row r="178" spans="1:28" ht="19.5" x14ac:dyDescent="0.6">
      <c r="A178" s="3"/>
      <c r="C178" s="26"/>
      <c r="D178" s="27">
        <f>D176</f>
        <v>1.1000000000000001</v>
      </c>
      <c r="E178" s="27">
        <f t="shared" ref="E178:X178" si="115">E176</f>
        <v>1.2</v>
      </c>
      <c r="F178" s="27">
        <f t="shared" si="115"/>
        <v>0</v>
      </c>
      <c r="G178" s="27">
        <f t="shared" si="115"/>
        <v>0</v>
      </c>
      <c r="H178" s="27">
        <f t="shared" si="115"/>
        <v>0</v>
      </c>
      <c r="I178" s="27">
        <f t="shared" si="115"/>
        <v>0</v>
      </c>
      <c r="J178" s="27">
        <f t="shared" si="115"/>
        <v>0</v>
      </c>
      <c r="K178" s="27">
        <f t="shared" si="115"/>
        <v>0</v>
      </c>
      <c r="L178" s="27">
        <f t="shared" si="115"/>
        <v>0</v>
      </c>
      <c r="M178" s="27">
        <f t="shared" si="115"/>
        <v>0</v>
      </c>
      <c r="N178" s="27">
        <f t="shared" si="115"/>
        <v>0</v>
      </c>
      <c r="O178" s="27">
        <f t="shared" si="115"/>
        <v>0</v>
      </c>
      <c r="P178" s="27">
        <f t="shared" si="115"/>
        <v>0</v>
      </c>
      <c r="Q178" s="27">
        <f t="shared" si="115"/>
        <v>0</v>
      </c>
      <c r="R178" s="27">
        <f t="shared" si="115"/>
        <v>0</v>
      </c>
      <c r="S178" s="27">
        <f t="shared" si="115"/>
        <v>0</v>
      </c>
      <c r="T178" s="27">
        <f t="shared" si="115"/>
        <v>0</v>
      </c>
      <c r="U178" s="27">
        <f t="shared" si="115"/>
        <v>0</v>
      </c>
      <c r="V178" s="27">
        <f t="shared" si="115"/>
        <v>0</v>
      </c>
      <c r="W178" s="27">
        <f t="shared" si="115"/>
        <v>0</v>
      </c>
      <c r="X178" s="27">
        <f t="shared" si="115"/>
        <v>0</v>
      </c>
      <c r="Y178" s="27">
        <f t="shared" ref="Y178:AA178" si="116">Y176</f>
        <v>0</v>
      </c>
      <c r="Z178" s="27">
        <f t="shared" si="116"/>
        <v>0</v>
      </c>
      <c r="AA178" s="27">
        <f t="shared" si="116"/>
        <v>0</v>
      </c>
      <c r="AB178" s="12"/>
    </row>
    <row r="179" spans="1:28" ht="19.5" x14ac:dyDescent="0.6">
      <c r="A179" s="3"/>
      <c r="C179" s="28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8"/>
      <c r="Y179" s="28"/>
      <c r="Z179" s="28"/>
      <c r="AA179" s="28"/>
    </row>
    <row r="180" spans="1:28" ht="19.5" x14ac:dyDescent="0.6">
      <c r="A180" s="3"/>
      <c r="C180" s="31" t="s">
        <v>31</v>
      </c>
      <c r="D180" s="32">
        <v>6</v>
      </c>
      <c r="E180" s="32">
        <v>1</v>
      </c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3"/>
      <c r="Y180" s="33"/>
      <c r="Z180" s="33"/>
      <c r="AA180" s="33"/>
      <c r="AB180" s="5"/>
    </row>
    <row r="181" spans="1:28" ht="19.5" x14ac:dyDescent="0.6">
      <c r="A181" s="3"/>
      <c r="C181" s="34" t="s">
        <v>32</v>
      </c>
      <c r="D181" s="35">
        <v>3</v>
      </c>
      <c r="E181" s="35">
        <v>5</v>
      </c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25"/>
      <c r="Y181" s="25"/>
      <c r="Z181" s="25"/>
      <c r="AA181" s="25"/>
      <c r="AB181" s="225"/>
    </row>
    <row r="182" spans="1:28" ht="19.5" x14ac:dyDescent="0.6">
      <c r="A182" s="3"/>
      <c r="C182" s="34" t="s">
        <v>33</v>
      </c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25"/>
      <c r="R182" s="36"/>
      <c r="S182" s="25"/>
      <c r="T182" s="36"/>
      <c r="U182" s="36"/>
      <c r="V182" s="36"/>
      <c r="W182" s="36"/>
      <c r="X182" s="25"/>
      <c r="Y182" s="25"/>
      <c r="Z182" s="25"/>
      <c r="AA182" s="25"/>
      <c r="AB182" s="225"/>
    </row>
    <row r="183" spans="1:28" ht="19.5" x14ac:dyDescent="0.6">
      <c r="A183" s="3"/>
      <c r="C183" s="34" t="s">
        <v>34</v>
      </c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8"/>
    </row>
    <row r="184" spans="1:28" ht="19.5" x14ac:dyDescent="0.6">
      <c r="A184" s="3"/>
      <c r="C184" s="34" t="s">
        <v>35</v>
      </c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8"/>
    </row>
    <row r="185" spans="1:28" ht="19.5" x14ac:dyDescent="0.6">
      <c r="A185" s="3"/>
      <c r="C185" s="34" t="s">
        <v>36</v>
      </c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8"/>
    </row>
    <row r="186" spans="1:28" x14ac:dyDescent="0.4">
      <c r="A186" s="3"/>
    </row>
  </sheetData>
  <autoFilter ref="AE73:AH73" xr:uid="{00000000-0009-0000-0000-000001000000}">
    <sortState xmlns:xlrd2="http://schemas.microsoft.com/office/spreadsheetml/2017/richdata2" ref="AE74:AH92">
      <sortCondition descending="1" ref="AG73"/>
    </sortState>
  </autoFilter>
  <sortState xmlns:xlrd2="http://schemas.microsoft.com/office/spreadsheetml/2017/richdata2" ref="AF74:AG113">
    <sortCondition descending="1" ref="AG73"/>
    <sortCondition descending="1" ref="AF73"/>
  </sortState>
  <mergeCells count="289">
    <mergeCell ref="AE72:AH72"/>
    <mergeCell ref="A1:AC3"/>
    <mergeCell ref="AE2:AH2"/>
    <mergeCell ref="A125:A126"/>
    <mergeCell ref="B125:B126"/>
    <mergeCell ref="C125:C126"/>
    <mergeCell ref="AC125:AC126"/>
    <mergeCell ref="A117:A118"/>
    <mergeCell ref="B117:B118"/>
    <mergeCell ref="C117:C118"/>
    <mergeCell ref="AC117:AC118"/>
    <mergeCell ref="A119:A120"/>
    <mergeCell ref="B119:B120"/>
    <mergeCell ref="C119:C120"/>
    <mergeCell ref="AC119:AC120"/>
    <mergeCell ref="A113:A114"/>
    <mergeCell ref="B113:B114"/>
    <mergeCell ref="C113:C114"/>
    <mergeCell ref="AC113:AC114"/>
    <mergeCell ref="A115:A116"/>
    <mergeCell ref="B115:B116"/>
    <mergeCell ref="C115:C116"/>
    <mergeCell ref="AC115:AC116"/>
    <mergeCell ref="A109:A110"/>
    <mergeCell ref="A127:A128"/>
    <mergeCell ref="B127:B128"/>
    <mergeCell ref="C127:C128"/>
    <mergeCell ref="AC127:AC128"/>
    <mergeCell ref="A121:A122"/>
    <mergeCell ref="B121:B122"/>
    <mergeCell ref="C121:C122"/>
    <mergeCell ref="AC121:AC122"/>
    <mergeCell ref="A123:A124"/>
    <mergeCell ref="B123:B124"/>
    <mergeCell ref="C123:C124"/>
    <mergeCell ref="AC123:AC124"/>
    <mergeCell ref="B109:B110"/>
    <mergeCell ref="C109:C110"/>
    <mergeCell ref="AC109:AC110"/>
    <mergeCell ref="A111:A112"/>
    <mergeCell ref="B111:B112"/>
    <mergeCell ref="C111:C112"/>
    <mergeCell ref="AC111:AC112"/>
    <mergeCell ref="A105:A106"/>
    <mergeCell ref="B105:B106"/>
    <mergeCell ref="C105:C106"/>
    <mergeCell ref="AC105:AC106"/>
    <mergeCell ref="A107:A108"/>
    <mergeCell ref="B107:B108"/>
    <mergeCell ref="C107:C108"/>
    <mergeCell ref="AC107:AC108"/>
    <mergeCell ref="A101:A102"/>
    <mergeCell ref="B101:B102"/>
    <mergeCell ref="C101:C102"/>
    <mergeCell ref="AC101:AC102"/>
    <mergeCell ref="A103:A104"/>
    <mergeCell ref="B103:B104"/>
    <mergeCell ref="C103:C104"/>
    <mergeCell ref="AC103:AC104"/>
    <mergeCell ref="A97:A98"/>
    <mergeCell ref="B97:B98"/>
    <mergeCell ref="C97:C98"/>
    <mergeCell ref="AC97:AC98"/>
    <mergeCell ref="A99:A100"/>
    <mergeCell ref="B99:B100"/>
    <mergeCell ref="C99:C100"/>
    <mergeCell ref="AC99:AC100"/>
    <mergeCell ref="A93:A94"/>
    <mergeCell ref="B93:B94"/>
    <mergeCell ref="C93:C94"/>
    <mergeCell ref="AC93:AC94"/>
    <mergeCell ref="A95:A96"/>
    <mergeCell ref="B95:B96"/>
    <mergeCell ref="C95:C96"/>
    <mergeCell ref="AC95:AC96"/>
    <mergeCell ref="A89:A90"/>
    <mergeCell ref="B89:B90"/>
    <mergeCell ref="C89:C90"/>
    <mergeCell ref="AC89:AC90"/>
    <mergeCell ref="A91:A92"/>
    <mergeCell ref="B91:B92"/>
    <mergeCell ref="C91:C92"/>
    <mergeCell ref="AC91:AC92"/>
    <mergeCell ref="A85:A86"/>
    <mergeCell ref="B85:B86"/>
    <mergeCell ref="C85:C86"/>
    <mergeCell ref="AC85:AC86"/>
    <mergeCell ref="A87:A88"/>
    <mergeCell ref="B87:B88"/>
    <mergeCell ref="C87:C88"/>
    <mergeCell ref="AC87:AC88"/>
    <mergeCell ref="A81:A82"/>
    <mergeCell ref="B81:B82"/>
    <mergeCell ref="C81:C82"/>
    <mergeCell ref="AC81:AC82"/>
    <mergeCell ref="A83:A84"/>
    <mergeCell ref="B83:B84"/>
    <mergeCell ref="C83:C84"/>
    <mergeCell ref="AC83:AC84"/>
    <mergeCell ref="A77:A78"/>
    <mergeCell ref="B77:B78"/>
    <mergeCell ref="C77:C78"/>
    <mergeCell ref="AC77:AC78"/>
    <mergeCell ref="A79:A80"/>
    <mergeCell ref="B79:B80"/>
    <mergeCell ref="C79:C80"/>
    <mergeCell ref="AC79:AC80"/>
    <mergeCell ref="A73:A74"/>
    <mergeCell ref="B73:B74"/>
    <mergeCell ref="C73:C74"/>
    <mergeCell ref="AC73:AC74"/>
    <mergeCell ref="A75:A76"/>
    <mergeCell ref="B75:B76"/>
    <mergeCell ref="C75:C76"/>
    <mergeCell ref="AC75:AC76"/>
    <mergeCell ref="A65:A66"/>
    <mergeCell ref="B65:B66"/>
    <mergeCell ref="C65:C66"/>
    <mergeCell ref="AC65:AC66"/>
    <mergeCell ref="A67:A68"/>
    <mergeCell ref="B67:B68"/>
    <mergeCell ref="C67:C68"/>
    <mergeCell ref="AC67:AC68"/>
    <mergeCell ref="A69:AC71"/>
    <mergeCell ref="A61:A62"/>
    <mergeCell ref="B61:B62"/>
    <mergeCell ref="C61:C62"/>
    <mergeCell ref="AC61:AC62"/>
    <mergeCell ref="A63:A64"/>
    <mergeCell ref="B63:B64"/>
    <mergeCell ref="C63:C64"/>
    <mergeCell ref="AC63:AC64"/>
    <mergeCell ref="A57:A58"/>
    <mergeCell ref="B57:B58"/>
    <mergeCell ref="C57:C58"/>
    <mergeCell ref="AC57:AC58"/>
    <mergeCell ref="A59:A60"/>
    <mergeCell ref="B59:B60"/>
    <mergeCell ref="C59:C60"/>
    <mergeCell ref="AC59:AC60"/>
    <mergeCell ref="A53:A54"/>
    <mergeCell ref="B53:B54"/>
    <mergeCell ref="C53:C54"/>
    <mergeCell ref="AC53:AC54"/>
    <mergeCell ref="A55:A56"/>
    <mergeCell ref="B55:B56"/>
    <mergeCell ref="C55:C56"/>
    <mergeCell ref="AC55:AC56"/>
    <mergeCell ref="A49:A50"/>
    <mergeCell ref="B49:B50"/>
    <mergeCell ref="C49:C50"/>
    <mergeCell ref="AC49:AC50"/>
    <mergeCell ref="A51:A52"/>
    <mergeCell ref="B51:B52"/>
    <mergeCell ref="C51:C52"/>
    <mergeCell ref="AC51:AC52"/>
    <mergeCell ref="A45:A46"/>
    <mergeCell ref="B45:B46"/>
    <mergeCell ref="C45:C46"/>
    <mergeCell ref="AC45:AC46"/>
    <mergeCell ref="A47:A48"/>
    <mergeCell ref="B47:B48"/>
    <mergeCell ref="C47:C48"/>
    <mergeCell ref="AC47:AC48"/>
    <mergeCell ref="A41:A42"/>
    <mergeCell ref="B41:B42"/>
    <mergeCell ref="C41:C42"/>
    <mergeCell ref="AC41:AC42"/>
    <mergeCell ref="A43:A44"/>
    <mergeCell ref="B43:B44"/>
    <mergeCell ref="C43:C44"/>
    <mergeCell ref="AC43:AC44"/>
    <mergeCell ref="A37:A38"/>
    <mergeCell ref="B37:B38"/>
    <mergeCell ref="C37:C38"/>
    <mergeCell ref="AC37:AC38"/>
    <mergeCell ref="A39:A40"/>
    <mergeCell ref="B39:B40"/>
    <mergeCell ref="C39:C40"/>
    <mergeCell ref="AC39:AC40"/>
    <mergeCell ref="A33:A34"/>
    <mergeCell ref="B33:B34"/>
    <mergeCell ref="C33:C34"/>
    <mergeCell ref="AC33:AC34"/>
    <mergeCell ref="A35:A36"/>
    <mergeCell ref="B35:B36"/>
    <mergeCell ref="C35:C36"/>
    <mergeCell ref="AC35:AC36"/>
    <mergeCell ref="A29:A30"/>
    <mergeCell ref="B29:B30"/>
    <mergeCell ref="C29:C30"/>
    <mergeCell ref="AC29:AC30"/>
    <mergeCell ref="A31:A32"/>
    <mergeCell ref="B31:B32"/>
    <mergeCell ref="C31:C32"/>
    <mergeCell ref="AC31:AC32"/>
    <mergeCell ref="A25:A26"/>
    <mergeCell ref="B25:B26"/>
    <mergeCell ref="C25:C26"/>
    <mergeCell ref="AC25:AC26"/>
    <mergeCell ref="A27:A28"/>
    <mergeCell ref="B27:B28"/>
    <mergeCell ref="C27:C28"/>
    <mergeCell ref="AC27:AC28"/>
    <mergeCell ref="A21:A22"/>
    <mergeCell ref="B21:B22"/>
    <mergeCell ref="C21:C22"/>
    <mergeCell ref="AC21:AC22"/>
    <mergeCell ref="A23:A24"/>
    <mergeCell ref="B23:B24"/>
    <mergeCell ref="C23:C24"/>
    <mergeCell ref="AC23:AC24"/>
    <mergeCell ref="A17:A18"/>
    <mergeCell ref="B17:B18"/>
    <mergeCell ref="C17:C18"/>
    <mergeCell ref="AC17:AC18"/>
    <mergeCell ref="A19:A20"/>
    <mergeCell ref="B19:B20"/>
    <mergeCell ref="C19:C20"/>
    <mergeCell ref="AC19:AC20"/>
    <mergeCell ref="A15:A16"/>
    <mergeCell ref="B15:B16"/>
    <mergeCell ref="C15:C16"/>
    <mergeCell ref="AC15:AC16"/>
    <mergeCell ref="A9:A10"/>
    <mergeCell ref="B9:B10"/>
    <mergeCell ref="C9:C10"/>
    <mergeCell ref="AC9:AC10"/>
    <mergeCell ref="A11:A12"/>
    <mergeCell ref="B11:B12"/>
    <mergeCell ref="C11:C12"/>
    <mergeCell ref="AC11:AC12"/>
    <mergeCell ref="A5:A6"/>
    <mergeCell ref="B5:B6"/>
    <mergeCell ref="C5:C6"/>
    <mergeCell ref="AC5:AC6"/>
    <mergeCell ref="A7:A8"/>
    <mergeCell ref="B7:B8"/>
    <mergeCell ref="C7:C8"/>
    <mergeCell ref="AC7:AC8"/>
    <mergeCell ref="A13:A14"/>
    <mergeCell ref="B13:B14"/>
    <mergeCell ref="C13:C14"/>
    <mergeCell ref="AC13:AC14"/>
    <mergeCell ref="A129:A130"/>
    <mergeCell ref="B129:B130"/>
    <mergeCell ref="C129:C130"/>
    <mergeCell ref="A131:A132"/>
    <mergeCell ref="B131:B132"/>
    <mergeCell ref="C131:C132"/>
    <mergeCell ref="A133:A134"/>
    <mergeCell ref="B133:B134"/>
    <mergeCell ref="C133:C134"/>
    <mergeCell ref="A135:A136"/>
    <mergeCell ref="B135:B136"/>
    <mergeCell ref="C135:C136"/>
    <mergeCell ref="A137:A138"/>
    <mergeCell ref="B137:B138"/>
    <mergeCell ref="C137:C138"/>
    <mergeCell ref="A139:A140"/>
    <mergeCell ref="B139:B140"/>
    <mergeCell ref="C139:C140"/>
    <mergeCell ref="A141:A142"/>
    <mergeCell ref="B141:B142"/>
    <mergeCell ref="C141:C142"/>
    <mergeCell ref="A143:A144"/>
    <mergeCell ref="B143:B144"/>
    <mergeCell ref="C143:C144"/>
    <mergeCell ref="A145:A146"/>
    <mergeCell ref="B145:B146"/>
    <mergeCell ref="C145:C146"/>
    <mergeCell ref="A147:A148"/>
    <mergeCell ref="B147:B148"/>
    <mergeCell ref="C147:C148"/>
    <mergeCell ref="A149:A150"/>
    <mergeCell ref="B149:B150"/>
    <mergeCell ref="C149:C150"/>
    <mergeCell ref="A151:A152"/>
    <mergeCell ref="B151:B152"/>
    <mergeCell ref="C151:C152"/>
    <mergeCell ref="A153:A154"/>
    <mergeCell ref="B153:B154"/>
    <mergeCell ref="C153:C154"/>
    <mergeCell ref="A155:A156"/>
    <mergeCell ref="B155:B156"/>
    <mergeCell ref="C155:C156"/>
    <mergeCell ref="A157:A158"/>
    <mergeCell ref="B157:B158"/>
    <mergeCell ref="C157:C158"/>
  </mergeCells>
  <conditionalFormatting sqref="D8:AB8 D10:AB10 D12:AB12 D14:AB14 D16:AB16 D18:AB18 D20:AB20 D22:AB22 D24:AB24 D26:AB26 D28:AB28 D30:AB30 D32:AB32 D34:AB34 D36:AB36 D38:AB38 D40:AB40 D42:AB42 D44:AB44 D46:AB46 D48:AB48 D50:AB50 D52:AB52 D58:AB58 D60:AB60 D62:AB62 D64:AB64 D66:AB66 D68:AB68 D74:AB74 D76:AB76 D78:AB78 D80:AB80 D82:AB82 D84:AB84 D86:AB86 D88:AB88 D90:AB90 D92:AB92 D94:AB94 D96:AB96 D98:AB98 D100:AB100 D102:AB102 D104:AB104 D106:AB106 D108:AB108 D110:AB110 D112:AB112 D114:AB114 D116:AB116 D118:AB118 D122:AB122 D124:AB124 D126:AB126 D128:AB128 D6:AB6 D159:AB159 AB129:AB158 D130:AA130 D132:AA132 D134:AA134 D136:AA136 D138:AA138 AA139:AA158 D140:Z140 D142:Z142 D144:Z144 D146:Z146 D148:Z148 D150:Z150 D152:Z152 D154:Z154 D156:Z156 D158:Z158 D120:AB120">
    <cfRule type="cellIs" dxfId="55" priority="53" operator="greaterThan">
      <formula>0</formula>
    </cfRule>
  </conditionalFormatting>
  <conditionalFormatting sqref="AF4:AH31">
    <cfRule type="expression" dxfId="54" priority="49">
      <formula>AND(ROW()&gt;=4,ROW()&lt;=5)</formula>
    </cfRule>
    <cfRule type="expression" dxfId="53" priority="50">
      <formula>TRUE</formula>
    </cfRule>
  </conditionalFormatting>
  <conditionalFormatting sqref="AF74:AH113">
    <cfRule type="expression" dxfId="52" priority="47">
      <formula>AND(ROW()&gt;=74,ROW()&lt;=75)</formula>
    </cfRule>
    <cfRule type="expression" dxfId="51" priority="48">
      <formula>TRUE</formula>
    </cfRule>
  </conditionalFormatting>
  <conditionalFormatting sqref="W81">
    <cfRule type="cellIs" dxfId="50" priority="43" operator="equal">
      <formula>0</formula>
    </cfRule>
  </conditionalFormatting>
  <conditionalFormatting sqref="S15:W15">
    <cfRule type="cellIs" dxfId="49" priority="8" operator="equal">
      <formula>0</formula>
    </cfRule>
  </conditionalFormatting>
  <conditionalFormatting sqref="S99:W99">
    <cfRule type="cellIs" dxfId="48" priority="7" operator="equal">
      <formula>0</formula>
    </cfRule>
  </conditionalFormatting>
  <conditionalFormatting sqref="W13">
    <cfRule type="cellIs" dxfId="47" priority="6" operator="equal">
      <formula>0</formula>
    </cfRule>
  </conditionalFormatting>
  <conditionalFormatting sqref="V13">
    <cfRule type="cellIs" dxfId="46" priority="5" operator="equal">
      <formula>0</formula>
    </cfRule>
  </conditionalFormatting>
  <conditionalFormatting sqref="S13:U13">
    <cfRule type="cellIs" dxfId="45" priority="4" operator="equal">
      <formula>0</formula>
    </cfRule>
  </conditionalFormatting>
  <conditionalFormatting sqref="W105">
    <cfRule type="cellIs" dxfId="44" priority="3" operator="equal">
      <formula>0</formula>
    </cfRule>
  </conditionalFormatting>
  <conditionalFormatting sqref="V105">
    <cfRule type="cellIs" dxfId="43" priority="2" operator="equal">
      <formula>0</formula>
    </cfRule>
  </conditionalFormatting>
  <conditionalFormatting sqref="S105:U105">
    <cfRule type="cellIs" dxfId="42" priority="1" operator="equal">
      <formula>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4" r:id="rId4" name="Button 42">
              <controlPr defaultSize="0" print="0" autoFill="0" autoPict="0" macro="[0]!Ordenar_Tablas">
                <anchor moveWithCells="1" sizeWithCells="1">
                  <from>
                    <xdr:col>21</xdr:col>
                    <xdr:colOff>504825</xdr:colOff>
                    <xdr:row>0</xdr:row>
                    <xdr:rowOff>133350</xdr:rowOff>
                  </from>
                  <to>
                    <xdr:col>24</xdr:col>
                    <xdr:colOff>76200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" name="Button 43">
              <controlPr defaultSize="0" print="0" autoFill="0" autoPict="0" macro="[0]!Limpiar_Por_Rangos">
                <anchor moveWithCells="1" sizeWithCells="1">
                  <from>
                    <xdr:col>19</xdr:col>
                    <xdr:colOff>180975</xdr:colOff>
                    <xdr:row>1</xdr:row>
                    <xdr:rowOff>19050</xdr:rowOff>
                  </from>
                  <to>
                    <xdr:col>21</xdr:col>
                    <xdr:colOff>76200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U156"/>
  <sheetViews>
    <sheetView showGridLines="0" zoomScaleNormal="100" workbookViewId="0">
      <selection activeCell="A7" sqref="A7:A8"/>
    </sheetView>
  </sheetViews>
  <sheetFormatPr baseColWidth="10" defaultColWidth="14.3984375" defaultRowHeight="13.15" x14ac:dyDescent="0.4"/>
  <cols>
    <col min="1" max="1" width="4.59765625" style="1" bestFit="1" customWidth="1"/>
    <col min="2" max="2" width="36.59765625" style="2" bestFit="1" customWidth="1"/>
    <col min="3" max="3" width="13.73046875" style="2" bestFit="1" customWidth="1"/>
    <col min="4" max="5" width="6.3984375" style="2" bestFit="1" customWidth="1"/>
    <col min="6" max="6" width="5.59765625" style="2" bestFit="1" customWidth="1"/>
    <col min="7" max="7" width="6.3984375" style="2" bestFit="1" customWidth="1"/>
    <col min="8" max="8" width="6.1328125" style="2" customWidth="1"/>
    <col min="9" max="9" width="6.3984375" style="2" bestFit="1" customWidth="1"/>
    <col min="10" max="15" width="7.86328125" style="2" bestFit="1" customWidth="1"/>
    <col min="16" max="16" width="7" style="2" bestFit="1" customWidth="1"/>
    <col min="17" max="17" width="7.86328125" style="2" bestFit="1" customWidth="1"/>
    <col min="18" max="18" width="7.3984375" style="2" customWidth="1"/>
    <col min="19" max="19" width="7.1328125" style="2" customWidth="1"/>
    <col min="20" max="20" width="6.59765625" style="2" customWidth="1"/>
    <col min="21" max="21" width="6.86328125" style="2" customWidth="1"/>
    <col min="22" max="22" width="7.1328125" style="2" customWidth="1"/>
    <col min="23" max="23" width="5.86328125" style="2" customWidth="1"/>
    <col min="24" max="25" width="6.265625" style="2" customWidth="1"/>
    <col min="26" max="26" width="5.86328125" style="2" customWidth="1"/>
    <col min="27" max="27" width="6.59765625" style="2" customWidth="1"/>
    <col min="28" max="28" width="6.86328125" style="2" customWidth="1"/>
    <col min="29" max="29" width="9.73046875" style="2" customWidth="1"/>
    <col min="30" max="30" width="3.265625" style="2" customWidth="1"/>
    <col min="31" max="31" width="8" style="2" customWidth="1"/>
    <col min="32" max="32" width="25.265625" style="2" bestFit="1" customWidth="1"/>
    <col min="33" max="33" width="11.73046875" style="2" bestFit="1" customWidth="1"/>
    <col min="34" max="34" width="9" style="2" bestFit="1" customWidth="1"/>
    <col min="35" max="35" width="20.3984375" style="2" bestFit="1" customWidth="1"/>
    <col min="36" max="36" width="20.265625" style="2" bestFit="1" customWidth="1"/>
    <col min="37" max="37" width="20.3984375" style="2" bestFit="1" customWidth="1"/>
    <col min="38" max="38" width="26.73046875" style="2" bestFit="1" customWidth="1"/>
    <col min="39" max="39" width="16.265625" style="2" bestFit="1" customWidth="1"/>
    <col min="40" max="40" width="18.59765625" style="2" bestFit="1" customWidth="1"/>
    <col min="41" max="41" width="14.3984375" style="2"/>
    <col min="42" max="42" width="7.86328125" style="2" customWidth="1"/>
    <col min="43" max="43" width="30.1328125" style="2" bestFit="1" customWidth="1"/>
    <col min="44" max="16384" width="14.3984375" style="2"/>
  </cols>
  <sheetData>
    <row r="1" spans="1:47" s="46" customFormat="1" ht="11.25" customHeight="1" x14ac:dyDescent="0.4">
      <c r="A1" s="267" t="s">
        <v>17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</row>
    <row r="2" spans="1:47" ht="22.5" customHeight="1" x14ac:dyDescent="0.5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E2" s="271" t="s">
        <v>54</v>
      </c>
      <c r="AF2" s="265"/>
      <c r="AG2" s="265"/>
      <c r="AH2" s="266"/>
      <c r="AI2" s="52">
        <v>9</v>
      </c>
      <c r="AJ2" s="52"/>
      <c r="AK2" s="52">
        <v>10</v>
      </c>
      <c r="AL2" s="52"/>
      <c r="AM2" s="52">
        <v>11</v>
      </c>
      <c r="AN2" s="52"/>
      <c r="AP2" s="264" t="s">
        <v>55</v>
      </c>
      <c r="AQ2" s="265"/>
      <c r="AR2" s="265"/>
      <c r="AS2" s="265"/>
      <c r="AT2" s="265"/>
      <c r="AU2" s="266"/>
    </row>
    <row r="3" spans="1:47" ht="19.5" x14ac:dyDescent="0.5">
      <c r="A3" s="268"/>
      <c r="B3" s="268"/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E3" s="141" t="s">
        <v>37</v>
      </c>
      <c r="AF3" s="142" t="s">
        <v>14</v>
      </c>
      <c r="AG3" s="143" t="s">
        <v>15</v>
      </c>
      <c r="AH3" s="143" t="s">
        <v>52</v>
      </c>
      <c r="AI3" s="51" t="str">
        <f>"Prono Carrera "&amp;AI2</f>
        <v>Prono Carrera 9</v>
      </c>
      <c r="AJ3" s="51" t="s">
        <v>42</v>
      </c>
      <c r="AK3" s="51" t="str">
        <f>"Prono Carrera "&amp;AK2</f>
        <v>Prono Carrera 10</v>
      </c>
      <c r="AL3" s="51" t="s">
        <v>42</v>
      </c>
      <c r="AM3" s="51" t="str">
        <f>"Prono Carrera "&amp;AM2</f>
        <v>Prono Carrera 11</v>
      </c>
      <c r="AN3" s="51" t="s">
        <v>42</v>
      </c>
      <c r="AP3" s="141" t="s">
        <v>37</v>
      </c>
      <c r="AQ3" s="142" t="s">
        <v>14</v>
      </c>
      <c r="AR3" s="143" t="s">
        <v>44</v>
      </c>
      <c r="AS3" s="143" t="s">
        <v>45</v>
      </c>
      <c r="AT3" s="143" t="s">
        <v>15</v>
      </c>
      <c r="AU3" s="143" t="s">
        <v>52</v>
      </c>
    </row>
    <row r="4" spans="1:47" ht="15" customHeight="1" x14ac:dyDescent="0.4">
      <c r="A4" s="115" t="s">
        <v>0</v>
      </c>
      <c r="B4" s="115" t="s">
        <v>14</v>
      </c>
      <c r="C4" s="115" t="s">
        <v>18</v>
      </c>
      <c r="D4" s="115">
        <v>1</v>
      </c>
      <c r="E4" s="115">
        <v>2</v>
      </c>
      <c r="F4" s="115">
        <v>3</v>
      </c>
      <c r="G4" s="115">
        <v>4</v>
      </c>
      <c r="H4" s="115">
        <v>5</v>
      </c>
      <c r="I4" s="115">
        <v>6</v>
      </c>
      <c r="J4" s="115">
        <v>7</v>
      </c>
      <c r="K4" s="115">
        <v>8</v>
      </c>
      <c r="L4" s="115">
        <v>9</v>
      </c>
      <c r="M4" s="115">
        <v>10</v>
      </c>
      <c r="N4" s="115">
        <v>11</v>
      </c>
      <c r="O4" s="115">
        <v>12</v>
      </c>
      <c r="P4" s="115">
        <v>13</v>
      </c>
      <c r="Q4" s="115">
        <v>14</v>
      </c>
      <c r="R4" s="115">
        <v>15</v>
      </c>
      <c r="S4" s="115">
        <v>16</v>
      </c>
      <c r="T4" s="115">
        <v>17</v>
      </c>
      <c r="U4" s="115">
        <v>18</v>
      </c>
      <c r="V4" s="115">
        <v>19</v>
      </c>
      <c r="W4" s="115">
        <v>20</v>
      </c>
      <c r="X4" s="115">
        <v>21</v>
      </c>
      <c r="Y4" s="115">
        <v>22</v>
      </c>
      <c r="Z4" s="115">
        <v>23</v>
      </c>
      <c r="AA4" s="115">
        <v>24</v>
      </c>
      <c r="AB4" s="115">
        <v>25</v>
      </c>
      <c r="AC4" s="115" t="s">
        <v>19</v>
      </c>
      <c r="AE4" s="144">
        <v>1</v>
      </c>
      <c r="AF4" s="145" t="str">
        <f>IF(ISBLANK(STUD!B11)," ",STUD!B11)</f>
        <v>PASASTE BANDIDO</v>
      </c>
      <c r="AG4" s="185">
        <f t="shared" ref="AG4:AG31" si="0">IFERROR(VLOOKUP(AF4,$B$5:$C$68,2,0),0)</f>
        <v>59.9</v>
      </c>
      <c r="AH4" s="185"/>
      <c r="AI4" s="88">
        <f t="shared" ref="AI4:AI31" si="1">IFERROR(
   VLOOKUP(AF4, $B$5:$Y$68, CHOOSE($AI$2, 3, 4, 5, 6, 7, 8, 9, 10, 11, 12, 13, 14, 15, 16, 17, 18, 19, 20, 21, 22, 23, 24, 25, 26, 27, 28, 29), 0),
   " "
)</f>
        <v>7</v>
      </c>
      <c r="AJ4" s="53" t="str">
        <f>IF(AI4="","",IFERROR(IF(VLOOKUP(AI4,Programa!$G$3:$H$18,2,0)="","",VLOOKUP(AI4,Programa!$G$3:$H$18,2,0)),""))</f>
        <v>EL INDOLENTE</v>
      </c>
      <c r="AK4" s="53">
        <f t="shared" ref="AK4:AK31" si="2">IFERROR(
   VLOOKUP(AF4, $B$5:$Y$68, CHOOSE($AK$2, 3, 4, 5, 6, 7, 8, 9, 10, 11, 12, 13, 14, 15, 16, 17, 18, 19, 20, 21, 22, 23, 24, 25, 26, 27, 28, 29), 0),
   " "
)</f>
        <v>0</v>
      </c>
      <c r="AL4" s="53" t="str">
        <f>IF(AK4="","",IFERROR(IF(VLOOKUP(AK4,Programa!$G$19:$H$34,2,0)="","",VLOOKUP(AK4,Programa!$G$19:$H$34,2,0)),""))</f>
        <v/>
      </c>
      <c r="AM4" s="53">
        <f t="shared" ref="AM4:AM31" si="3">IFERROR(
   VLOOKUP(AF4, $B$5:$Y$68, CHOOSE($AM$2, 3, 4, 5, 6, 7, 8, 9, 10, 11, 12, 13, 14, 15, 16, 17, 18, 19, 20, 21, 22, 23, 24, 25, 26, 27, 28, 29), 0),
   " "
)</f>
        <v>0</v>
      </c>
      <c r="AN4" s="53" t="str">
        <f>IF(AM4="","",IFERROR(IF(VLOOKUP(AM4,Programa!$G$35:$H$50,2,0)="","",VLOOKUP(AM4,Programa!$G$35:$H$50,2,0)),""))</f>
        <v/>
      </c>
      <c r="AP4" s="228">
        <v>1</v>
      </c>
      <c r="AQ4" s="230" t="str">
        <f>IF(ISBLANK(STUD!B11)," ",STUD!B11)</f>
        <v>PASASTE BANDIDO</v>
      </c>
      <c r="AR4" s="231">
        <f>IFERROR(VLOOKUP(AQ4,Lunes!$AF$4:$AG$31,2,0),0)</f>
        <v>4</v>
      </c>
      <c r="AS4" s="231">
        <f t="shared" ref="AS4:AS31" si="4">IFERROR(VLOOKUP(AQ4,$B$5:$C$68,2,0),0)</f>
        <v>59.9</v>
      </c>
      <c r="AT4" s="231">
        <f t="shared" ref="AT4:AT31" si="5">SUM(AR4:AS4)</f>
        <v>63.9</v>
      </c>
      <c r="AU4" s="231"/>
    </row>
    <row r="5" spans="1:47" ht="15.75" customHeight="1" x14ac:dyDescent="0.4">
      <c r="A5" s="252">
        <v>1</v>
      </c>
      <c r="B5" s="253" t="str">
        <f>+STUD!B2</f>
        <v>SOSAMAFIA</v>
      </c>
      <c r="C5" s="244">
        <f>SUM(D6:AB6)</f>
        <v>14.9</v>
      </c>
      <c r="D5" s="129">
        <v>2</v>
      </c>
      <c r="E5" s="129">
        <v>5</v>
      </c>
      <c r="F5" s="129">
        <v>6</v>
      </c>
      <c r="G5" s="129">
        <v>1</v>
      </c>
      <c r="H5" s="129">
        <v>9</v>
      </c>
      <c r="I5" s="129">
        <v>3</v>
      </c>
      <c r="J5" s="129">
        <v>10</v>
      </c>
      <c r="K5" s="129">
        <v>4</v>
      </c>
      <c r="L5" s="129">
        <v>6</v>
      </c>
      <c r="M5" s="129"/>
      <c r="N5" s="129"/>
      <c r="O5" s="130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243">
        <f>SUM(D6:AB6)</f>
        <v>14.9</v>
      </c>
      <c r="AE5" s="155">
        <v>2</v>
      </c>
      <c r="AF5" s="145" t="str">
        <f>IF(ISBLANK(STUD!B15)," ",STUD!B15)</f>
        <v xml:space="preserve"> </v>
      </c>
      <c r="AG5" s="185">
        <f t="shared" si="0"/>
        <v>0</v>
      </c>
      <c r="AH5" s="185">
        <f t="shared" ref="AH5:AH31" si="6">$AG$4-AG5</f>
        <v>59.9</v>
      </c>
      <c r="AI5" s="88" t="str">
        <f t="shared" si="1"/>
        <v xml:space="preserve"> </v>
      </c>
      <c r="AJ5" s="53" t="str">
        <f>IF(AI5="","",IFERROR(IF(VLOOKUP(AI5,Programa!$G$3:$H$18,2,0)="","",VLOOKUP(AI5,Programa!$G$3:$H$18,2,0)),""))</f>
        <v/>
      </c>
      <c r="AK5" s="53" t="str">
        <f t="shared" si="2"/>
        <v xml:space="preserve"> </v>
      </c>
      <c r="AL5" s="53" t="str">
        <f>IF(AK5="","",IFERROR(IF(VLOOKUP(AK5,Programa!$G$19:$H$34,2,0)="","",VLOOKUP(AK5,Programa!$G$19:$H$34,2,0)),""))</f>
        <v/>
      </c>
      <c r="AM5" s="53" t="str">
        <f t="shared" si="3"/>
        <v xml:space="preserve"> </v>
      </c>
      <c r="AN5" s="53" t="str">
        <f>IF(AM5="","",IFERROR(IF(VLOOKUP(AM5,Programa!$G$35:$H$50,2,0)="","",VLOOKUP(AM5,Programa!$G$35:$H$50,2,0)),""))</f>
        <v/>
      </c>
      <c r="AP5" s="228">
        <v>2</v>
      </c>
      <c r="AQ5" s="230" t="str">
        <f>IF(ISBLANK(STUD!B12)," ",STUD!B12)</f>
        <v xml:space="preserve"> </v>
      </c>
      <c r="AR5" s="231">
        <f>IFERROR(VLOOKUP(AQ5,Lunes!$AF$4:$AG$31,2,0),0)</f>
        <v>0</v>
      </c>
      <c r="AS5" s="231">
        <f t="shared" si="4"/>
        <v>0</v>
      </c>
      <c r="AT5" s="231">
        <f t="shared" si="5"/>
        <v>0</v>
      </c>
      <c r="AU5" s="231">
        <f t="shared" ref="AU5:AU31" si="7">$AT$4-AT5</f>
        <v>63.9</v>
      </c>
    </row>
    <row r="6" spans="1:47" ht="15" customHeight="1" x14ac:dyDescent="0.4">
      <c r="A6" s="242"/>
      <c r="B6" s="253"/>
      <c r="C6" s="245"/>
      <c r="D6" s="138">
        <f t="shared" ref="D6:AB6" si="8">IF(IFERROR(IF(VLOOKUP(D5,D$151:D$155,1,0)&gt;=1,D$150,0),D5)=D$132,D$136,IF(IFERROR(IF(VLOOKUP(D5,D$151:D$155,1,0)&gt;=1,D$150,0),D5)=D$139,D$142,IF(IFERROR(IF(VLOOKUP(D5,D$151:D$155,1,0)&gt;=1,D$150,0),D5)=D$145,D$147,0)))</f>
        <v>0</v>
      </c>
      <c r="E6" s="138">
        <f t="shared" si="8"/>
        <v>0</v>
      </c>
      <c r="F6" s="138">
        <f t="shared" si="8"/>
        <v>4</v>
      </c>
      <c r="G6" s="138">
        <f t="shared" si="8"/>
        <v>0</v>
      </c>
      <c r="H6" s="138">
        <f t="shared" si="8"/>
        <v>4</v>
      </c>
      <c r="I6" s="138">
        <f t="shared" si="8"/>
        <v>3.3</v>
      </c>
      <c r="J6" s="138">
        <f t="shared" si="8"/>
        <v>0</v>
      </c>
      <c r="K6" s="138">
        <f t="shared" si="8"/>
        <v>0</v>
      </c>
      <c r="L6" s="138">
        <f t="shared" si="8"/>
        <v>3.6</v>
      </c>
      <c r="M6" s="138">
        <f t="shared" si="8"/>
        <v>0</v>
      </c>
      <c r="N6" s="138">
        <f t="shared" si="8"/>
        <v>0</v>
      </c>
      <c r="O6" s="138">
        <f t="shared" si="8"/>
        <v>0</v>
      </c>
      <c r="P6" s="138">
        <f t="shared" si="8"/>
        <v>0</v>
      </c>
      <c r="Q6" s="138">
        <f t="shared" si="8"/>
        <v>0</v>
      </c>
      <c r="R6" s="138">
        <f t="shared" si="8"/>
        <v>0</v>
      </c>
      <c r="S6" s="138">
        <f t="shared" si="8"/>
        <v>0</v>
      </c>
      <c r="T6" s="138">
        <f t="shared" si="8"/>
        <v>0</v>
      </c>
      <c r="U6" s="138">
        <f t="shared" si="8"/>
        <v>0</v>
      </c>
      <c r="V6" s="138">
        <f t="shared" si="8"/>
        <v>0</v>
      </c>
      <c r="W6" s="138">
        <f t="shared" si="8"/>
        <v>0</v>
      </c>
      <c r="X6" s="138">
        <f t="shared" si="8"/>
        <v>0</v>
      </c>
      <c r="Y6" s="138">
        <f t="shared" si="8"/>
        <v>0</v>
      </c>
      <c r="Z6" s="138">
        <f t="shared" si="8"/>
        <v>0</v>
      </c>
      <c r="AA6" s="138">
        <f t="shared" si="8"/>
        <v>0</v>
      </c>
      <c r="AB6" s="138">
        <f t="shared" si="8"/>
        <v>0</v>
      </c>
      <c r="AC6" s="243"/>
      <c r="AE6" s="152">
        <v>3</v>
      </c>
      <c r="AF6" s="145" t="str">
        <f>IF(ISBLANK(STUD!B12)," ",STUD!B12)</f>
        <v xml:space="preserve"> </v>
      </c>
      <c r="AG6" s="185">
        <f t="shared" si="0"/>
        <v>0</v>
      </c>
      <c r="AH6" s="185">
        <f t="shared" si="6"/>
        <v>59.9</v>
      </c>
      <c r="AI6" s="88" t="str">
        <f t="shared" si="1"/>
        <v xml:space="preserve"> </v>
      </c>
      <c r="AJ6" s="53" t="str">
        <f>IF(AI6="","",IFERROR(IF(VLOOKUP(AI6,Programa!$G$3:$H$18,2,0)="","",VLOOKUP(AI6,Programa!$G$3:$H$18,2,0)),""))</f>
        <v/>
      </c>
      <c r="AK6" s="53" t="str">
        <f t="shared" si="2"/>
        <v xml:space="preserve"> </v>
      </c>
      <c r="AL6" s="53" t="str">
        <f>IF(AK6="","",IFERROR(IF(VLOOKUP(AK6,Programa!$G$19:$H$34,2,0)="","",VLOOKUP(AK6,Programa!$G$19:$H$34,2,0)),""))</f>
        <v/>
      </c>
      <c r="AM6" s="53" t="str">
        <f t="shared" si="3"/>
        <v xml:space="preserve"> </v>
      </c>
      <c r="AN6" s="53" t="str">
        <f>IF(AM6="","",IFERROR(IF(VLOOKUP(AM6,Programa!$G$35:$H$50,2,0)="","",VLOOKUP(AM6,Programa!$G$35:$H$50,2,0)),""))</f>
        <v/>
      </c>
      <c r="AP6" s="228">
        <v>3</v>
      </c>
      <c r="AQ6" s="230" t="str">
        <f>IF(ISBLANK(STUD!B15)," ",STUD!B15)</f>
        <v xml:space="preserve"> </v>
      </c>
      <c r="AR6" s="231">
        <f>IFERROR(VLOOKUP(AQ6,Lunes!$AF$4:$AG$31,2,0),0)</f>
        <v>0</v>
      </c>
      <c r="AS6" s="231">
        <f t="shared" si="4"/>
        <v>0</v>
      </c>
      <c r="AT6" s="231">
        <f t="shared" si="5"/>
        <v>0</v>
      </c>
      <c r="AU6" s="231">
        <f t="shared" si="7"/>
        <v>63.9</v>
      </c>
    </row>
    <row r="7" spans="1:47" ht="15.75" customHeight="1" x14ac:dyDescent="0.4">
      <c r="A7" s="252">
        <f>+A5+1</f>
        <v>2</v>
      </c>
      <c r="B7" s="253" t="str">
        <f>+STUD!B3</f>
        <v>EL JOYERO</v>
      </c>
      <c r="C7" s="244">
        <f>SUM(D8:AB8)</f>
        <v>25.4</v>
      </c>
      <c r="D7" s="129">
        <v>10</v>
      </c>
      <c r="E7" s="129">
        <v>6</v>
      </c>
      <c r="F7" s="129">
        <v>2</v>
      </c>
      <c r="G7" s="129">
        <v>3</v>
      </c>
      <c r="H7" s="129">
        <v>1</v>
      </c>
      <c r="I7" s="129">
        <v>5</v>
      </c>
      <c r="J7" s="129">
        <v>7</v>
      </c>
      <c r="K7" s="129">
        <v>8</v>
      </c>
      <c r="L7" s="129">
        <v>11</v>
      </c>
      <c r="M7" s="130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243">
        <f>SUM(D8:AB8)</f>
        <v>25.4</v>
      </c>
      <c r="AE7" s="148">
        <v>4</v>
      </c>
      <c r="AF7" s="145" t="str">
        <f>IF(ISBLANK(STUD!B16)," ",STUD!B16)</f>
        <v xml:space="preserve"> </v>
      </c>
      <c r="AG7" s="185">
        <f t="shared" si="0"/>
        <v>0</v>
      </c>
      <c r="AH7" s="185">
        <f t="shared" si="6"/>
        <v>59.9</v>
      </c>
      <c r="AI7" s="88" t="str">
        <f t="shared" si="1"/>
        <v xml:space="preserve"> </v>
      </c>
      <c r="AJ7" s="53" t="str">
        <f>IF(AI7="","",IFERROR(IF(VLOOKUP(AI7,Programa!$G$3:$H$18,2,0)="","",VLOOKUP(AI7,Programa!$G$3:$H$18,2,0)),""))</f>
        <v/>
      </c>
      <c r="AK7" s="53" t="str">
        <f t="shared" si="2"/>
        <v xml:space="preserve"> </v>
      </c>
      <c r="AL7" s="53" t="str">
        <f>IF(AK7="","",IFERROR(IF(VLOOKUP(AK7,Programa!$G$19:$H$34,2,0)="","",VLOOKUP(AK7,Programa!$G$19:$H$34,2,0)),""))</f>
        <v/>
      </c>
      <c r="AM7" s="53" t="str">
        <f t="shared" si="3"/>
        <v xml:space="preserve"> </v>
      </c>
      <c r="AN7" s="53" t="str">
        <f>IF(AM7="","",IFERROR(IF(VLOOKUP(AM7,Programa!$G$35:$H$50,2,0)="","",VLOOKUP(AM7,Programa!$G$35:$H$50,2,0)),""))</f>
        <v/>
      </c>
      <c r="AP7" s="228">
        <v>4</v>
      </c>
      <c r="AQ7" s="230" t="str">
        <f>IF(ISBLANK(STUD!B5)," ",STUD!B5)</f>
        <v>KUME</v>
      </c>
      <c r="AR7" s="231">
        <f>IFERROR(VLOOKUP(AQ7,Lunes!$AF$4:$AG$31,2,0),0)</f>
        <v>9.7000000000000011</v>
      </c>
      <c r="AS7" s="231">
        <f t="shared" si="4"/>
        <v>38.200000000000003</v>
      </c>
      <c r="AT7" s="231">
        <f t="shared" si="5"/>
        <v>47.900000000000006</v>
      </c>
      <c r="AU7" s="231">
        <f t="shared" si="7"/>
        <v>15.999999999999993</v>
      </c>
    </row>
    <row r="8" spans="1:47" ht="15" customHeight="1" x14ac:dyDescent="0.4">
      <c r="A8" s="242"/>
      <c r="B8" s="253"/>
      <c r="C8" s="245"/>
      <c r="D8" s="138">
        <f t="shared" ref="D8:AB8" si="9">IF(IFERROR(IF(VLOOKUP(D7,D$151:D$155,1,0)&gt;=1,D$150,0),D7)=D$132,D$136,IF(IFERROR(IF(VLOOKUP(D7,D$151:D$155,1,0)&gt;=1,D$150,0),D7)=D$139,D$142,IF(IFERROR(IF(VLOOKUP(D7,D$151:D$155,1,0)&gt;=1,D$150,0),D7)=D$145,D$147,0)))</f>
        <v>6.1</v>
      </c>
      <c r="E8" s="138">
        <f t="shared" si="9"/>
        <v>3.3</v>
      </c>
      <c r="F8" s="138">
        <f t="shared" si="9"/>
        <v>0</v>
      </c>
      <c r="G8" s="138">
        <f t="shared" si="9"/>
        <v>16</v>
      </c>
      <c r="H8" s="138">
        <f t="shared" si="9"/>
        <v>0</v>
      </c>
      <c r="I8" s="138">
        <f t="shared" si="9"/>
        <v>0</v>
      </c>
      <c r="J8" s="138">
        <f t="shared" si="9"/>
        <v>0</v>
      </c>
      <c r="K8" s="138">
        <f t="shared" si="9"/>
        <v>0</v>
      </c>
      <c r="L8" s="138">
        <f t="shared" si="9"/>
        <v>0</v>
      </c>
      <c r="M8" s="138">
        <f t="shared" si="9"/>
        <v>0</v>
      </c>
      <c r="N8" s="138">
        <f t="shared" si="9"/>
        <v>0</v>
      </c>
      <c r="O8" s="138">
        <f t="shared" si="9"/>
        <v>0</v>
      </c>
      <c r="P8" s="138">
        <f t="shared" si="9"/>
        <v>0</v>
      </c>
      <c r="Q8" s="138">
        <f t="shared" si="9"/>
        <v>0</v>
      </c>
      <c r="R8" s="138">
        <f t="shared" si="9"/>
        <v>0</v>
      </c>
      <c r="S8" s="138">
        <f t="shared" si="9"/>
        <v>0</v>
      </c>
      <c r="T8" s="138">
        <f t="shared" si="9"/>
        <v>0</v>
      </c>
      <c r="U8" s="138">
        <f t="shared" si="9"/>
        <v>0</v>
      </c>
      <c r="V8" s="138">
        <f t="shared" si="9"/>
        <v>0</v>
      </c>
      <c r="W8" s="138">
        <f t="shared" si="9"/>
        <v>0</v>
      </c>
      <c r="X8" s="138">
        <f t="shared" si="9"/>
        <v>0</v>
      </c>
      <c r="Y8" s="138">
        <f t="shared" si="9"/>
        <v>0</v>
      </c>
      <c r="Z8" s="138">
        <f t="shared" si="9"/>
        <v>0</v>
      </c>
      <c r="AA8" s="138">
        <f t="shared" si="9"/>
        <v>0</v>
      </c>
      <c r="AB8" s="138">
        <f t="shared" si="9"/>
        <v>0</v>
      </c>
      <c r="AC8" s="243"/>
      <c r="AE8" s="146">
        <v>5</v>
      </c>
      <c r="AF8" s="145" t="str">
        <f>IF(ISBLANK(STUD!B5)," ",STUD!B5)</f>
        <v>KUME</v>
      </c>
      <c r="AG8" s="185">
        <f t="shared" si="0"/>
        <v>38.200000000000003</v>
      </c>
      <c r="AH8" s="186">
        <f t="shared" si="6"/>
        <v>21.699999999999996</v>
      </c>
      <c r="AI8" s="88">
        <f t="shared" si="1"/>
        <v>3</v>
      </c>
      <c r="AJ8" s="53" t="str">
        <f>IF(AI8="","",IFERROR(IF(VLOOKUP(AI8,Programa!$G$3:$H$18,2,0)="","",VLOOKUP(AI8,Programa!$G$3:$H$18,2,0)),""))</f>
        <v>MI RINCON</v>
      </c>
      <c r="AK8" s="53">
        <f t="shared" si="2"/>
        <v>0</v>
      </c>
      <c r="AL8" s="53" t="str">
        <f>IF(AK8="","",IFERROR(IF(VLOOKUP(AK8,Programa!$G$19:$H$34,2,0)="","",VLOOKUP(AK8,Programa!$G$19:$H$34,2,0)),""))</f>
        <v/>
      </c>
      <c r="AM8" s="53">
        <f t="shared" si="3"/>
        <v>0</v>
      </c>
      <c r="AN8" s="53" t="str">
        <f>IF(AM8="","",IFERROR(IF(VLOOKUP(AM8,Programa!$G$35:$H$50,2,0)="","",VLOOKUP(AM8,Programa!$G$35:$H$50,2,0)),""))</f>
        <v/>
      </c>
      <c r="AP8" s="228">
        <v>5</v>
      </c>
      <c r="AQ8" s="230" t="str">
        <f>IF(ISBLANK(STUD!B2)," ",STUD!B2)</f>
        <v>SOSAMAFIA</v>
      </c>
      <c r="AR8" s="231">
        <f>IFERROR(VLOOKUP(AQ8,Lunes!$AF$4:$AG$31,2,0),0)</f>
        <v>4</v>
      </c>
      <c r="AS8" s="231">
        <f t="shared" si="4"/>
        <v>14.9</v>
      </c>
      <c r="AT8" s="231">
        <f t="shared" si="5"/>
        <v>18.899999999999999</v>
      </c>
      <c r="AU8" s="231">
        <f t="shared" si="7"/>
        <v>45</v>
      </c>
    </row>
    <row r="9" spans="1:47" ht="15.75" customHeight="1" x14ac:dyDescent="0.4">
      <c r="A9" s="252">
        <f>+A7+1</f>
        <v>3</v>
      </c>
      <c r="B9" s="253" t="str">
        <f>+STUD!B4</f>
        <v>PAP</v>
      </c>
      <c r="C9" s="244">
        <f>SUM(D10:AB10)</f>
        <v>26.8</v>
      </c>
      <c r="D9" s="129">
        <v>7</v>
      </c>
      <c r="E9" s="129">
        <v>4</v>
      </c>
      <c r="F9" s="129">
        <v>2</v>
      </c>
      <c r="G9" s="129">
        <v>4</v>
      </c>
      <c r="H9" s="129">
        <v>9</v>
      </c>
      <c r="I9" s="129">
        <v>9</v>
      </c>
      <c r="J9" s="129">
        <v>2</v>
      </c>
      <c r="K9" s="129">
        <v>5</v>
      </c>
      <c r="L9" s="129">
        <v>3</v>
      </c>
      <c r="M9" s="129"/>
      <c r="N9" s="129"/>
      <c r="O9" s="130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243">
        <f>SUM(D10:AB10)</f>
        <v>26.8</v>
      </c>
      <c r="AE9" s="156">
        <v>6</v>
      </c>
      <c r="AF9" s="145" t="str">
        <f>IF(ISBLANK(STUD!B9)," ",STUD!B9)</f>
        <v>SERVIFRENOS</v>
      </c>
      <c r="AG9" s="185">
        <f t="shared" si="0"/>
        <v>35.900000000000006</v>
      </c>
      <c r="AH9" s="186">
        <f t="shared" si="6"/>
        <v>23.999999999999993</v>
      </c>
      <c r="AI9" s="88">
        <f t="shared" si="1"/>
        <v>3</v>
      </c>
      <c r="AJ9" s="53" t="str">
        <f>IF(AI9="","",IFERROR(IF(VLOOKUP(AI9,Programa!$G$3:$H$18,2,0)="","",VLOOKUP(AI9,Programa!$G$3:$H$18,2,0)),""))</f>
        <v>MI RINCON</v>
      </c>
      <c r="AK9" s="53">
        <f t="shared" si="2"/>
        <v>0</v>
      </c>
      <c r="AL9" s="53" t="str">
        <f>IF(AK9="","",IFERROR(IF(VLOOKUP(AK9,Programa!$G$19:$H$34,2,0)="","",VLOOKUP(AK9,Programa!$G$19:$H$34,2,0)),""))</f>
        <v/>
      </c>
      <c r="AM9" s="53">
        <f t="shared" si="3"/>
        <v>0</v>
      </c>
      <c r="AN9" s="53" t="str">
        <f>IF(AM9="","",IFERROR(IF(VLOOKUP(AM9,Programa!$G$35:$H$50,2,0)="","",VLOOKUP(AM9,Programa!$G$35:$H$50,2,0)),""))</f>
        <v/>
      </c>
      <c r="AP9" s="228">
        <v>6</v>
      </c>
      <c r="AQ9" s="230" t="str">
        <f>IF(ISBLANK(STUD!B16)," ",STUD!B16)</f>
        <v xml:space="preserve"> </v>
      </c>
      <c r="AR9" s="231">
        <f>IFERROR(VLOOKUP(AQ9,Lunes!$AF$4:$AG$31,2,0),0)</f>
        <v>0</v>
      </c>
      <c r="AS9" s="231">
        <f t="shared" si="4"/>
        <v>0</v>
      </c>
      <c r="AT9" s="231">
        <f t="shared" si="5"/>
        <v>0</v>
      </c>
      <c r="AU9" s="231">
        <f t="shared" si="7"/>
        <v>63.9</v>
      </c>
    </row>
    <row r="10" spans="1:47" ht="15" customHeight="1" x14ac:dyDescent="0.4">
      <c r="A10" s="242"/>
      <c r="B10" s="253"/>
      <c r="C10" s="245"/>
      <c r="D10" s="138">
        <f t="shared" ref="D10:AB10" si="10">IF(IFERROR(IF(VLOOKUP(D9,D$151:D$155,1,0)&gt;=1,D$150,0),D9)=D$132,D$136,IF(IFERROR(IF(VLOOKUP(D9,D$151:D$155,1,0)&gt;=1,D$150,0),D9)=D$139,D$142,IF(IFERROR(IF(VLOOKUP(D9,D$151:D$155,1,0)&gt;=1,D$150,0),D9)=D$145,D$147,0)))</f>
        <v>2.7</v>
      </c>
      <c r="E10" s="138">
        <f t="shared" si="10"/>
        <v>0</v>
      </c>
      <c r="F10" s="138">
        <f t="shared" si="10"/>
        <v>0</v>
      </c>
      <c r="G10" s="138">
        <f t="shared" si="10"/>
        <v>1.6</v>
      </c>
      <c r="H10" s="138">
        <f t="shared" si="10"/>
        <v>4</v>
      </c>
      <c r="I10" s="138">
        <f t="shared" si="10"/>
        <v>0</v>
      </c>
      <c r="J10" s="138">
        <f t="shared" si="10"/>
        <v>7</v>
      </c>
      <c r="K10" s="138">
        <f t="shared" si="10"/>
        <v>3.3</v>
      </c>
      <c r="L10" s="138">
        <f t="shared" si="10"/>
        <v>8.1999999999999993</v>
      </c>
      <c r="M10" s="138">
        <f t="shared" si="10"/>
        <v>0</v>
      </c>
      <c r="N10" s="138">
        <f t="shared" si="10"/>
        <v>0</v>
      </c>
      <c r="O10" s="138">
        <f t="shared" si="10"/>
        <v>0</v>
      </c>
      <c r="P10" s="138">
        <f t="shared" si="10"/>
        <v>0</v>
      </c>
      <c r="Q10" s="138">
        <f t="shared" si="10"/>
        <v>0</v>
      </c>
      <c r="R10" s="138">
        <f t="shared" si="10"/>
        <v>0</v>
      </c>
      <c r="S10" s="138">
        <f t="shared" si="10"/>
        <v>0</v>
      </c>
      <c r="T10" s="138">
        <f t="shared" si="10"/>
        <v>0</v>
      </c>
      <c r="U10" s="138">
        <f t="shared" si="10"/>
        <v>0</v>
      </c>
      <c r="V10" s="138">
        <f t="shared" si="10"/>
        <v>0</v>
      </c>
      <c r="W10" s="138">
        <f t="shared" si="10"/>
        <v>0</v>
      </c>
      <c r="X10" s="138">
        <f t="shared" si="10"/>
        <v>0</v>
      </c>
      <c r="Y10" s="138">
        <f t="shared" si="10"/>
        <v>0</v>
      </c>
      <c r="Z10" s="138">
        <f t="shared" si="10"/>
        <v>0</v>
      </c>
      <c r="AA10" s="138">
        <f t="shared" si="10"/>
        <v>0</v>
      </c>
      <c r="AB10" s="138">
        <f t="shared" si="10"/>
        <v>0</v>
      </c>
      <c r="AC10" s="243"/>
      <c r="AE10" s="150">
        <v>7</v>
      </c>
      <c r="AF10" s="145" t="str">
        <f>IF(ISBLANK(STUD!B6)," ",STUD!B6)</f>
        <v>TRES COPAS</v>
      </c>
      <c r="AG10" s="185">
        <f t="shared" si="0"/>
        <v>27</v>
      </c>
      <c r="AH10" s="186">
        <f t="shared" si="6"/>
        <v>32.9</v>
      </c>
      <c r="AI10" s="88">
        <f t="shared" si="1"/>
        <v>9</v>
      </c>
      <c r="AJ10" s="53" t="str">
        <f>IF(AI10="","",IFERROR(IF(VLOOKUP(AI10,Programa!$G$3:$H$18,2,0)="","",VLOOKUP(AI10,Programa!$G$3:$H$18,2,0)),""))</f>
        <v>MONTES FRAILE</v>
      </c>
      <c r="AK10" s="53">
        <f t="shared" si="2"/>
        <v>0</v>
      </c>
      <c r="AL10" s="53" t="str">
        <f>IF(AK10="","",IFERROR(IF(VLOOKUP(AK10,Programa!$G$19:$H$34,2,0)="","",VLOOKUP(AK10,Programa!$G$19:$H$34,2,0)),""))</f>
        <v/>
      </c>
      <c r="AM10" s="53">
        <f t="shared" si="3"/>
        <v>0</v>
      </c>
      <c r="AN10" s="53" t="str">
        <f>IF(AM10="","",IFERROR(IF(VLOOKUP(AM10,Programa!$G$35:$H$50,2,0)="","",VLOOKUP(AM10,Programa!$G$35:$H$50,2,0)),""))</f>
        <v/>
      </c>
      <c r="AP10" s="228">
        <v>7</v>
      </c>
      <c r="AQ10" s="230" t="str">
        <f>IF(ISBLANK(STUD!B9)," ",STUD!B9)</f>
        <v>SERVIFRENOS</v>
      </c>
      <c r="AR10" s="231">
        <f>IFERROR(VLOOKUP(AQ10,Lunes!$AF$4:$AG$31,2,0),0)</f>
        <v>13.700000000000001</v>
      </c>
      <c r="AS10" s="231">
        <f t="shared" si="4"/>
        <v>35.900000000000006</v>
      </c>
      <c r="AT10" s="231">
        <f t="shared" si="5"/>
        <v>49.600000000000009</v>
      </c>
      <c r="AU10" s="231">
        <f t="shared" si="7"/>
        <v>14.29999999999999</v>
      </c>
    </row>
    <row r="11" spans="1:47" ht="15.75" customHeight="1" x14ac:dyDescent="0.4">
      <c r="A11" s="252">
        <f>+A9+1</f>
        <v>4</v>
      </c>
      <c r="B11" s="253" t="str">
        <f>+STUD!B5</f>
        <v>KUME</v>
      </c>
      <c r="C11" s="244">
        <f>SUM(D12:AB12)</f>
        <v>38.200000000000003</v>
      </c>
      <c r="D11" s="130">
        <v>7</v>
      </c>
      <c r="E11" s="130">
        <v>5</v>
      </c>
      <c r="F11" s="130">
        <v>2</v>
      </c>
      <c r="G11" s="130">
        <v>3</v>
      </c>
      <c r="H11" s="130">
        <v>7</v>
      </c>
      <c r="I11" s="130">
        <v>3</v>
      </c>
      <c r="J11" s="130">
        <v>2</v>
      </c>
      <c r="K11" s="130">
        <v>3</v>
      </c>
      <c r="L11" s="130">
        <v>3</v>
      </c>
      <c r="M11" s="130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243">
        <f>SUM(D12:AB12)</f>
        <v>38.200000000000003</v>
      </c>
      <c r="AE11" s="151">
        <v>8</v>
      </c>
      <c r="AF11" s="145" t="str">
        <f>IF(ISBLANK(STUD!B4)," ",STUD!B4)</f>
        <v>PAP</v>
      </c>
      <c r="AG11" s="185">
        <f t="shared" si="0"/>
        <v>26.8</v>
      </c>
      <c r="AH11" s="186">
        <f t="shared" si="6"/>
        <v>33.099999999999994</v>
      </c>
      <c r="AI11" s="88">
        <f t="shared" si="1"/>
        <v>3</v>
      </c>
      <c r="AJ11" s="53" t="str">
        <f>IF(AI11="","",IFERROR(IF(VLOOKUP(AI11,Programa!$G$3:$H$18,2,0)="","",VLOOKUP(AI11,Programa!$G$3:$H$18,2,0)),""))</f>
        <v>MI RINCON</v>
      </c>
      <c r="AK11" s="53">
        <f t="shared" si="2"/>
        <v>0</v>
      </c>
      <c r="AL11" s="53" t="str">
        <f>IF(AK11="","",IFERROR(IF(VLOOKUP(AK11,Programa!$G$19:$H$34,2,0)="","",VLOOKUP(AK11,Programa!$G$19:$H$34,2,0)),""))</f>
        <v/>
      </c>
      <c r="AM11" s="53">
        <f t="shared" si="3"/>
        <v>0</v>
      </c>
      <c r="AN11" s="53" t="str">
        <f>IF(AM11="","",IFERROR(IF(VLOOKUP(AM11,Programa!$G$35:$H$50,2,0)="","",VLOOKUP(AM11,Programa!$G$35:$H$50,2,0)),""))</f>
        <v/>
      </c>
      <c r="AP11" s="228">
        <v>8</v>
      </c>
      <c r="AQ11" s="230" t="str">
        <f>IF(ISBLANK(STUD!B8)," ",STUD!B8)</f>
        <v>MIS SOBRINOS</v>
      </c>
      <c r="AR11" s="231">
        <f>IFERROR(VLOOKUP(AQ11,Lunes!$AF$4:$AG$31,2,0),0)</f>
        <v>7.9</v>
      </c>
      <c r="AS11" s="231">
        <f t="shared" si="4"/>
        <v>11.5</v>
      </c>
      <c r="AT11" s="231">
        <f t="shared" si="5"/>
        <v>19.399999999999999</v>
      </c>
      <c r="AU11" s="231">
        <f t="shared" si="7"/>
        <v>44.5</v>
      </c>
    </row>
    <row r="12" spans="1:47" ht="15" customHeight="1" x14ac:dyDescent="0.4">
      <c r="A12" s="242"/>
      <c r="B12" s="253"/>
      <c r="C12" s="245"/>
      <c r="D12" s="138">
        <f t="shared" ref="D12:AB12" si="11">IF(IFERROR(IF(VLOOKUP(D11,D$151:D$155,1,0)&gt;=1,D$150,0),D11)=D$132,D$136,IF(IFERROR(IF(VLOOKUP(D11,D$151:D$155,1,0)&gt;=1,D$150,0),D11)=D$139,D$142,IF(IFERROR(IF(VLOOKUP(D11,D$151:D$155,1,0)&gt;=1,D$150,0),D11)=D$145,D$147,0)))</f>
        <v>2.7</v>
      </c>
      <c r="E12" s="138">
        <f t="shared" si="11"/>
        <v>0</v>
      </c>
      <c r="F12" s="138">
        <f t="shared" si="11"/>
        <v>0</v>
      </c>
      <c r="G12" s="138">
        <f t="shared" si="11"/>
        <v>16</v>
      </c>
      <c r="H12" s="138">
        <f t="shared" si="11"/>
        <v>1</v>
      </c>
      <c r="I12" s="138">
        <f t="shared" si="11"/>
        <v>3.3</v>
      </c>
      <c r="J12" s="138">
        <f t="shared" si="11"/>
        <v>7</v>
      </c>
      <c r="K12" s="138">
        <f t="shared" si="11"/>
        <v>0</v>
      </c>
      <c r="L12" s="138">
        <f t="shared" si="11"/>
        <v>8.1999999999999993</v>
      </c>
      <c r="M12" s="138">
        <f t="shared" si="11"/>
        <v>0</v>
      </c>
      <c r="N12" s="138">
        <f t="shared" si="11"/>
        <v>0</v>
      </c>
      <c r="O12" s="138">
        <f t="shared" si="11"/>
        <v>0</v>
      </c>
      <c r="P12" s="138">
        <f t="shared" si="11"/>
        <v>0</v>
      </c>
      <c r="Q12" s="138">
        <f t="shared" si="11"/>
        <v>0</v>
      </c>
      <c r="R12" s="138">
        <f t="shared" si="11"/>
        <v>0</v>
      </c>
      <c r="S12" s="138">
        <f t="shared" si="11"/>
        <v>0</v>
      </c>
      <c r="T12" s="138">
        <f t="shared" si="11"/>
        <v>0</v>
      </c>
      <c r="U12" s="138">
        <f t="shared" si="11"/>
        <v>0</v>
      </c>
      <c r="V12" s="138">
        <f t="shared" si="11"/>
        <v>0</v>
      </c>
      <c r="W12" s="138">
        <f t="shared" si="11"/>
        <v>0</v>
      </c>
      <c r="X12" s="138">
        <f t="shared" si="11"/>
        <v>0</v>
      </c>
      <c r="Y12" s="138">
        <f t="shared" si="11"/>
        <v>0</v>
      </c>
      <c r="Z12" s="138">
        <f t="shared" si="11"/>
        <v>0</v>
      </c>
      <c r="AA12" s="138">
        <f t="shared" si="11"/>
        <v>0</v>
      </c>
      <c r="AB12" s="138">
        <f t="shared" si="11"/>
        <v>0</v>
      </c>
      <c r="AC12" s="243"/>
      <c r="AE12" s="154">
        <v>9</v>
      </c>
      <c r="AF12" s="145" t="str">
        <f>IF(ISBLANK(STUD!B7)," ",STUD!B7)</f>
        <v>ALF</v>
      </c>
      <c r="AG12" s="185">
        <f t="shared" si="0"/>
        <v>26</v>
      </c>
      <c r="AH12" s="186">
        <f t="shared" si="6"/>
        <v>33.9</v>
      </c>
      <c r="AI12" s="88">
        <f t="shared" si="1"/>
        <v>10</v>
      </c>
      <c r="AJ12" s="53" t="str">
        <f>IF(AI12="","",IFERROR(IF(VLOOKUP(AI12,Programa!$G$3:$H$18,2,0)="","",VLOOKUP(AI12,Programa!$G$3:$H$18,2,0)),""))</f>
        <v>GUACHACA</v>
      </c>
      <c r="AK12" s="53">
        <f t="shared" si="2"/>
        <v>0</v>
      </c>
      <c r="AL12" s="53" t="str">
        <f>IF(AK12="","",IFERROR(IF(VLOOKUP(AK12,Programa!$G$19:$H$34,2,0)="","",VLOOKUP(AK12,Programa!$G$19:$H$34,2,0)),""))</f>
        <v/>
      </c>
      <c r="AM12" s="53">
        <f t="shared" si="3"/>
        <v>0</v>
      </c>
      <c r="AN12" s="53" t="str">
        <f>IF(AM12="","",IFERROR(IF(VLOOKUP(AM12,Programa!$G$35:$H$50,2,0)="","",VLOOKUP(AM12,Programa!$G$35:$H$50,2,0)),""))</f>
        <v/>
      </c>
      <c r="AP12" s="229">
        <v>9</v>
      </c>
      <c r="AQ12" s="230" t="str">
        <f>IF(ISBLANK(STUD!B4)," ",STUD!B4)</f>
        <v>PAP</v>
      </c>
      <c r="AR12" s="231">
        <f>IFERROR(VLOOKUP(AQ12,Lunes!$AF$4:$AG$31,2,0),0)</f>
        <v>0</v>
      </c>
      <c r="AS12" s="231">
        <f t="shared" si="4"/>
        <v>26.8</v>
      </c>
      <c r="AT12" s="231">
        <f t="shared" si="5"/>
        <v>26.8</v>
      </c>
      <c r="AU12" s="231">
        <f t="shared" si="7"/>
        <v>37.099999999999994</v>
      </c>
    </row>
    <row r="13" spans="1:47" ht="15.75" customHeight="1" x14ac:dyDescent="0.4">
      <c r="A13" s="252">
        <f>+A11+1</f>
        <v>5</v>
      </c>
      <c r="B13" s="253" t="str">
        <f>+STUD!B6</f>
        <v>TRES COPAS</v>
      </c>
      <c r="C13" s="244">
        <f>SUM(D14:AB14)</f>
        <v>27</v>
      </c>
      <c r="D13" s="130">
        <v>8</v>
      </c>
      <c r="E13" s="130">
        <v>6</v>
      </c>
      <c r="F13" s="130">
        <v>3</v>
      </c>
      <c r="G13" s="130">
        <v>6</v>
      </c>
      <c r="H13" s="130">
        <v>9</v>
      </c>
      <c r="I13" s="130">
        <v>2</v>
      </c>
      <c r="J13" s="130">
        <v>2</v>
      </c>
      <c r="K13" s="130">
        <v>5</v>
      </c>
      <c r="L13" s="130">
        <v>9</v>
      </c>
      <c r="M13" s="130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243">
        <f>SUM(D14:AB14)</f>
        <v>27</v>
      </c>
      <c r="AE13" s="149">
        <v>10</v>
      </c>
      <c r="AF13" s="145" t="str">
        <f>IF(ISBLANK(STUD!B3)," ",STUD!B3)</f>
        <v>EL JOYERO</v>
      </c>
      <c r="AG13" s="185">
        <f t="shared" si="0"/>
        <v>25.4</v>
      </c>
      <c r="AH13" s="186">
        <f t="shared" si="6"/>
        <v>34.5</v>
      </c>
      <c r="AI13" s="88">
        <f t="shared" si="1"/>
        <v>11</v>
      </c>
      <c r="AJ13" s="53" t="str">
        <f>IF(AI13="","",IFERROR(IF(VLOOKUP(AI13,Programa!$G$3:$H$18,2,0)="","",VLOOKUP(AI13,Programa!$G$3:$H$18,2,0)),""))</f>
        <v>BOY SCOUT</v>
      </c>
      <c r="AK13" s="53">
        <f t="shared" si="2"/>
        <v>0</v>
      </c>
      <c r="AL13" s="53" t="str">
        <f>IF(AK13="","",IFERROR(IF(VLOOKUP(AK13,Programa!$G$19:$H$34,2,0)="","",VLOOKUP(AK13,Programa!$G$19:$H$34,2,0)),""))</f>
        <v/>
      </c>
      <c r="AM13" s="53">
        <f t="shared" si="3"/>
        <v>0</v>
      </c>
      <c r="AN13" s="53" t="str">
        <f>IF(AM13="","",IFERROR(IF(VLOOKUP(AM13,Programa!$G$35:$H$50,2,0)="","",VLOOKUP(AM13,Programa!$G$35:$H$50,2,0)),""))</f>
        <v/>
      </c>
      <c r="AP13" s="229">
        <v>10</v>
      </c>
      <c r="AQ13" s="230" t="str">
        <f>IF(ISBLANK(STUD!B7)," ",STUD!B7)</f>
        <v>ALF</v>
      </c>
      <c r="AR13" s="231">
        <f>IFERROR(VLOOKUP(AQ13,Lunes!$AF$4:$AG$31,2,0),0)</f>
        <v>4</v>
      </c>
      <c r="AS13" s="231">
        <f t="shared" si="4"/>
        <v>26</v>
      </c>
      <c r="AT13" s="231">
        <f t="shared" si="5"/>
        <v>30</v>
      </c>
      <c r="AU13" s="231">
        <f t="shared" si="7"/>
        <v>33.9</v>
      </c>
    </row>
    <row r="14" spans="1:47" ht="15" customHeight="1" x14ac:dyDescent="0.4">
      <c r="A14" s="242"/>
      <c r="B14" s="253"/>
      <c r="C14" s="245"/>
      <c r="D14" s="138">
        <f t="shared" ref="D14:AB14" si="12">IF(IFERROR(IF(VLOOKUP(D13,D$151:D$155,1,0)&gt;=1,D$150,0),D13)=D$132,D$136,IF(IFERROR(IF(VLOOKUP(D13,D$151:D$155,1,0)&gt;=1,D$150,0),D13)=D$139,D$142,IF(IFERROR(IF(VLOOKUP(D13,D$151:D$155,1,0)&gt;=1,D$150,0),D13)=D$145,D$147,0)))</f>
        <v>0</v>
      </c>
      <c r="E14" s="138">
        <f t="shared" si="12"/>
        <v>3.3</v>
      </c>
      <c r="F14" s="138">
        <f t="shared" si="12"/>
        <v>0</v>
      </c>
      <c r="G14" s="138">
        <f t="shared" si="12"/>
        <v>4.8</v>
      </c>
      <c r="H14" s="138">
        <f t="shared" si="12"/>
        <v>4</v>
      </c>
      <c r="I14" s="138">
        <f t="shared" si="12"/>
        <v>4.5999999999999996</v>
      </c>
      <c r="J14" s="138">
        <f t="shared" si="12"/>
        <v>7</v>
      </c>
      <c r="K14" s="138">
        <f t="shared" si="12"/>
        <v>3.3</v>
      </c>
      <c r="L14" s="138">
        <f t="shared" si="12"/>
        <v>0</v>
      </c>
      <c r="M14" s="138">
        <f t="shared" si="12"/>
        <v>0</v>
      </c>
      <c r="N14" s="138">
        <f t="shared" si="12"/>
        <v>0</v>
      </c>
      <c r="O14" s="138">
        <f t="shared" si="12"/>
        <v>0</v>
      </c>
      <c r="P14" s="138">
        <f t="shared" si="12"/>
        <v>0</v>
      </c>
      <c r="Q14" s="138">
        <f t="shared" si="12"/>
        <v>0</v>
      </c>
      <c r="R14" s="138">
        <f t="shared" si="12"/>
        <v>0</v>
      </c>
      <c r="S14" s="138">
        <f t="shared" si="12"/>
        <v>0</v>
      </c>
      <c r="T14" s="138">
        <f t="shared" si="12"/>
        <v>0</v>
      </c>
      <c r="U14" s="138">
        <f t="shared" si="12"/>
        <v>0</v>
      </c>
      <c r="V14" s="138">
        <f t="shared" si="12"/>
        <v>0</v>
      </c>
      <c r="W14" s="138">
        <f t="shared" si="12"/>
        <v>0</v>
      </c>
      <c r="X14" s="138">
        <f t="shared" si="12"/>
        <v>0</v>
      </c>
      <c r="Y14" s="138">
        <f t="shared" si="12"/>
        <v>0</v>
      </c>
      <c r="Z14" s="138">
        <f t="shared" si="12"/>
        <v>0</v>
      </c>
      <c r="AA14" s="138">
        <f t="shared" si="12"/>
        <v>0</v>
      </c>
      <c r="AB14" s="138">
        <f t="shared" si="12"/>
        <v>0</v>
      </c>
      <c r="AC14" s="243"/>
      <c r="AE14" s="153">
        <v>11</v>
      </c>
      <c r="AF14" s="145" t="str">
        <f>IF(ISBLANK(STUD!B10)," ",STUD!B10)</f>
        <v>AUMENTA MEDINA</v>
      </c>
      <c r="AG14" s="185">
        <f t="shared" si="0"/>
        <v>22.7</v>
      </c>
      <c r="AH14" s="186">
        <f t="shared" si="6"/>
        <v>37.200000000000003</v>
      </c>
      <c r="AI14" s="88">
        <f t="shared" si="1"/>
        <v>3</v>
      </c>
      <c r="AJ14" s="53" t="str">
        <f>IF(AI14="","",IFERROR(IF(VLOOKUP(AI14,Programa!$G$3:$H$18,2,0)="","",VLOOKUP(AI14,Programa!$G$3:$H$18,2,0)),""))</f>
        <v>MI RINCON</v>
      </c>
      <c r="AK14" s="53">
        <f t="shared" si="2"/>
        <v>0</v>
      </c>
      <c r="AL14" s="53" t="str">
        <f>IF(AK14="","",IFERROR(IF(VLOOKUP(AK14,Programa!$G$19:$H$34,2,0)="","",VLOOKUP(AK14,Programa!$G$19:$H$34,2,0)),""))</f>
        <v/>
      </c>
      <c r="AM14" s="53">
        <f t="shared" si="3"/>
        <v>0</v>
      </c>
      <c r="AN14" s="53" t="str">
        <f>IF(AM14="","",IFERROR(IF(VLOOKUP(AM14,Programa!$G$35:$H$50,2,0)="","",VLOOKUP(AM14,Programa!$G$35:$H$50,2,0)),""))</f>
        <v/>
      </c>
      <c r="AP14" s="229">
        <v>11</v>
      </c>
      <c r="AQ14" s="230" t="str">
        <f>IF(ISBLANK(STUD!B13)," ",STUD!B13)</f>
        <v xml:space="preserve"> </v>
      </c>
      <c r="AR14" s="231">
        <f>IFERROR(VLOOKUP(AQ14,Lunes!$AF$4:$AG$31,2,0),0)</f>
        <v>0</v>
      </c>
      <c r="AS14" s="231">
        <f t="shared" si="4"/>
        <v>0</v>
      </c>
      <c r="AT14" s="231">
        <f t="shared" si="5"/>
        <v>0</v>
      </c>
      <c r="AU14" s="231">
        <f t="shared" si="7"/>
        <v>63.9</v>
      </c>
    </row>
    <row r="15" spans="1:47" ht="15.75" customHeight="1" x14ac:dyDescent="0.4">
      <c r="A15" s="252">
        <f>+A13+1</f>
        <v>6</v>
      </c>
      <c r="B15" s="253" t="str">
        <f>+STUD!B7</f>
        <v>ALF</v>
      </c>
      <c r="C15" s="244">
        <f>SUM(D16:AB16)</f>
        <v>26</v>
      </c>
      <c r="D15" s="131">
        <v>7</v>
      </c>
      <c r="E15" s="131">
        <v>7</v>
      </c>
      <c r="F15" s="131">
        <v>5</v>
      </c>
      <c r="G15" s="131">
        <v>3</v>
      </c>
      <c r="H15" s="131">
        <v>9</v>
      </c>
      <c r="I15" s="131">
        <v>6</v>
      </c>
      <c r="J15" s="131">
        <v>3</v>
      </c>
      <c r="K15" s="131">
        <v>2</v>
      </c>
      <c r="L15" s="131">
        <v>10</v>
      </c>
      <c r="M15" s="131"/>
      <c r="N15" s="129"/>
      <c r="O15" s="129"/>
      <c r="P15" s="129"/>
      <c r="Q15" s="129"/>
      <c r="R15" s="129"/>
      <c r="S15" s="129"/>
      <c r="T15" s="129"/>
      <c r="U15" s="129"/>
      <c r="V15" s="129"/>
      <c r="W15" s="129"/>
      <c r="X15" s="129"/>
      <c r="Y15" s="129"/>
      <c r="Z15" s="129"/>
      <c r="AA15" s="129"/>
      <c r="AB15" s="129"/>
      <c r="AC15" s="243">
        <f>SUM(D16:AB16)</f>
        <v>26</v>
      </c>
      <c r="AE15" s="157">
        <v>12</v>
      </c>
      <c r="AF15" s="145" t="str">
        <f>IF(ISBLANK(STUD!B13)," ",STUD!B13)</f>
        <v xml:space="preserve"> </v>
      </c>
      <c r="AG15" s="185">
        <f t="shared" si="0"/>
        <v>0</v>
      </c>
      <c r="AH15" s="186">
        <f t="shared" si="6"/>
        <v>59.9</v>
      </c>
      <c r="AI15" s="88" t="str">
        <f t="shared" si="1"/>
        <v xml:space="preserve"> </v>
      </c>
      <c r="AJ15" s="53" t="str">
        <f>IF(AI15="","",IFERROR(IF(VLOOKUP(AI15,Programa!$G$3:$H$18,2,0)="","",VLOOKUP(AI15,Programa!$G$3:$H$18,2,0)),""))</f>
        <v/>
      </c>
      <c r="AK15" s="53" t="str">
        <f t="shared" si="2"/>
        <v xml:space="preserve"> </v>
      </c>
      <c r="AL15" s="53" t="str">
        <f>IF(AK15="","",IFERROR(IF(VLOOKUP(AK15,Programa!$G$19:$H$34,2,0)="","",VLOOKUP(AK15,Programa!$G$19:$H$34,2,0)),""))</f>
        <v/>
      </c>
      <c r="AM15" s="53" t="str">
        <f t="shared" si="3"/>
        <v xml:space="preserve"> </v>
      </c>
      <c r="AN15" s="53" t="str">
        <f>IF(AM15="","",IFERROR(IF(VLOOKUP(AM15,Programa!$G$35:$H$50,2,0)="","",VLOOKUP(AM15,Programa!$G$35:$H$50,2,0)),""))</f>
        <v/>
      </c>
      <c r="AP15" s="229">
        <v>12</v>
      </c>
      <c r="AQ15" s="230" t="str">
        <f>IF(ISBLANK(STUD!B10)," ",STUD!B10)</f>
        <v>AUMENTA MEDINA</v>
      </c>
      <c r="AR15" s="231">
        <f>IFERROR(VLOOKUP(AQ15,Lunes!$AF$4:$AG$31,2,0),0)</f>
        <v>5.0999999999999996</v>
      </c>
      <c r="AS15" s="231">
        <f t="shared" si="4"/>
        <v>22.7</v>
      </c>
      <c r="AT15" s="231">
        <f t="shared" si="5"/>
        <v>27.799999999999997</v>
      </c>
      <c r="AU15" s="231">
        <f t="shared" si="7"/>
        <v>36.1</v>
      </c>
    </row>
    <row r="16" spans="1:47" ht="15" customHeight="1" x14ac:dyDescent="0.4">
      <c r="A16" s="242"/>
      <c r="B16" s="253"/>
      <c r="C16" s="245"/>
      <c r="D16" s="138">
        <f t="shared" ref="D16:AB16" si="13">IF(IFERROR(IF(VLOOKUP(D15,D$151:D$155,1,0)&gt;=1,D$150,0),D15)=D$132,D$136,IF(IFERROR(IF(VLOOKUP(D15,D$151:D$155,1,0)&gt;=1,D$150,0),D15)=D$139,D$142,IF(IFERROR(IF(VLOOKUP(D15,D$151:D$155,1,0)&gt;=1,D$150,0),D15)=D$145,D$147,0)))</f>
        <v>2.7</v>
      </c>
      <c r="E16" s="138">
        <f t="shared" si="13"/>
        <v>3.3</v>
      </c>
      <c r="F16" s="138">
        <f t="shared" si="13"/>
        <v>0</v>
      </c>
      <c r="G16" s="138">
        <f t="shared" si="13"/>
        <v>16</v>
      </c>
      <c r="H16" s="138">
        <f t="shared" si="13"/>
        <v>4</v>
      </c>
      <c r="I16" s="138">
        <f t="shared" si="13"/>
        <v>0</v>
      </c>
      <c r="J16" s="138">
        <f t="shared" si="13"/>
        <v>0</v>
      </c>
      <c r="K16" s="138">
        <f t="shared" si="13"/>
        <v>0</v>
      </c>
      <c r="L16" s="138">
        <f t="shared" si="13"/>
        <v>0</v>
      </c>
      <c r="M16" s="138">
        <f t="shared" si="13"/>
        <v>0</v>
      </c>
      <c r="N16" s="138">
        <f t="shared" si="13"/>
        <v>0</v>
      </c>
      <c r="O16" s="138">
        <f t="shared" si="13"/>
        <v>0</v>
      </c>
      <c r="P16" s="138">
        <f t="shared" si="13"/>
        <v>0</v>
      </c>
      <c r="Q16" s="138">
        <f t="shared" si="13"/>
        <v>0</v>
      </c>
      <c r="R16" s="138">
        <f t="shared" si="13"/>
        <v>0</v>
      </c>
      <c r="S16" s="138">
        <f t="shared" si="13"/>
        <v>0</v>
      </c>
      <c r="T16" s="138">
        <f t="shared" si="13"/>
        <v>0</v>
      </c>
      <c r="U16" s="138">
        <f t="shared" si="13"/>
        <v>0</v>
      </c>
      <c r="V16" s="138">
        <f t="shared" si="13"/>
        <v>0</v>
      </c>
      <c r="W16" s="138">
        <f t="shared" si="13"/>
        <v>0</v>
      </c>
      <c r="X16" s="138">
        <f t="shared" si="13"/>
        <v>0</v>
      </c>
      <c r="Y16" s="138">
        <f t="shared" si="13"/>
        <v>0</v>
      </c>
      <c r="Z16" s="138">
        <f t="shared" si="13"/>
        <v>0</v>
      </c>
      <c r="AA16" s="138">
        <f t="shared" si="13"/>
        <v>0</v>
      </c>
      <c r="AB16" s="138">
        <f t="shared" si="13"/>
        <v>0</v>
      </c>
      <c r="AC16" s="243"/>
      <c r="AE16" s="158">
        <v>13</v>
      </c>
      <c r="AF16" s="145" t="str">
        <f>IF(ISBLANK(STUD!B2)," ",STUD!B2)</f>
        <v>SOSAMAFIA</v>
      </c>
      <c r="AG16" s="185">
        <f t="shared" si="0"/>
        <v>14.9</v>
      </c>
      <c r="AH16" s="186">
        <f t="shared" si="6"/>
        <v>45</v>
      </c>
      <c r="AI16" s="88">
        <f t="shared" si="1"/>
        <v>6</v>
      </c>
      <c r="AJ16" s="53" t="str">
        <f>IF(AI16="","",IFERROR(IF(VLOOKUP(AI16,Programa!$G$3:$H$18,2,0)="","",VLOOKUP(AI16,Programa!$G$3:$H$18,2,0)),""))</f>
        <v>MACRON</v>
      </c>
      <c r="AK16" s="53">
        <f t="shared" si="2"/>
        <v>0</v>
      </c>
      <c r="AL16" s="53" t="str">
        <f>IF(AK16="","",IFERROR(IF(VLOOKUP(AK16,Programa!$G$19:$H$34,2,0)="","",VLOOKUP(AK16,Programa!$G$19:$H$34,2,0)),""))</f>
        <v/>
      </c>
      <c r="AM16" s="53">
        <f t="shared" si="3"/>
        <v>0</v>
      </c>
      <c r="AN16" s="53" t="str">
        <f>IF(AM16="","",IFERROR(IF(VLOOKUP(AM16,Programa!$G$35:$H$50,2,0)="","",VLOOKUP(AM16,Programa!$G$35:$H$50,2,0)),""))</f>
        <v/>
      </c>
      <c r="AP16" s="229">
        <v>13</v>
      </c>
      <c r="AQ16" s="230" t="str">
        <f>IF(ISBLANK(STUD!B6)," ",STUD!B6)</f>
        <v>TRES COPAS</v>
      </c>
      <c r="AR16" s="231">
        <f>IFERROR(VLOOKUP(AQ16,Lunes!$AF$4:$AG$31,2,0),0)</f>
        <v>1.1000000000000001</v>
      </c>
      <c r="AS16" s="231">
        <f t="shared" si="4"/>
        <v>27</v>
      </c>
      <c r="AT16" s="231">
        <f t="shared" si="5"/>
        <v>28.1</v>
      </c>
      <c r="AU16" s="231">
        <f t="shared" si="7"/>
        <v>35.799999999999997</v>
      </c>
    </row>
    <row r="17" spans="1:47" ht="17.25" customHeight="1" x14ac:dyDescent="0.4">
      <c r="A17" s="252">
        <f>+A15+1</f>
        <v>7</v>
      </c>
      <c r="B17" s="253" t="str">
        <f>+STUD!B8</f>
        <v>MIS SOBRINOS</v>
      </c>
      <c r="C17" s="244">
        <f>SUM(D18:AB18)</f>
        <v>11.5</v>
      </c>
      <c r="D17" s="129">
        <v>7</v>
      </c>
      <c r="E17" s="129">
        <v>2</v>
      </c>
      <c r="F17" s="129">
        <v>2</v>
      </c>
      <c r="G17" s="129">
        <v>7</v>
      </c>
      <c r="H17" s="129">
        <v>9</v>
      </c>
      <c r="I17" s="129">
        <v>6</v>
      </c>
      <c r="J17" s="129">
        <v>7</v>
      </c>
      <c r="K17" s="129">
        <v>5</v>
      </c>
      <c r="L17" s="129">
        <v>4</v>
      </c>
      <c r="M17" s="109"/>
      <c r="N17" s="109"/>
      <c r="O17" s="112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243">
        <f>SUM(D18:AB18)</f>
        <v>11.5</v>
      </c>
      <c r="AE17" s="159">
        <v>14</v>
      </c>
      <c r="AF17" s="145" t="str">
        <f>IF(ISBLANK(STUD!B8)," ",STUD!B8)</f>
        <v>MIS SOBRINOS</v>
      </c>
      <c r="AG17" s="185">
        <f t="shared" si="0"/>
        <v>11.5</v>
      </c>
      <c r="AH17" s="186">
        <f t="shared" si="6"/>
        <v>48.4</v>
      </c>
      <c r="AI17" s="88">
        <f t="shared" si="1"/>
        <v>4</v>
      </c>
      <c r="AJ17" s="53" t="str">
        <f>IF(AI17="","",IFERROR(IF(VLOOKUP(AI17,Programa!$G$3:$H$18,2,0)="","",VLOOKUP(AI17,Programa!$G$3:$H$18,2,0)),""))</f>
        <v>TEJEDOR DE SUEÑOS</v>
      </c>
      <c r="AK17" s="53">
        <f t="shared" si="2"/>
        <v>0</v>
      </c>
      <c r="AL17" s="53" t="str">
        <f>IF(AK17="","",IFERROR(IF(VLOOKUP(AK17,Programa!$G$19:$H$34,2,0)="","",VLOOKUP(AK17,Programa!$G$19:$H$34,2,0)),""))</f>
        <v/>
      </c>
      <c r="AM17" s="53">
        <f t="shared" si="3"/>
        <v>0</v>
      </c>
      <c r="AN17" s="53" t="str">
        <f>IF(AM17="","",IFERROR(IF(VLOOKUP(AM17,Programa!$G$35:$H$50,2,0)="","",VLOOKUP(AM17,Programa!$G$35:$H$50,2,0)),""))</f>
        <v/>
      </c>
      <c r="AP17" s="229">
        <v>14</v>
      </c>
      <c r="AQ17" s="230" t="str">
        <f>IF(ISBLANK(STUD!B3)," ",STUD!B3)</f>
        <v>EL JOYERO</v>
      </c>
      <c r="AR17" s="231">
        <f>IFERROR(VLOOKUP(AQ17,Lunes!$AF$4:$AG$31,2,0),0)</f>
        <v>4</v>
      </c>
      <c r="AS17" s="231">
        <f t="shared" si="4"/>
        <v>25.4</v>
      </c>
      <c r="AT17" s="231">
        <f t="shared" si="5"/>
        <v>29.4</v>
      </c>
      <c r="AU17" s="231">
        <f t="shared" si="7"/>
        <v>34.5</v>
      </c>
    </row>
    <row r="18" spans="1:47" ht="15.75" customHeight="1" x14ac:dyDescent="0.4">
      <c r="A18" s="242"/>
      <c r="B18" s="253"/>
      <c r="C18" s="245"/>
      <c r="D18" s="138">
        <f t="shared" ref="D18:AB18" si="14">IF(IFERROR(IF(VLOOKUP(D17,D$151:D$155,1,0)&gt;=1,D$150,0),D17)=D$132,D$136,IF(IFERROR(IF(VLOOKUP(D17,D$151:D$155,1,0)&gt;=1,D$150,0),D17)=D$139,D$142,IF(IFERROR(IF(VLOOKUP(D17,D$151:D$155,1,0)&gt;=1,D$150,0),D17)=D$145,D$147,0)))</f>
        <v>2.7</v>
      </c>
      <c r="E18" s="138">
        <f t="shared" si="14"/>
        <v>1.5</v>
      </c>
      <c r="F18" s="138">
        <f t="shared" si="14"/>
        <v>0</v>
      </c>
      <c r="G18" s="138">
        <f t="shared" si="14"/>
        <v>0</v>
      </c>
      <c r="H18" s="138">
        <f t="shared" si="14"/>
        <v>4</v>
      </c>
      <c r="I18" s="138">
        <f t="shared" si="14"/>
        <v>0</v>
      </c>
      <c r="J18" s="138">
        <f t="shared" si="14"/>
        <v>0</v>
      </c>
      <c r="K18" s="138">
        <f t="shared" si="14"/>
        <v>3.3</v>
      </c>
      <c r="L18" s="138">
        <f t="shared" si="14"/>
        <v>0</v>
      </c>
      <c r="M18" s="138">
        <f t="shared" si="14"/>
        <v>0</v>
      </c>
      <c r="N18" s="138">
        <f t="shared" si="14"/>
        <v>0</v>
      </c>
      <c r="O18" s="138">
        <f t="shared" si="14"/>
        <v>0</v>
      </c>
      <c r="P18" s="138">
        <f t="shared" si="14"/>
        <v>0</v>
      </c>
      <c r="Q18" s="138">
        <f t="shared" si="14"/>
        <v>0</v>
      </c>
      <c r="R18" s="138">
        <f t="shared" si="14"/>
        <v>0</v>
      </c>
      <c r="S18" s="138">
        <f t="shared" si="14"/>
        <v>0</v>
      </c>
      <c r="T18" s="138">
        <f t="shared" si="14"/>
        <v>0</v>
      </c>
      <c r="U18" s="138">
        <f t="shared" si="14"/>
        <v>0</v>
      </c>
      <c r="V18" s="138">
        <f t="shared" si="14"/>
        <v>0</v>
      </c>
      <c r="W18" s="138">
        <f t="shared" si="14"/>
        <v>0</v>
      </c>
      <c r="X18" s="138">
        <f t="shared" si="14"/>
        <v>0</v>
      </c>
      <c r="Y18" s="138">
        <f t="shared" si="14"/>
        <v>0</v>
      </c>
      <c r="Z18" s="138">
        <f t="shared" si="14"/>
        <v>0</v>
      </c>
      <c r="AA18" s="138">
        <f t="shared" si="14"/>
        <v>0</v>
      </c>
      <c r="AB18" s="138">
        <f t="shared" si="14"/>
        <v>0</v>
      </c>
      <c r="AC18" s="243"/>
      <c r="AE18" s="160">
        <v>15</v>
      </c>
      <c r="AF18" s="145" t="str">
        <f>IF(ISBLANK(STUD!B14)," ",STUD!B14)</f>
        <v xml:space="preserve"> </v>
      </c>
      <c r="AG18" s="185">
        <f t="shared" si="0"/>
        <v>0</v>
      </c>
      <c r="AH18" s="186">
        <f t="shared" si="6"/>
        <v>59.9</v>
      </c>
      <c r="AI18" s="88" t="str">
        <f t="shared" si="1"/>
        <v xml:space="preserve"> </v>
      </c>
      <c r="AJ18" s="53" t="str">
        <f>IF(AI18="","",IFERROR(IF(VLOOKUP(AI18,Programa!$G$3:$H$18,2,0)="","",VLOOKUP(AI18,Programa!$G$3:$H$18,2,0)),""))</f>
        <v/>
      </c>
      <c r="AK18" s="53" t="str">
        <f t="shared" si="2"/>
        <v xml:space="preserve"> </v>
      </c>
      <c r="AL18" s="53" t="str">
        <f>IF(AK18="","",IFERROR(IF(VLOOKUP(AK18,Programa!$G$19:$H$34,2,0)="","",VLOOKUP(AK18,Programa!$G$19:$H$34,2,0)),""))</f>
        <v/>
      </c>
      <c r="AM18" s="53" t="str">
        <f t="shared" si="3"/>
        <v xml:space="preserve"> </v>
      </c>
      <c r="AN18" s="53" t="str">
        <f>IF(AM18="","",IFERROR(IF(VLOOKUP(AM18,Programa!$G$35:$H$50,2,0)="","",VLOOKUP(AM18,Programa!$G$35:$H$50,2,0)),""))</f>
        <v/>
      </c>
      <c r="AP18" s="229">
        <v>15</v>
      </c>
      <c r="AQ18" s="230" t="str">
        <f>IF(ISBLANK(STUD!B14)," ",STUD!B14)</f>
        <v xml:space="preserve"> </v>
      </c>
      <c r="AR18" s="231">
        <f>IFERROR(VLOOKUP(AQ18,Lunes!$AF$4:$AG$31,2,0),0)</f>
        <v>0</v>
      </c>
      <c r="AS18" s="231">
        <f t="shared" si="4"/>
        <v>0</v>
      </c>
      <c r="AT18" s="231">
        <f t="shared" si="5"/>
        <v>0</v>
      </c>
      <c r="AU18" s="231">
        <f t="shared" si="7"/>
        <v>63.9</v>
      </c>
    </row>
    <row r="19" spans="1:47" ht="15.75" customHeight="1" x14ac:dyDescent="0.4">
      <c r="A19" s="252">
        <f>+A17+1</f>
        <v>8</v>
      </c>
      <c r="B19" s="253" t="str">
        <f>+STUD!B9</f>
        <v>SERVIFRENOS</v>
      </c>
      <c r="C19" s="244">
        <f>SUM(D20:AB20)</f>
        <v>35.900000000000006</v>
      </c>
      <c r="D19" s="129">
        <v>10</v>
      </c>
      <c r="E19" s="129">
        <v>5</v>
      </c>
      <c r="F19" s="129">
        <v>2</v>
      </c>
      <c r="G19" s="129">
        <v>3</v>
      </c>
      <c r="H19" s="129">
        <v>7</v>
      </c>
      <c r="I19" s="129">
        <v>2</v>
      </c>
      <c r="J19" s="129">
        <v>10</v>
      </c>
      <c r="K19" s="129">
        <v>11</v>
      </c>
      <c r="L19" s="129">
        <v>3</v>
      </c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243">
        <f>SUM(D20:AB20)</f>
        <v>35.900000000000006</v>
      </c>
      <c r="AE19" s="161">
        <v>16</v>
      </c>
      <c r="AF19" s="145" t="str">
        <f>IF(ISBLANK(STUD!B17)," ",STUD!B17)</f>
        <v xml:space="preserve"> </v>
      </c>
      <c r="AG19" s="185">
        <f t="shared" si="0"/>
        <v>0</v>
      </c>
      <c r="AH19" s="186">
        <f t="shared" si="6"/>
        <v>59.9</v>
      </c>
      <c r="AI19" s="88" t="str">
        <f t="shared" si="1"/>
        <v xml:space="preserve"> </v>
      </c>
      <c r="AJ19" s="53" t="str">
        <f>IF(AI19="","",IFERROR(IF(VLOOKUP(AI19,Programa!$G$3:$H$18,2,0)="","",VLOOKUP(AI19,Programa!$G$3:$H$18,2,0)),""))</f>
        <v/>
      </c>
      <c r="AK19" s="53" t="str">
        <f t="shared" si="2"/>
        <v xml:space="preserve"> </v>
      </c>
      <c r="AL19" s="53" t="str">
        <f>IF(AK19="","",IFERROR(IF(VLOOKUP(AK19,Programa!$G$19:$H$34,2,0)="","",VLOOKUP(AK19,Programa!$G$19:$H$34,2,0)),""))</f>
        <v/>
      </c>
      <c r="AM19" s="53" t="str">
        <f t="shared" si="3"/>
        <v xml:space="preserve"> </v>
      </c>
      <c r="AN19" s="53" t="str">
        <f>IF(AM19="","",IFERROR(IF(VLOOKUP(AM19,Programa!$G$35:$H$50,2,0)="","",VLOOKUP(AM19,Programa!$G$35:$H$50,2,0)),""))</f>
        <v/>
      </c>
      <c r="AP19" s="161">
        <v>16</v>
      </c>
      <c r="AQ19" s="145" t="str">
        <f>IF(ISBLANK(STUD!B17)," ",STUD!B17)</f>
        <v xml:space="preserve"> </v>
      </c>
      <c r="AR19" s="145">
        <f>IFERROR(VLOOKUP(AQ19,Lunes!$AF$4:$AG$31,2,0),0)</f>
        <v>0</v>
      </c>
      <c r="AS19" s="145">
        <f t="shared" si="4"/>
        <v>0</v>
      </c>
      <c r="AT19" s="145">
        <f t="shared" si="5"/>
        <v>0</v>
      </c>
      <c r="AU19" s="145">
        <f t="shared" si="7"/>
        <v>63.9</v>
      </c>
    </row>
    <row r="20" spans="1:47" ht="15.75" customHeight="1" x14ac:dyDescent="0.4">
      <c r="A20" s="242"/>
      <c r="B20" s="253"/>
      <c r="C20" s="245"/>
      <c r="D20" s="138">
        <f t="shared" ref="D20:AB20" si="15">IF(IFERROR(IF(VLOOKUP(D19,D$151:D$155,1,0)&gt;=1,D$150,0),D19)=D$132,D$136,IF(IFERROR(IF(VLOOKUP(D19,D$151:D$155,1,0)&gt;=1,D$150,0),D19)=D$139,D$142,IF(IFERROR(IF(VLOOKUP(D19,D$151:D$155,1,0)&gt;=1,D$150,0),D19)=D$145,D$147,0)))</f>
        <v>6.1</v>
      </c>
      <c r="E20" s="138">
        <f t="shared" si="15"/>
        <v>0</v>
      </c>
      <c r="F20" s="138">
        <f t="shared" si="15"/>
        <v>0</v>
      </c>
      <c r="G20" s="138">
        <f t="shared" si="15"/>
        <v>16</v>
      </c>
      <c r="H20" s="138">
        <f t="shared" si="15"/>
        <v>1</v>
      </c>
      <c r="I20" s="138">
        <f t="shared" si="15"/>
        <v>4.5999999999999996</v>
      </c>
      <c r="J20" s="138">
        <f t="shared" si="15"/>
        <v>0</v>
      </c>
      <c r="K20" s="138">
        <f t="shared" si="15"/>
        <v>0</v>
      </c>
      <c r="L20" s="138">
        <f t="shared" si="15"/>
        <v>8.1999999999999993</v>
      </c>
      <c r="M20" s="138">
        <f t="shared" si="15"/>
        <v>0</v>
      </c>
      <c r="N20" s="138">
        <f t="shared" si="15"/>
        <v>0</v>
      </c>
      <c r="O20" s="138">
        <f t="shared" si="15"/>
        <v>0</v>
      </c>
      <c r="P20" s="138">
        <f>IF(IFERROR(IF(VLOOKUP(P19,P$151:P$155,1,0)&gt;=1,P$150,0),P19)=P$132,P$136,IF(IFERROR(IF(VLOOKUP(P19,P$151:P$155,1,0)&gt;=1,P$150,0),P19)=P$139,P$142,IF(IFERROR(IF(VLOOKUP(P19,P$151:P$155,1,0)&gt;=1,P$150,0),P19)=P$145,P$147,0)))</f>
        <v>0</v>
      </c>
      <c r="Q20" s="138">
        <f t="shared" si="15"/>
        <v>0</v>
      </c>
      <c r="R20" s="138">
        <f t="shared" si="15"/>
        <v>0</v>
      </c>
      <c r="S20" s="138">
        <f t="shared" si="15"/>
        <v>0</v>
      </c>
      <c r="T20" s="138">
        <f t="shared" si="15"/>
        <v>0</v>
      </c>
      <c r="U20" s="138">
        <f t="shared" si="15"/>
        <v>0</v>
      </c>
      <c r="V20" s="138">
        <f t="shared" si="15"/>
        <v>0</v>
      </c>
      <c r="W20" s="138">
        <f t="shared" si="15"/>
        <v>0</v>
      </c>
      <c r="X20" s="138">
        <f t="shared" si="15"/>
        <v>0</v>
      </c>
      <c r="Y20" s="138">
        <f t="shared" si="15"/>
        <v>0</v>
      </c>
      <c r="Z20" s="138">
        <f t="shared" si="15"/>
        <v>0</v>
      </c>
      <c r="AA20" s="138">
        <f t="shared" si="15"/>
        <v>0</v>
      </c>
      <c r="AB20" s="138">
        <f t="shared" si="15"/>
        <v>0</v>
      </c>
      <c r="AC20" s="243"/>
      <c r="AE20" s="162">
        <v>17</v>
      </c>
      <c r="AF20" s="145" t="str">
        <f>IF(ISBLANK(STUD!B18)," ",STUD!B18)</f>
        <v xml:space="preserve"> </v>
      </c>
      <c r="AG20" s="185">
        <f t="shared" si="0"/>
        <v>0</v>
      </c>
      <c r="AH20" s="186">
        <f t="shared" si="6"/>
        <v>59.9</v>
      </c>
      <c r="AI20" s="88" t="str">
        <f t="shared" si="1"/>
        <v xml:space="preserve"> </v>
      </c>
      <c r="AJ20" s="53" t="str">
        <f>IF(AI20="","",IFERROR(IF(VLOOKUP(AI20,Programa!$G$3:$H$18,2,0)="","",VLOOKUP(AI20,Programa!$G$3:$H$18,2,0)),""))</f>
        <v/>
      </c>
      <c r="AK20" s="53" t="str">
        <f t="shared" si="2"/>
        <v xml:space="preserve"> </v>
      </c>
      <c r="AL20" s="53" t="str">
        <f>IF(AK20="","",IFERROR(IF(VLOOKUP(AK20,Programa!$G$19:$H$34,2,0)="","",VLOOKUP(AK20,Programa!$G$19:$H$34,2,0)),""))</f>
        <v/>
      </c>
      <c r="AM20" s="53" t="str">
        <f t="shared" si="3"/>
        <v xml:space="preserve"> </v>
      </c>
      <c r="AN20" s="53" t="str">
        <f>IF(AM20="","",IFERROR(IF(VLOOKUP(AM20,Programa!$G$35:$H$50,2,0)="","",VLOOKUP(AM20,Programa!$G$35:$H$50,2,0)),""))</f>
        <v/>
      </c>
      <c r="AP20" s="162">
        <v>17</v>
      </c>
      <c r="AQ20" s="145" t="str">
        <f>IF(ISBLANK(STUD!B18)," ",STUD!B18)</f>
        <v xml:space="preserve"> </v>
      </c>
      <c r="AR20" s="145">
        <f>IFERROR(VLOOKUP(AQ20,Lunes!$AF$4:$AG$31,2,0),0)</f>
        <v>0</v>
      </c>
      <c r="AS20" s="145">
        <f t="shared" si="4"/>
        <v>0</v>
      </c>
      <c r="AT20" s="145">
        <f t="shared" si="5"/>
        <v>0</v>
      </c>
      <c r="AU20" s="145">
        <f t="shared" si="7"/>
        <v>63.9</v>
      </c>
    </row>
    <row r="21" spans="1:47" ht="15.75" customHeight="1" x14ac:dyDescent="0.4">
      <c r="A21" s="252">
        <f>+A19+1</f>
        <v>9</v>
      </c>
      <c r="B21" s="253" t="str">
        <f>+STUD!B10</f>
        <v>AUMENTA MEDINA</v>
      </c>
      <c r="C21" s="244">
        <f>SUM(D22:AB22)</f>
        <v>22.7</v>
      </c>
      <c r="D21" s="129">
        <v>10</v>
      </c>
      <c r="E21" s="129">
        <v>5</v>
      </c>
      <c r="F21" s="129">
        <v>3</v>
      </c>
      <c r="G21" s="129">
        <v>7</v>
      </c>
      <c r="H21" s="129">
        <v>5</v>
      </c>
      <c r="I21" s="129">
        <v>7</v>
      </c>
      <c r="J21" s="129">
        <v>2</v>
      </c>
      <c r="K21" s="129">
        <v>6</v>
      </c>
      <c r="L21" s="129">
        <v>3</v>
      </c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243">
        <f>SUM(D22:AB22)</f>
        <v>22.7</v>
      </c>
      <c r="AE21" s="163">
        <v>18</v>
      </c>
      <c r="AF21" s="145" t="str">
        <f>IF(ISBLANK(STUD!B19)," ",STUD!B19)</f>
        <v xml:space="preserve"> </v>
      </c>
      <c r="AG21" s="185">
        <f t="shared" si="0"/>
        <v>0</v>
      </c>
      <c r="AH21" s="186">
        <f t="shared" si="6"/>
        <v>59.9</v>
      </c>
      <c r="AI21" s="88" t="str">
        <f t="shared" si="1"/>
        <v xml:space="preserve"> </v>
      </c>
      <c r="AJ21" s="53" t="str">
        <f>IF(AI21="","",IFERROR(IF(VLOOKUP(AI21,Programa!$G$3:$H$18,2,0)="","",VLOOKUP(AI21,Programa!$G$3:$H$18,2,0)),""))</f>
        <v/>
      </c>
      <c r="AK21" s="53" t="str">
        <f t="shared" si="2"/>
        <v xml:space="preserve"> </v>
      </c>
      <c r="AL21" s="53" t="str">
        <f>IF(AK21="","",IFERROR(IF(VLOOKUP(AK21,Programa!$G$19:$H$34,2,0)="","",VLOOKUP(AK21,Programa!$G$19:$H$34,2,0)),""))</f>
        <v/>
      </c>
      <c r="AM21" s="53" t="str">
        <f t="shared" si="3"/>
        <v xml:space="preserve"> </v>
      </c>
      <c r="AN21" s="53" t="str">
        <f>IF(AM21="","",IFERROR(IF(VLOOKUP(AM21,Programa!$G$35:$H$50,2,0)="","",VLOOKUP(AM21,Programa!$G$35:$H$50,2,0)),""))</f>
        <v/>
      </c>
      <c r="AP21" s="163">
        <v>18</v>
      </c>
      <c r="AQ21" s="145" t="str">
        <f>IF(ISBLANK(STUD!B19)," ",STUD!B19)</f>
        <v xml:space="preserve"> </v>
      </c>
      <c r="AR21" s="145">
        <f>IFERROR(VLOOKUP(AQ21,Lunes!$AF$4:$AG$31,2,0),0)</f>
        <v>0</v>
      </c>
      <c r="AS21" s="145">
        <f t="shared" si="4"/>
        <v>0</v>
      </c>
      <c r="AT21" s="145">
        <f t="shared" si="5"/>
        <v>0</v>
      </c>
      <c r="AU21" s="145">
        <f t="shared" si="7"/>
        <v>63.9</v>
      </c>
    </row>
    <row r="22" spans="1:47" ht="15.75" customHeight="1" x14ac:dyDescent="0.4">
      <c r="A22" s="242"/>
      <c r="B22" s="253"/>
      <c r="C22" s="245"/>
      <c r="D22" s="138">
        <f t="shared" ref="D22:AB22" si="16">IF(IFERROR(IF(VLOOKUP(D21,D$151:D$155,1,0)&gt;=1,D$150,0),D21)=D$132,D$136,IF(IFERROR(IF(VLOOKUP(D21,D$151:D$155,1,0)&gt;=1,D$150,0),D21)=D$139,D$142,IF(IFERROR(IF(VLOOKUP(D21,D$151:D$155,1,0)&gt;=1,D$150,0),D21)=D$145,D$147,0)))</f>
        <v>6.1</v>
      </c>
      <c r="E22" s="138">
        <f t="shared" si="16"/>
        <v>0</v>
      </c>
      <c r="F22" s="138">
        <f t="shared" si="16"/>
        <v>0</v>
      </c>
      <c r="G22" s="138">
        <f t="shared" si="16"/>
        <v>0</v>
      </c>
      <c r="H22" s="138">
        <f t="shared" si="16"/>
        <v>0</v>
      </c>
      <c r="I22" s="138">
        <f t="shared" si="16"/>
        <v>1.4</v>
      </c>
      <c r="J22" s="138">
        <f t="shared" si="16"/>
        <v>7</v>
      </c>
      <c r="K22" s="138">
        <f t="shared" si="16"/>
        <v>0</v>
      </c>
      <c r="L22" s="138">
        <f t="shared" si="16"/>
        <v>8.1999999999999993</v>
      </c>
      <c r="M22" s="138">
        <f t="shared" si="16"/>
        <v>0</v>
      </c>
      <c r="N22" s="138">
        <f t="shared" si="16"/>
        <v>0</v>
      </c>
      <c r="O22" s="138">
        <f t="shared" si="16"/>
        <v>0</v>
      </c>
      <c r="P22" s="138">
        <f t="shared" si="16"/>
        <v>0</v>
      </c>
      <c r="Q22" s="138">
        <f t="shared" si="16"/>
        <v>0</v>
      </c>
      <c r="R22" s="138">
        <f t="shared" si="16"/>
        <v>0</v>
      </c>
      <c r="S22" s="138">
        <f t="shared" si="16"/>
        <v>0</v>
      </c>
      <c r="T22" s="138">
        <f t="shared" si="16"/>
        <v>0</v>
      </c>
      <c r="U22" s="138">
        <f t="shared" si="16"/>
        <v>0</v>
      </c>
      <c r="V22" s="138">
        <f t="shared" si="16"/>
        <v>0</v>
      </c>
      <c r="W22" s="138">
        <f t="shared" si="16"/>
        <v>0</v>
      </c>
      <c r="X22" s="138">
        <f t="shared" si="16"/>
        <v>0</v>
      </c>
      <c r="Y22" s="138">
        <f t="shared" si="16"/>
        <v>0</v>
      </c>
      <c r="Z22" s="138">
        <f t="shared" si="16"/>
        <v>0</v>
      </c>
      <c r="AA22" s="138">
        <f t="shared" si="16"/>
        <v>0</v>
      </c>
      <c r="AB22" s="138">
        <f t="shared" si="16"/>
        <v>0</v>
      </c>
      <c r="AC22" s="243"/>
      <c r="AE22" s="164">
        <v>19</v>
      </c>
      <c r="AF22" s="145" t="str">
        <f>IF(ISBLANK(STUD!B20)," ",STUD!B20)</f>
        <v xml:space="preserve"> </v>
      </c>
      <c r="AG22" s="185">
        <f t="shared" si="0"/>
        <v>0</v>
      </c>
      <c r="AH22" s="186">
        <f t="shared" si="6"/>
        <v>59.9</v>
      </c>
      <c r="AI22" s="88" t="str">
        <f t="shared" si="1"/>
        <v xml:space="preserve"> </v>
      </c>
      <c r="AJ22" s="53" t="str">
        <f>IF(AI22="","",IFERROR(IF(VLOOKUP(AI22,Programa!$G$3:$H$18,2,0)="","",VLOOKUP(AI22,Programa!$G$3:$H$18,2,0)),""))</f>
        <v/>
      </c>
      <c r="AK22" s="53" t="str">
        <f t="shared" si="2"/>
        <v xml:space="preserve"> </v>
      </c>
      <c r="AL22" s="53" t="str">
        <f>IF(AK22="","",IFERROR(IF(VLOOKUP(AK22,Programa!$G$19:$H$34,2,0)="","",VLOOKUP(AK22,Programa!$G$19:$H$34,2,0)),""))</f>
        <v/>
      </c>
      <c r="AM22" s="53" t="str">
        <f t="shared" si="3"/>
        <v xml:space="preserve"> </v>
      </c>
      <c r="AN22" s="53" t="str">
        <f>IF(AM22="","",IFERROR(IF(VLOOKUP(AM22,Programa!$G$35:$H$50,2,0)="","",VLOOKUP(AM22,Programa!$G$35:$H$50,2,0)),""))</f>
        <v/>
      </c>
      <c r="AP22" s="164">
        <v>19</v>
      </c>
      <c r="AQ22" s="145" t="str">
        <f>IF(ISBLANK(STUD!B20)," ",STUD!B20)</f>
        <v xml:space="preserve"> </v>
      </c>
      <c r="AR22" s="145">
        <f>IFERROR(VLOOKUP(AQ22,Lunes!$AF$4:$AG$31,2,0),0)</f>
        <v>0</v>
      </c>
      <c r="AS22" s="145">
        <f t="shared" si="4"/>
        <v>0</v>
      </c>
      <c r="AT22" s="145">
        <f t="shared" si="5"/>
        <v>0</v>
      </c>
      <c r="AU22" s="145">
        <f t="shared" si="7"/>
        <v>63.9</v>
      </c>
    </row>
    <row r="23" spans="1:47" ht="15.75" customHeight="1" x14ac:dyDescent="0.4">
      <c r="A23" s="252">
        <f>+A21+1</f>
        <v>10</v>
      </c>
      <c r="B23" s="253" t="str">
        <f>+STUD!B11</f>
        <v>PASASTE BANDIDO</v>
      </c>
      <c r="C23" s="244">
        <f>SUM(D24:AB24)</f>
        <v>59.9</v>
      </c>
      <c r="D23" s="129">
        <v>7</v>
      </c>
      <c r="E23" s="129">
        <v>5</v>
      </c>
      <c r="F23" s="129">
        <v>3</v>
      </c>
      <c r="G23" s="129">
        <v>3</v>
      </c>
      <c r="H23" s="129">
        <v>8</v>
      </c>
      <c r="I23" s="129">
        <v>2</v>
      </c>
      <c r="J23" s="129">
        <v>3</v>
      </c>
      <c r="K23" s="129">
        <v>11</v>
      </c>
      <c r="L23" s="129">
        <v>7</v>
      </c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  <c r="AC23" s="243">
        <f>SUM(D24:AB24)</f>
        <v>59.9</v>
      </c>
      <c r="AE23" s="165">
        <v>20</v>
      </c>
      <c r="AF23" s="145" t="str">
        <f>IF(ISBLANK(STUD!B21)," ",STUD!B21)</f>
        <v xml:space="preserve"> </v>
      </c>
      <c r="AG23" s="185">
        <f t="shared" si="0"/>
        <v>0</v>
      </c>
      <c r="AH23" s="186">
        <f t="shared" si="6"/>
        <v>59.9</v>
      </c>
      <c r="AI23" s="88" t="str">
        <f t="shared" si="1"/>
        <v xml:space="preserve"> </v>
      </c>
      <c r="AJ23" s="53" t="str">
        <f>IF(AI23="","",IFERROR(IF(VLOOKUP(AI23,Programa!$G$3:$H$18,2,0)="","",VLOOKUP(AI23,Programa!$G$3:$H$18,2,0)),""))</f>
        <v/>
      </c>
      <c r="AK23" s="53" t="str">
        <f t="shared" si="2"/>
        <v xml:space="preserve"> </v>
      </c>
      <c r="AL23" s="53" t="str">
        <f>IF(AK23="","",IFERROR(IF(VLOOKUP(AK23,Programa!$G$19:$H$34,2,0)="","",VLOOKUP(AK23,Programa!$G$19:$H$34,2,0)),""))</f>
        <v/>
      </c>
      <c r="AM23" s="53" t="str">
        <f t="shared" si="3"/>
        <v xml:space="preserve"> </v>
      </c>
      <c r="AN23" s="53" t="str">
        <f>IF(AM23="","",IFERROR(IF(VLOOKUP(AM23,Programa!$G$35:$H$50,2,0)="","",VLOOKUP(AM23,Programa!$G$35:$H$50,2,0)),""))</f>
        <v/>
      </c>
      <c r="AP23" s="165">
        <v>20</v>
      </c>
      <c r="AQ23" s="145" t="str">
        <f>IF(ISBLANK(STUD!B21)," ",STUD!B21)</f>
        <v xml:space="preserve"> </v>
      </c>
      <c r="AR23" s="145">
        <f>IFERROR(VLOOKUP(AQ23,Lunes!$AF$4:$AG$31,2,0),0)</f>
        <v>0</v>
      </c>
      <c r="AS23" s="145">
        <f t="shared" si="4"/>
        <v>0</v>
      </c>
      <c r="AT23" s="145">
        <f t="shared" si="5"/>
        <v>0</v>
      </c>
      <c r="AU23" s="145">
        <f t="shared" si="7"/>
        <v>63.9</v>
      </c>
    </row>
    <row r="24" spans="1:47" ht="15.75" customHeight="1" x14ac:dyDescent="0.4">
      <c r="A24" s="242"/>
      <c r="B24" s="253"/>
      <c r="C24" s="245"/>
      <c r="D24" s="138">
        <f t="shared" ref="D24:AB24" si="17">IF(IFERROR(IF(VLOOKUP(D23,D$151:D$155,1,0)&gt;=1,D$150,0),D23)=D$132,D$136,IF(IFERROR(IF(VLOOKUP(D23,D$151:D$155,1,0)&gt;=1,D$150,0),D23)=D$139,D$142,IF(IFERROR(IF(VLOOKUP(D23,D$151:D$155,1,0)&gt;=1,D$150,0),D23)=D$145,D$147,0)))</f>
        <v>2.7</v>
      </c>
      <c r="E24" s="138">
        <f t="shared" si="17"/>
        <v>0</v>
      </c>
      <c r="F24" s="138">
        <f t="shared" si="17"/>
        <v>0</v>
      </c>
      <c r="G24" s="138">
        <f t="shared" si="17"/>
        <v>16</v>
      </c>
      <c r="H24" s="138">
        <f t="shared" si="17"/>
        <v>3</v>
      </c>
      <c r="I24" s="138">
        <f t="shared" si="17"/>
        <v>4.5999999999999996</v>
      </c>
      <c r="J24" s="138">
        <f t="shared" si="17"/>
        <v>0</v>
      </c>
      <c r="K24" s="138">
        <f t="shared" si="17"/>
        <v>0</v>
      </c>
      <c r="L24" s="138">
        <f t="shared" si="17"/>
        <v>33.6</v>
      </c>
      <c r="M24" s="138">
        <f t="shared" si="17"/>
        <v>0</v>
      </c>
      <c r="N24" s="138">
        <f t="shared" si="17"/>
        <v>0</v>
      </c>
      <c r="O24" s="138">
        <f t="shared" si="17"/>
        <v>0</v>
      </c>
      <c r="P24" s="138">
        <f t="shared" si="17"/>
        <v>0</v>
      </c>
      <c r="Q24" s="138">
        <f t="shared" si="17"/>
        <v>0</v>
      </c>
      <c r="R24" s="138">
        <f t="shared" si="17"/>
        <v>0</v>
      </c>
      <c r="S24" s="138">
        <f t="shared" si="17"/>
        <v>0</v>
      </c>
      <c r="T24" s="138">
        <f t="shared" si="17"/>
        <v>0</v>
      </c>
      <c r="U24" s="138">
        <f t="shared" si="17"/>
        <v>0</v>
      </c>
      <c r="V24" s="138">
        <f t="shared" si="17"/>
        <v>0</v>
      </c>
      <c r="W24" s="138">
        <f t="shared" si="17"/>
        <v>0</v>
      </c>
      <c r="X24" s="138">
        <f t="shared" si="17"/>
        <v>0</v>
      </c>
      <c r="Y24" s="138">
        <f t="shared" si="17"/>
        <v>0</v>
      </c>
      <c r="Z24" s="138">
        <f t="shared" si="17"/>
        <v>0</v>
      </c>
      <c r="AA24" s="138">
        <f t="shared" si="17"/>
        <v>0</v>
      </c>
      <c r="AB24" s="138">
        <f t="shared" si="17"/>
        <v>0</v>
      </c>
      <c r="AC24" s="243"/>
      <c r="AE24" s="166">
        <v>21</v>
      </c>
      <c r="AF24" s="145" t="str">
        <f>IF(ISBLANK(STUD!B22)," ",STUD!B22)</f>
        <v xml:space="preserve"> </v>
      </c>
      <c r="AG24" s="185">
        <f t="shared" si="0"/>
        <v>0</v>
      </c>
      <c r="AH24" s="186">
        <f t="shared" si="6"/>
        <v>59.9</v>
      </c>
      <c r="AI24" s="88" t="str">
        <f t="shared" si="1"/>
        <v xml:space="preserve"> </v>
      </c>
      <c r="AJ24" s="53" t="str">
        <f>IF(AI24="","",IFERROR(IF(VLOOKUP(AI24,Programa!$G$3:$H$18,2,0)="","",VLOOKUP(AI24,Programa!$G$3:$H$18,2,0)),""))</f>
        <v/>
      </c>
      <c r="AK24" s="53" t="str">
        <f t="shared" si="2"/>
        <v xml:space="preserve"> </v>
      </c>
      <c r="AL24" s="53" t="str">
        <f>IF(AK24="","",IFERROR(IF(VLOOKUP(AK24,Programa!$G$19:$H$34,2,0)="","",VLOOKUP(AK24,Programa!$G$19:$H$34,2,0)),""))</f>
        <v/>
      </c>
      <c r="AM24" s="53" t="str">
        <f t="shared" si="3"/>
        <v xml:space="preserve"> </v>
      </c>
      <c r="AN24" s="53" t="str">
        <f>IF(AM24="","",IFERROR(IF(VLOOKUP(AM24,Programa!$G$35:$H$50,2,0)="","",VLOOKUP(AM24,Programa!$G$35:$H$50,2,0)),""))</f>
        <v/>
      </c>
      <c r="AP24" s="166">
        <v>21</v>
      </c>
      <c r="AQ24" s="145" t="str">
        <f>IF(ISBLANK(STUD!B22)," ",STUD!B22)</f>
        <v xml:space="preserve"> </v>
      </c>
      <c r="AR24" s="145">
        <f>IFERROR(VLOOKUP(AQ24,Lunes!$AF$4:$AG$31,2,0),0)</f>
        <v>0</v>
      </c>
      <c r="AS24" s="145">
        <f t="shared" si="4"/>
        <v>0</v>
      </c>
      <c r="AT24" s="145">
        <f t="shared" si="5"/>
        <v>0</v>
      </c>
      <c r="AU24" s="145">
        <f t="shared" si="7"/>
        <v>63.9</v>
      </c>
    </row>
    <row r="25" spans="1:47" ht="15.75" customHeight="1" x14ac:dyDescent="0.4">
      <c r="A25" s="252">
        <f>+A23+1</f>
        <v>11</v>
      </c>
      <c r="B25" s="253">
        <f>+STUD!B12</f>
        <v>0</v>
      </c>
      <c r="C25" s="244">
        <f>SUM(D26:AB26)</f>
        <v>46.3</v>
      </c>
      <c r="D25" s="131">
        <v>10</v>
      </c>
      <c r="E25" s="131">
        <v>7</v>
      </c>
      <c r="F25" s="131">
        <v>2</v>
      </c>
      <c r="G25" s="131">
        <v>10</v>
      </c>
      <c r="H25" s="131">
        <v>7</v>
      </c>
      <c r="I25" s="131">
        <v>9</v>
      </c>
      <c r="J25" s="131">
        <v>10</v>
      </c>
      <c r="K25" s="131">
        <v>10</v>
      </c>
      <c r="L25" s="131">
        <v>3</v>
      </c>
      <c r="M25" s="131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243">
        <f>SUM(D26:AB26)</f>
        <v>46.3</v>
      </c>
      <c r="AE25" s="167">
        <v>22</v>
      </c>
      <c r="AF25" s="145" t="str">
        <f>IF(ISBLANK(STUD!B23)," ",STUD!B23)</f>
        <v xml:space="preserve"> </v>
      </c>
      <c r="AG25" s="185">
        <f t="shared" si="0"/>
        <v>0</v>
      </c>
      <c r="AH25" s="186">
        <f t="shared" si="6"/>
        <v>59.9</v>
      </c>
      <c r="AI25" s="88" t="str">
        <f t="shared" si="1"/>
        <v xml:space="preserve"> </v>
      </c>
      <c r="AJ25" s="53" t="str">
        <f>IF(AI25="","",IFERROR(IF(VLOOKUP(AI25,Programa!$G$3:$H$18,2,0)="","",VLOOKUP(AI25,Programa!$G$3:$H$18,2,0)),""))</f>
        <v/>
      </c>
      <c r="AK25" s="53" t="str">
        <f t="shared" si="2"/>
        <v xml:space="preserve"> </v>
      </c>
      <c r="AL25" s="53" t="str">
        <f>IF(AK25="","",IFERROR(IF(VLOOKUP(AK25,Programa!$G$19:$H$34,2,0)="","",VLOOKUP(AK25,Programa!$G$19:$H$34,2,0)),""))</f>
        <v/>
      </c>
      <c r="AM25" s="53" t="str">
        <f t="shared" si="3"/>
        <v xml:space="preserve"> </v>
      </c>
      <c r="AN25" s="53" t="str">
        <f>IF(AM25="","",IFERROR(IF(VLOOKUP(AM25,Programa!$G$35:$H$50,2,0)="","",VLOOKUP(AM25,Programa!$G$35:$H$50,2,0)),""))</f>
        <v/>
      </c>
      <c r="AP25" s="167">
        <v>22</v>
      </c>
      <c r="AQ25" s="145" t="str">
        <f>IF(ISBLANK(STUD!B23)," ",STUD!B23)</f>
        <v xml:space="preserve"> </v>
      </c>
      <c r="AR25" s="145">
        <f>IFERROR(VLOOKUP(AQ25,Lunes!$AF$4:$AG$31,2,0),0)</f>
        <v>0</v>
      </c>
      <c r="AS25" s="145">
        <f t="shared" si="4"/>
        <v>0</v>
      </c>
      <c r="AT25" s="145">
        <f t="shared" si="5"/>
        <v>0</v>
      </c>
      <c r="AU25" s="145">
        <f t="shared" si="7"/>
        <v>63.9</v>
      </c>
    </row>
    <row r="26" spans="1:47" ht="15.75" customHeight="1" x14ac:dyDescent="0.4">
      <c r="A26" s="242"/>
      <c r="B26" s="253"/>
      <c r="C26" s="245"/>
      <c r="D26" s="138">
        <f t="shared" ref="D26:AB26" si="18">IF(IFERROR(IF(VLOOKUP(D25,D$151:D$155,1,0)&gt;=1,D$150,0),D25)=D$132,D$136,IF(IFERROR(IF(VLOOKUP(D25,D$151:D$155,1,0)&gt;=1,D$150,0),D25)=D$139,D$142,IF(IFERROR(IF(VLOOKUP(D25,D$151:D$155,1,0)&gt;=1,D$150,0),D25)=D$145,D$147,0)))</f>
        <v>6.1</v>
      </c>
      <c r="E26" s="138">
        <f t="shared" si="18"/>
        <v>3.3</v>
      </c>
      <c r="F26" s="138">
        <f t="shared" si="18"/>
        <v>0</v>
      </c>
      <c r="G26" s="138">
        <f t="shared" si="18"/>
        <v>0</v>
      </c>
      <c r="H26" s="138">
        <f t="shared" si="18"/>
        <v>1</v>
      </c>
      <c r="I26" s="138">
        <f t="shared" si="18"/>
        <v>0</v>
      </c>
      <c r="J26" s="138">
        <f t="shared" si="18"/>
        <v>0</v>
      </c>
      <c r="K26" s="138">
        <f t="shared" si="18"/>
        <v>27.700000000000003</v>
      </c>
      <c r="L26" s="138">
        <f t="shared" si="18"/>
        <v>8.1999999999999993</v>
      </c>
      <c r="M26" s="138">
        <f t="shared" si="18"/>
        <v>0</v>
      </c>
      <c r="N26" s="138">
        <f t="shared" si="18"/>
        <v>0</v>
      </c>
      <c r="O26" s="138">
        <f t="shared" si="18"/>
        <v>0</v>
      </c>
      <c r="P26" s="138">
        <f t="shared" si="18"/>
        <v>0</v>
      </c>
      <c r="Q26" s="138">
        <f t="shared" si="18"/>
        <v>0</v>
      </c>
      <c r="R26" s="138">
        <f t="shared" si="18"/>
        <v>0</v>
      </c>
      <c r="S26" s="138">
        <f t="shared" si="18"/>
        <v>0</v>
      </c>
      <c r="T26" s="138">
        <f t="shared" si="18"/>
        <v>0</v>
      </c>
      <c r="U26" s="138">
        <f t="shared" si="18"/>
        <v>0</v>
      </c>
      <c r="V26" s="138">
        <f t="shared" si="18"/>
        <v>0</v>
      </c>
      <c r="W26" s="138">
        <f t="shared" si="18"/>
        <v>0</v>
      </c>
      <c r="X26" s="138">
        <f t="shared" si="18"/>
        <v>0</v>
      </c>
      <c r="Y26" s="138">
        <f t="shared" si="18"/>
        <v>0</v>
      </c>
      <c r="Z26" s="138">
        <f t="shared" si="18"/>
        <v>0</v>
      </c>
      <c r="AA26" s="138">
        <f t="shared" si="18"/>
        <v>0</v>
      </c>
      <c r="AB26" s="138">
        <f t="shared" si="18"/>
        <v>0</v>
      </c>
      <c r="AC26" s="243"/>
      <c r="AE26" s="168">
        <v>23</v>
      </c>
      <c r="AF26" s="145" t="str">
        <f>IF(ISBLANK(STUD!B24)," ",STUD!B24)</f>
        <v xml:space="preserve"> </v>
      </c>
      <c r="AG26" s="185">
        <f t="shared" si="0"/>
        <v>0</v>
      </c>
      <c r="AH26" s="186">
        <f t="shared" si="6"/>
        <v>59.9</v>
      </c>
      <c r="AI26" s="88" t="str">
        <f t="shared" si="1"/>
        <v xml:space="preserve"> </v>
      </c>
      <c r="AJ26" s="53" t="str">
        <f>IF(AI26="","",IFERROR(IF(VLOOKUP(AI26,Programa!$G$3:$H$18,2,0)="","",VLOOKUP(AI26,Programa!$G$3:$H$18,2,0)),""))</f>
        <v/>
      </c>
      <c r="AK26" s="53" t="str">
        <f t="shared" si="2"/>
        <v xml:space="preserve"> </v>
      </c>
      <c r="AL26" s="53" t="str">
        <f>IF(AK26="","",IFERROR(IF(VLOOKUP(AK26,Programa!$G$19:$H$34,2,0)="","",VLOOKUP(AK26,Programa!$G$19:$H$34,2,0)),""))</f>
        <v/>
      </c>
      <c r="AM26" s="53" t="str">
        <f t="shared" si="3"/>
        <v xml:space="preserve"> </v>
      </c>
      <c r="AN26" s="53" t="str">
        <f>IF(AM26="","",IFERROR(IF(VLOOKUP(AM26,Programa!$G$35:$H$50,2,0)="","",VLOOKUP(AM26,Programa!$G$35:$H$50,2,0)),""))</f>
        <v/>
      </c>
      <c r="AP26" s="168">
        <v>23</v>
      </c>
      <c r="AQ26" s="145" t="str">
        <f>IF(ISBLANK(STUD!B24)," ",STUD!B24)</f>
        <v xml:space="preserve"> </v>
      </c>
      <c r="AR26" s="145">
        <f>IFERROR(VLOOKUP(AQ26,Lunes!$AF$4:$AG$31,2,0),0)</f>
        <v>0</v>
      </c>
      <c r="AS26" s="145">
        <f t="shared" si="4"/>
        <v>0</v>
      </c>
      <c r="AT26" s="145">
        <f t="shared" si="5"/>
        <v>0</v>
      </c>
      <c r="AU26" s="145">
        <f t="shared" si="7"/>
        <v>63.9</v>
      </c>
    </row>
    <row r="27" spans="1:47" ht="15.75" customHeight="1" x14ac:dyDescent="0.4">
      <c r="A27" s="252">
        <f>+A25+1</f>
        <v>12</v>
      </c>
      <c r="B27" s="253">
        <f>+STUD!B13</f>
        <v>0</v>
      </c>
      <c r="C27" s="244">
        <f>SUM(D28:AB28)</f>
        <v>21.5</v>
      </c>
      <c r="D27" s="130">
        <v>10</v>
      </c>
      <c r="E27" s="130">
        <v>5</v>
      </c>
      <c r="F27" s="130">
        <v>6</v>
      </c>
      <c r="G27" s="130">
        <v>8</v>
      </c>
      <c r="H27" s="130">
        <v>8</v>
      </c>
      <c r="I27" s="130">
        <v>7</v>
      </c>
      <c r="J27" s="130">
        <v>2</v>
      </c>
      <c r="K27" s="130">
        <v>3</v>
      </c>
      <c r="L27" s="130">
        <v>10</v>
      </c>
      <c r="M27" s="130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243">
        <f>SUM(D28:AB28)</f>
        <v>21.5</v>
      </c>
      <c r="AE27" s="83">
        <v>24</v>
      </c>
      <c r="AF27" s="91" t="str">
        <f>IF(ISBLANK(STUD!B25)," ",STUD!B25)</f>
        <v xml:space="preserve"> </v>
      </c>
      <c r="AG27" s="91">
        <f t="shared" si="0"/>
        <v>0</v>
      </c>
      <c r="AH27" s="92">
        <f t="shared" si="6"/>
        <v>59.9</v>
      </c>
      <c r="AI27" s="88" t="str">
        <f t="shared" si="1"/>
        <v xml:space="preserve"> </v>
      </c>
      <c r="AJ27" s="53" t="str">
        <f>IF(AI27="","",IFERROR(IF(VLOOKUP(AI27,Programa!$G$3:$H$18,2,0)="","",VLOOKUP(AI27,Programa!$G$3:$H$18,2,0)),""))</f>
        <v/>
      </c>
      <c r="AK27" s="53" t="str">
        <f t="shared" si="2"/>
        <v xml:space="preserve"> </v>
      </c>
      <c r="AL27" s="53" t="str">
        <f>IF(AK27="","",IFERROR(IF(VLOOKUP(AK27,Programa!$G$19:$H$34,2,0)="","",VLOOKUP(AK27,Programa!$G$19:$H$34,2,0)),""))</f>
        <v/>
      </c>
      <c r="AM27" s="53" t="str">
        <f t="shared" si="3"/>
        <v xml:space="preserve"> </v>
      </c>
      <c r="AN27" s="53" t="str">
        <f>IF(AM27="","",IFERROR(IF(VLOOKUP(AM27,Programa!$G$35:$H$50,2,0)="","",VLOOKUP(AM27,Programa!$G$35:$H$50,2,0)),""))</f>
        <v/>
      </c>
      <c r="AP27" s="189">
        <v>24</v>
      </c>
      <c r="AQ27" s="145" t="str">
        <f>IF(ISBLANK(STUD!B25)," ",STUD!B25)</f>
        <v xml:space="preserve"> </v>
      </c>
      <c r="AR27" s="145">
        <f>IFERROR(VLOOKUP(AQ27,Lunes!$AF$4:$AG$31,2,0),0)</f>
        <v>0</v>
      </c>
      <c r="AS27" s="145">
        <f t="shared" si="4"/>
        <v>0</v>
      </c>
      <c r="AT27" s="145">
        <f t="shared" si="5"/>
        <v>0</v>
      </c>
      <c r="AU27" s="145">
        <f t="shared" si="7"/>
        <v>63.9</v>
      </c>
    </row>
    <row r="28" spans="1:47" ht="15.75" customHeight="1" x14ac:dyDescent="0.4">
      <c r="A28" s="242"/>
      <c r="B28" s="253"/>
      <c r="C28" s="245"/>
      <c r="D28" s="138">
        <f t="shared" ref="D28:AB28" si="19">IF(IFERROR(IF(VLOOKUP(D27,D$151:D$155,1,0)&gt;=1,D$150,0),D27)=D$132,D$136,IF(IFERROR(IF(VLOOKUP(D27,D$151:D$155,1,0)&gt;=1,D$150,0),D27)=D$139,D$142,IF(IFERROR(IF(VLOOKUP(D27,D$151:D$155,1,0)&gt;=1,D$150,0),D27)=D$145,D$147,0)))</f>
        <v>6.1</v>
      </c>
      <c r="E28" s="138">
        <f t="shared" si="19"/>
        <v>0</v>
      </c>
      <c r="F28" s="138">
        <f t="shared" si="19"/>
        <v>4</v>
      </c>
      <c r="G28" s="138">
        <f t="shared" si="19"/>
        <v>0</v>
      </c>
      <c r="H28" s="138">
        <f t="shared" si="19"/>
        <v>3</v>
      </c>
      <c r="I28" s="138">
        <f t="shared" si="19"/>
        <v>1.4</v>
      </c>
      <c r="J28" s="138">
        <f t="shared" si="19"/>
        <v>7</v>
      </c>
      <c r="K28" s="138">
        <f t="shared" si="19"/>
        <v>0</v>
      </c>
      <c r="L28" s="138">
        <f t="shared" si="19"/>
        <v>0</v>
      </c>
      <c r="M28" s="138">
        <f t="shared" si="19"/>
        <v>0</v>
      </c>
      <c r="N28" s="138">
        <f t="shared" si="19"/>
        <v>0</v>
      </c>
      <c r="O28" s="138">
        <f t="shared" si="19"/>
        <v>0</v>
      </c>
      <c r="P28" s="138">
        <f t="shared" si="19"/>
        <v>0</v>
      </c>
      <c r="Q28" s="138">
        <f t="shared" si="19"/>
        <v>0</v>
      </c>
      <c r="R28" s="138">
        <f t="shared" si="19"/>
        <v>0</v>
      </c>
      <c r="S28" s="138">
        <f t="shared" si="19"/>
        <v>0</v>
      </c>
      <c r="T28" s="138">
        <f t="shared" si="19"/>
        <v>0</v>
      </c>
      <c r="U28" s="138">
        <f t="shared" si="19"/>
        <v>0</v>
      </c>
      <c r="V28" s="138">
        <f t="shared" si="19"/>
        <v>0</v>
      </c>
      <c r="W28" s="138">
        <f t="shared" si="19"/>
        <v>0</v>
      </c>
      <c r="X28" s="138">
        <f t="shared" si="19"/>
        <v>0</v>
      </c>
      <c r="Y28" s="138">
        <f t="shared" si="19"/>
        <v>0</v>
      </c>
      <c r="Z28" s="138">
        <f t="shared" si="19"/>
        <v>0</v>
      </c>
      <c r="AA28" s="138">
        <f t="shared" si="19"/>
        <v>0</v>
      </c>
      <c r="AB28" s="138">
        <f t="shared" si="19"/>
        <v>0</v>
      </c>
      <c r="AC28" s="243"/>
      <c r="AE28" s="84">
        <v>25</v>
      </c>
      <c r="AF28" s="91" t="str">
        <f>IF(ISBLANK(STUD!B26)," ",STUD!B26)</f>
        <v xml:space="preserve"> </v>
      </c>
      <c r="AG28" s="91">
        <f t="shared" si="0"/>
        <v>0</v>
      </c>
      <c r="AH28" s="92">
        <f t="shared" si="6"/>
        <v>59.9</v>
      </c>
      <c r="AI28" s="88" t="str">
        <f t="shared" si="1"/>
        <v xml:space="preserve"> </v>
      </c>
      <c r="AJ28" s="53" t="str">
        <f>IF(AI28="","",IFERROR(IF(VLOOKUP(AI28,Programa!$G$3:$H$18,2,0)="","",VLOOKUP(AI28,Programa!$G$3:$H$18,2,0)),""))</f>
        <v/>
      </c>
      <c r="AK28" s="53" t="str">
        <f t="shared" si="2"/>
        <v xml:space="preserve"> </v>
      </c>
      <c r="AL28" s="53" t="str">
        <f>IF(AK28="","",IFERROR(IF(VLOOKUP(AK28,Programa!$G$19:$H$34,2,0)="","",VLOOKUP(AK28,Programa!$G$19:$H$34,2,0)),""))</f>
        <v/>
      </c>
      <c r="AM28" s="53" t="str">
        <f t="shared" si="3"/>
        <v xml:space="preserve"> </v>
      </c>
      <c r="AN28" s="53" t="str">
        <f>IF(AM28="","",IFERROR(IF(VLOOKUP(AM28,Programa!$G$35:$H$50,2,0)="","",VLOOKUP(AM28,Programa!$G$35:$H$50,2,0)),""))</f>
        <v/>
      </c>
      <c r="AP28" s="190">
        <v>25</v>
      </c>
      <c r="AQ28" s="145" t="str">
        <f>IF(ISBLANK(STUD!B26)," ",STUD!B26)</f>
        <v xml:space="preserve"> </v>
      </c>
      <c r="AR28" s="145">
        <f>IFERROR(VLOOKUP(AQ28,Lunes!$AF$4:$AG$31,2,0),0)</f>
        <v>0</v>
      </c>
      <c r="AS28" s="145">
        <f t="shared" si="4"/>
        <v>0</v>
      </c>
      <c r="AT28" s="145">
        <f t="shared" si="5"/>
        <v>0</v>
      </c>
      <c r="AU28" s="145">
        <f t="shared" si="7"/>
        <v>63.9</v>
      </c>
    </row>
    <row r="29" spans="1:47" ht="15.75" customHeight="1" x14ac:dyDescent="0.4">
      <c r="A29" s="252">
        <f>+A27+1</f>
        <v>13</v>
      </c>
      <c r="B29" s="253">
        <f>+STUD!B14</f>
        <v>0</v>
      </c>
      <c r="C29" s="244">
        <f>SUM(D30:AB30)</f>
        <v>8.8000000000000007</v>
      </c>
      <c r="D29" s="132">
        <v>12</v>
      </c>
      <c r="E29" s="132">
        <v>5</v>
      </c>
      <c r="F29" s="132">
        <v>6</v>
      </c>
      <c r="G29" s="132">
        <v>6</v>
      </c>
      <c r="H29" s="132">
        <v>1</v>
      </c>
      <c r="I29" s="132">
        <v>8</v>
      </c>
      <c r="J29" s="132">
        <v>8</v>
      </c>
      <c r="K29" s="132">
        <v>2</v>
      </c>
      <c r="L29" s="132">
        <v>10</v>
      </c>
      <c r="M29" s="132"/>
      <c r="N29" s="132"/>
      <c r="O29" s="132"/>
      <c r="P29" s="132"/>
      <c r="Q29" s="132"/>
      <c r="R29" s="132"/>
      <c r="S29" s="132"/>
      <c r="T29" s="132"/>
      <c r="U29" s="132"/>
      <c r="V29" s="129"/>
      <c r="W29" s="129"/>
      <c r="X29" s="129"/>
      <c r="Y29" s="129"/>
      <c r="Z29" s="133"/>
      <c r="AA29" s="133"/>
      <c r="AB29" s="133"/>
      <c r="AC29" s="243">
        <f>SUM(D30:AB30)</f>
        <v>8.8000000000000007</v>
      </c>
      <c r="AE29" s="85">
        <v>26</v>
      </c>
      <c r="AF29" s="91" t="str">
        <f>IF(ISBLANK(STUD!B27)," ",STUD!B27)</f>
        <v xml:space="preserve"> </v>
      </c>
      <c r="AG29" s="91">
        <f t="shared" si="0"/>
        <v>0</v>
      </c>
      <c r="AH29" s="92">
        <f t="shared" si="6"/>
        <v>59.9</v>
      </c>
      <c r="AI29" s="88" t="str">
        <f t="shared" si="1"/>
        <v xml:space="preserve"> </v>
      </c>
      <c r="AJ29" s="53" t="str">
        <f>IF(AI29="","",IFERROR(IF(VLOOKUP(AI29,Programa!$G$3:$H$18,2,0)="","",VLOOKUP(AI29,Programa!$G$3:$H$18,2,0)),""))</f>
        <v/>
      </c>
      <c r="AK29" s="53" t="str">
        <f t="shared" si="2"/>
        <v xml:space="preserve"> </v>
      </c>
      <c r="AL29" s="53" t="str">
        <f>IF(AK29="","",IFERROR(IF(VLOOKUP(AK29,Programa!$G$19:$H$34,2,0)="","",VLOOKUP(AK29,Programa!$G$19:$H$34,2,0)),""))</f>
        <v/>
      </c>
      <c r="AM29" s="53" t="str">
        <f t="shared" si="3"/>
        <v xml:space="preserve"> </v>
      </c>
      <c r="AN29" s="53" t="str">
        <f>IF(AM29="","",IFERROR(IF(VLOOKUP(AM29,Programa!$G$35:$H$50,2,0)="","",VLOOKUP(AM29,Programa!$G$35:$H$50,2,0)),""))</f>
        <v/>
      </c>
      <c r="AP29" s="85">
        <v>26</v>
      </c>
      <c r="AQ29" s="91" t="str">
        <f>IF(ISBLANK(STUD!B27)," ",STUD!B27)</f>
        <v xml:space="preserve"> </v>
      </c>
      <c r="AR29" s="91">
        <f>IFERROR(VLOOKUP(AQ29,Lunes!$AF$4:$AG$31,2,0),0)</f>
        <v>0</v>
      </c>
      <c r="AS29" s="91">
        <f t="shared" si="4"/>
        <v>0</v>
      </c>
      <c r="AT29" s="91">
        <f t="shared" si="5"/>
        <v>0</v>
      </c>
      <c r="AU29" s="91">
        <f t="shared" si="7"/>
        <v>63.9</v>
      </c>
    </row>
    <row r="30" spans="1:47" ht="15.75" customHeight="1" x14ac:dyDescent="0.4">
      <c r="A30" s="242"/>
      <c r="B30" s="253"/>
      <c r="C30" s="245"/>
      <c r="D30" s="138">
        <f t="shared" ref="D30:AB30" si="20">IF(IFERROR(IF(VLOOKUP(D29,D$151:D$155,1,0)&gt;=1,D$150,0),D29)=D$132,D$136,IF(IFERROR(IF(VLOOKUP(D29,D$151:D$155,1,0)&gt;=1,D$150,0),D29)=D$139,D$142,IF(IFERROR(IF(VLOOKUP(D29,D$151:D$155,1,0)&gt;=1,D$150,0),D29)=D$145,D$147,0)))</f>
        <v>0</v>
      </c>
      <c r="E30" s="138">
        <f t="shared" si="20"/>
        <v>0</v>
      </c>
      <c r="F30" s="138">
        <f t="shared" si="20"/>
        <v>4</v>
      </c>
      <c r="G30" s="138">
        <f t="shared" si="20"/>
        <v>4.8</v>
      </c>
      <c r="H30" s="138">
        <f t="shared" si="20"/>
        <v>0</v>
      </c>
      <c r="I30" s="138">
        <f t="shared" si="20"/>
        <v>0</v>
      </c>
      <c r="J30" s="138">
        <f t="shared" si="20"/>
        <v>0</v>
      </c>
      <c r="K30" s="138">
        <f t="shared" si="20"/>
        <v>0</v>
      </c>
      <c r="L30" s="138">
        <f t="shared" si="20"/>
        <v>0</v>
      </c>
      <c r="M30" s="138">
        <f t="shared" si="20"/>
        <v>0</v>
      </c>
      <c r="N30" s="138">
        <f t="shared" si="20"/>
        <v>0</v>
      </c>
      <c r="O30" s="138">
        <f t="shared" si="20"/>
        <v>0</v>
      </c>
      <c r="P30" s="138">
        <f t="shared" si="20"/>
        <v>0</v>
      </c>
      <c r="Q30" s="138">
        <f t="shared" si="20"/>
        <v>0</v>
      </c>
      <c r="R30" s="138">
        <f t="shared" si="20"/>
        <v>0</v>
      </c>
      <c r="S30" s="138">
        <f t="shared" si="20"/>
        <v>0</v>
      </c>
      <c r="T30" s="138">
        <f t="shared" si="20"/>
        <v>0</v>
      </c>
      <c r="U30" s="138">
        <f t="shared" si="20"/>
        <v>0</v>
      </c>
      <c r="V30" s="138">
        <f t="shared" si="20"/>
        <v>0</v>
      </c>
      <c r="W30" s="138">
        <f t="shared" si="20"/>
        <v>0</v>
      </c>
      <c r="X30" s="138">
        <f t="shared" si="20"/>
        <v>0</v>
      </c>
      <c r="Y30" s="138">
        <f t="shared" si="20"/>
        <v>0</v>
      </c>
      <c r="Z30" s="138">
        <f t="shared" si="20"/>
        <v>0</v>
      </c>
      <c r="AA30" s="138">
        <f t="shared" si="20"/>
        <v>0</v>
      </c>
      <c r="AB30" s="138">
        <f t="shared" si="20"/>
        <v>0</v>
      </c>
      <c r="AC30" s="243"/>
      <c r="AE30" s="86">
        <v>27</v>
      </c>
      <c r="AF30" s="91" t="str">
        <f>IF(ISBLANK(STUD!B28)," ",STUD!B28)</f>
        <v xml:space="preserve"> </v>
      </c>
      <c r="AG30" s="91">
        <f t="shared" si="0"/>
        <v>0</v>
      </c>
      <c r="AH30" s="92">
        <f t="shared" si="6"/>
        <v>59.9</v>
      </c>
      <c r="AI30" s="88" t="str">
        <f t="shared" si="1"/>
        <v xml:space="preserve"> </v>
      </c>
      <c r="AJ30" s="53" t="str">
        <f>IF(AI30="","",IFERROR(IF(VLOOKUP(AI30,Programa!$G$3:$H$18,2,0)="","",VLOOKUP(AI30,Programa!$G$3:$H$18,2,0)),""))</f>
        <v/>
      </c>
      <c r="AK30" s="53" t="str">
        <f t="shared" si="2"/>
        <v xml:space="preserve"> </v>
      </c>
      <c r="AL30" s="53" t="str">
        <f>IF(AK30="","",IFERROR(IF(VLOOKUP(AK30,Programa!$G$19:$H$34,2,0)="","",VLOOKUP(AK30,Programa!$G$19:$H$34,2,0)),""))</f>
        <v/>
      </c>
      <c r="AM30" s="53" t="str">
        <f t="shared" si="3"/>
        <v xml:space="preserve"> </v>
      </c>
      <c r="AN30" s="53" t="str">
        <f>IF(AM30="","",IFERROR(IF(VLOOKUP(AM30,Programa!$G$35:$H$50,2,0)="","",VLOOKUP(AM30,Programa!$G$35:$H$50,2,0)),""))</f>
        <v/>
      </c>
      <c r="AP30" s="86">
        <v>27</v>
      </c>
      <c r="AQ30" s="91" t="str">
        <f>IF(ISBLANK(STUD!B28)," ",STUD!B28)</f>
        <v xml:space="preserve"> </v>
      </c>
      <c r="AR30" s="91">
        <f>IFERROR(VLOOKUP(AQ30,Lunes!$AF$4:$AG$31,2,0),0)</f>
        <v>0</v>
      </c>
      <c r="AS30" s="91">
        <f t="shared" si="4"/>
        <v>0</v>
      </c>
      <c r="AT30" s="91">
        <f t="shared" si="5"/>
        <v>0</v>
      </c>
      <c r="AU30" s="91">
        <f t="shared" si="7"/>
        <v>63.9</v>
      </c>
    </row>
    <row r="31" spans="1:47" ht="15.75" customHeight="1" x14ac:dyDescent="0.4">
      <c r="A31" s="252">
        <f>+A29+1</f>
        <v>14</v>
      </c>
      <c r="B31" s="253">
        <f>+STUD!B15</f>
        <v>0</v>
      </c>
      <c r="C31" s="244">
        <f>SUM(D32:AB32)</f>
        <v>57.5</v>
      </c>
      <c r="D31" s="132">
        <v>4</v>
      </c>
      <c r="E31" s="132">
        <v>7</v>
      </c>
      <c r="F31" s="132">
        <v>6</v>
      </c>
      <c r="G31" s="132">
        <v>3</v>
      </c>
      <c r="H31" s="132">
        <v>1</v>
      </c>
      <c r="I31" s="132">
        <v>6</v>
      </c>
      <c r="J31" s="132">
        <v>5</v>
      </c>
      <c r="K31" s="132">
        <v>10</v>
      </c>
      <c r="L31" s="132">
        <v>4</v>
      </c>
      <c r="M31" s="132"/>
      <c r="N31" s="132"/>
      <c r="O31" s="132"/>
      <c r="P31" s="132"/>
      <c r="Q31" s="132"/>
      <c r="R31" s="132"/>
      <c r="S31" s="132"/>
      <c r="T31" s="132"/>
      <c r="U31" s="132"/>
      <c r="V31" s="129"/>
      <c r="W31" s="129"/>
      <c r="X31" s="129"/>
      <c r="Y31" s="129"/>
      <c r="Z31" s="133"/>
      <c r="AA31" s="133"/>
      <c r="AB31" s="133"/>
      <c r="AC31" s="243">
        <f>SUM(D32:AB32)</f>
        <v>57.5</v>
      </c>
      <c r="AE31" s="87">
        <v>28</v>
      </c>
      <c r="AF31" s="91" t="str">
        <f>IF(ISBLANK(STUD!B29)," ",STUD!B29)</f>
        <v xml:space="preserve"> </v>
      </c>
      <c r="AG31" s="91">
        <f t="shared" si="0"/>
        <v>0</v>
      </c>
      <c r="AH31" s="92">
        <f t="shared" si="6"/>
        <v>59.9</v>
      </c>
      <c r="AI31" s="88" t="str">
        <f t="shared" si="1"/>
        <v xml:space="preserve"> </v>
      </c>
      <c r="AJ31" s="53" t="str">
        <f>IF(AI31="","",IFERROR(IF(VLOOKUP(AI31,Programa!$G$3:$H$18,2,0)="","",VLOOKUP(AI31,Programa!$G$3:$H$18,2,0)),""))</f>
        <v/>
      </c>
      <c r="AK31" s="53" t="str">
        <f t="shared" si="2"/>
        <v xml:space="preserve"> </v>
      </c>
      <c r="AL31" s="53" t="str">
        <f>IF(AK31="","",IFERROR(IF(VLOOKUP(AK31,Programa!$G$19:$H$34,2,0)="","",VLOOKUP(AK31,Programa!$G$19:$H$34,2,0)),""))</f>
        <v/>
      </c>
      <c r="AM31" s="53" t="str">
        <f t="shared" si="3"/>
        <v xml:space="preserve"> </v>
      </c>
      <c r="AN31" s="53" t="str">
        <f>IF(AM31="","",IFERROR(IF(VLOOKUP(AM31,Programa!$G$35:$H$50,2,0)="","",VLOOKUP(AM31,Programa!$G$35:$H$50,2,0)),""))</f>
        <v/>
      </c>
      <c r="AP31" s="87">
        <v>28</v>
      </c>
      <c r="AQ31" s="91" t="str">
        <f>IF(ISBLANK(STUD!B29)," ",STUD!B29)</f>
        <v xml:space="preserve"> </v>
      </c>
      <c r="AR31" s="91">
        <f>IFERROR(VLOOKUP(AQ31,Lunes!$AF$4:$AG$31,2,0),0)</f>
        <v>0</v>
      </c>
      <c r="AS31" s="91">
        <f t="shared" si="4"/>
        <v>0</v>
      </c>
      <c r="AT31" s="91">
        <f t="shared" si="5"/>
        <v>0</v>
      </c>
      <c r="AU31" s="91">
        <f t="shared" si="7"/>
        <v>63.9</v>
      </c>
    </row>
    <row r="32" spans="1:47" ht="15.75" customHeight="1" x14ac:dyDescent="0.4">
      <c r="A32" s="242"/>
      <c r="B32" s="253"/>
      <c r="C32" s="245"/>
      <c r="D32" s="138">
        <f t="shared" ref="D32:AB32" si="21">IF(IFERROR(IF(VLOOKUP(D31,D$151:D$155,1,0)&gt;=1,D$150,0),D31)=D$132,D$136,IF(IFERROR(IF(VLOOKUP(D31,D$151:D$155,1,0)&gt;=1,D$150,0),D31)=D$139,D$142,IF(IFERROR(IF(VLOOKUP(D31,D$151:D$155,1,0)&gt;=1,D$150,0),D31)=D$145,D$147,0)))</f>
        <v>1.5</v>
      </c>
      <c r="E32" s="138">
        <f t="shared" si="21"/>
        <v>3.3</v>
      </c>
      <c r="F32" s="138">
        <f t="shared" si="21"/>
        <v>4</v>
      </c>
      <c r="G32" s="138">
        <f t="shared" si="21"/>
        <v>16</v>
      </c>
      <c r="H32" s="138">
        <f t="shared" si="21"/>
        <v>0</v>
      </c>
      <c r="I32" s="138">
        <f t="shared" si="21"/>
        <v>0</v>
      </c>
      <c r="J32" s="138">
        <f t="shared" si="21"/>
        <v>5</v>
      </c>
      <c r="K32" s="138">
        <f t="shared" si="21"/>
        <v>27.700000000000003</v>
      </c>
      <c r="L32" s="138">
        <f t="shared" si="21"/>
        <v>0</v>
      </c>
      <c r="M32" s="138">
        <f t="shared" si="21"/>
        <v>0</v>
      </c>
      <c r="N32" s="138">
        <f t="shared" si="21"/>
        <v>0</v>
      </c>
      <c r="O32" s="138">
        <f t="shared" si="21"/>
        <v>0</v>
      </c>
      <c r="P32" s="138">
        <f t="shared" si="21"/>
        <v>0</v>
      </c>
      <c r="Q32" s="138">
        <f t="shared" si="21"/>
        <v>0</v>
      </c>
      <c r="R32" s="138">
        <f t="shared" si="21"/>
        <v>0</v>
      </c>
      <c r="S32" s="138">
        <f t="shared" si="21"/>
        <v>0</v>
      </c>
      <c r="T32" s="138">
        <f t="shared" si="21"/>
        <v>0</v>
      </c>
      <c r="U32" s="138">
        <f t="shared" si="21"/>
        <v>0</v>
      </c>
      <c r="V32" s="138">
        <f t="shared" si="21"/>
        <v>0</v>
      </c>
      <c r="W32" s="138">
        <f t="shared" si="21"/>
        <v>0</v>
      </c>
      <c r="X32" s="138">
        <f t="shared" si="21"/>
        <v>0</v>
      </c>
      <c r="Y32" s="138">
        <f t="shared" si="21"/>
        <v>0</v>
      </c>
      <c r="Z32" s="138">
        <f t="shared" si="21"/>
        <v>0</v>
      </c>
      <c r="AA32" s="138">
        <f t="shared" si="21"/>
        <v>0</v>
      </c>
      <c r="AB32" s="138">
        <f t="shared" si="21"/>
        <v>0</v>
      </c>
      <c r="AC32" s="243"/>
      <c r="AI32" s="54"/>
      <c r="AJ32" s="54"/>
      <c r="AK32" s="54"/>
      <c r="AL32" s="54"/>
      <c r="AM32" s="54"/>
      <c r="AN32" s="54"/>
    </row>
    <row r="33" spans="1:34" ht="15.75" customHeight="1" x14ac:dyDescent="0.45">
      <c r="A33" s="252">
        <f>+A31+1</f>
        <v>15</v>
      </c>
      <c r="B33" s="253">
        <f>+STUD!B16</f>
        <v>0</v>
      </c>
      <c r="C33" s="244">
        <f>SUM(D34:AB34)</f>
        <v>41.2</v>
      </c>
      <c r="D33" s="130">
        <v>7</v>
      </c>
      <c r="E33" s="130">
        <v>7</v>
      </c>
      <c r="F33" s="130">
        <v>6</v>
      </c>
      <c r="G33" s="130">
        <v>3</v>
      </c>
      <c r="H33" s="130">
        <v>5</v>
      </c>
      <c r="I33" s="130">
        <v>6</v>
      </c>
      <c r="J33" s="130">
        <v>2</v>
      </c>
      <c r="K33" s="130">
        <v>8</v>
      </c>
      <c r="L33" s="130">
        <v>3</v>
      </c>
      <c r="M33" s="130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33"/>
      <c r="AA33" s="133"/>
      <c r="AB33" s="133"/>
      <c r="AC33" s="243">
        <f>SUM(D34:AB34)</f>
        <v>41.2</v>
      </c>
      <c r="AE33" s="55" t="s">
        <v>51</v>
      </c>
      <c r="AF33" s="61">
        <f>COUNTA(STUD!B2:B29)</f>
        <v>10</v>
      </c>
      <c r="AG33" s="55" t="s">
        <v>16</v>
      </c>
      <c r="AH33" s="56">
        <f>(AF33-1)*10000</f>
        <v>90000</v>
      </c>
    </row>
    <row r="34" spans="1:34" ht="15.75" customHeight="1" x14ac:dyDescent="0.4">
      <c r="A34" s="242"/>
      <c r="B34" s="253"/>
      <c r="C34" s="245"/>
      <c r="D34" s="138">
        <f t="shared" ref="D34:AB34" si="22">IF(IFERROR(IF(VLOOKUP(D33,D$151:D$155,1,0)&gt;=1,D$150,0),D33)=D$132,D$136,IF(IFERROR(IF(VLOOKUP(D33,D$151:D$155,1,0)&gt;=1,D$150,0),D33)=D$139,D$142,IF(IFERROR(IF(VLOOKUP(D33,D$151:D$155,1,0)&gt;=1,D$150,0),D33)=D$145,D$147,0)))</f>
        <v>2.7</v>
      </c>
      <c r="E34" s="138">
        <f t="shared" si="22"/>
        <v>3.3</v>
      </c>
      <c r="F34" s="138">
        <f t="shared" si="22"/>
        <v>4</v>
      </c>
      <c r="G34" s="138">
        <f t="shared" si="22"/>
        <v>16</v>
      </c>
      <c r="H34" s="138">
        <f t="shared" si="22"/>
        <v>0</v>
      </c>
      <c r="I34" s="138">
        <f t="shared" si="22"/>
        <v>0</v>
      </c>
      <c r="J34" s="138">
        <f t="shared" si="22"/>
        <v>7</v>
      </c>
      <c r="K34" s="138">
        <f t="shared" si="22"/>
        <v>0</v>
      </c>
      <c r="L34" s="138">
        <f t="shared" si="22"/>
        <v>8.1999999999999993</v>
      </c>
      <c r="M34" s="138">
        <f t="shared" si="22"/>
        <v>0</v>
      </c>
      <c r="N34" s="138">
        <f t="shared" si="22"/>
        <v>0</v>
      </c>
      <c r="O34" s="138">
        <f t="shared" si="22"/>
        <v>0</v>
      </c>
      <c r="P34" s="138">
        <f t="shared" si="22"/>
        <v>0</v>
      </c>
      <c r="Q34" s="138">
        <f t="shared" si="22"/>
        <v>0</v>
      </c>
      <c r="R34" s="138">
        <f t="shared" si="22"/>
        <v>0</v>
      </c>
      <c r="S34" s="138">
        <f t="shared" si="22"/>
        <v>0</v>
      </c>
      <c r="T34" s="138">
        <f t="shared" si="22"/>
        <v>0</v>
      </c>
      <c r="U34" s="138">
        <f t="shared" si="22"/>
        <v>0</v>
      </c>
      <c r="V34" s="138">
        <f t="shared" si="22"/>
        <v>0</v>
      </c>
      <c r="W34" s="138">
        <f t="shared" si="22"/>
        <v>0</v>
      </c>
      <c r="X34" s="138">
        <f t="shared" si="22"/>
        <v>0</v>
      </c>
      <c r="Y34" s="138">
        <f t="shared" si="22"/>
        <v>0</v>
      </c>
      <c r="Z34" s="138">
        <f t="shared" si="22"/>
        <v>0</v>
      </c>
      <c r="AA34" s="138">
        <f t="shared" si="22"/>
        <v>0</v>
      </c>
      <c r="AB34" s="138">
        <f t="shared" si="22"/>
        <v>0</v>
      </c>
      <c r="AC34" s="243"/>
      <c r="AE34" s="58" t="s">
        <v>38</v>
      </c>
      <c r="AF34" s="58"/>
      <c r="AG34" s="59">
        <f>($AH$33-$AG$36)*80%</f>
        <v>64800</v>
      </c>
      <c r="AH34" s="59"/>
    </row>
    <row r="35" spans="1:34" ht="15.75" hidden="1" customHeight="1" x14ac:dyDescent="0.4">
      <c r="A35" s="252">
        <f>+A33+1</f>
        <v>16</v>
      </c>
      <c r="B35" s="253">
        <f>+STUD!B17</f>
        <v>0</v>
      </c>
      <c r="C35" s="244">
        <f>SUM(D36:AB36)</f>
        <v>0</v>
      </c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33"/>
      <c r="AA35" s="133"/>
      <c r="AB35" s="133"/>
      <c r="AC35" s="243">
        <f>SUM(D36:AB36)</f>
        <v>0</v>
      </c>
      <c r="AE35" s="58" t="s">
        <v>39</v>
      </c>
      <c r="AF35" s="58"/>
      <c r="AG35" s="59">
        <f>($AH$33-$AG$36)*20%</f>
        <v>16200</v>
      </c>
      <c r="AH35" s="59"/>
    </row>
    <row r="36" spans="1:34" ht="15.75" hidden="1" customHeight="1" x14ac:dyDescent="0.4">
      <c r="A36" s="242"/>
      <c r="B36" s="253"/>
      <c r="C36" s="245"/>
      <c r="D36" s="108">
        <f t="shared" ref="D36:AB36" si="23">IF(IFERROR(IF(VLOOKUP(D35,D$151:D$155,1,0)&gt;=1,D$150,0),D35)=D$132,D$136,IF(IFERROR(IF(VLOOKUP(D35,D$151:D$155,1,0)&gt;=1,D$150,0),D35)=D$139,D$142,IF(IFERROR(IF(VLOOKUP(D35,D$151:D$155,1,0)&gt;=1,D$150,0),D35)=D$145,D$147,0)))</f>
        <v>0</v>
      </c>
      <c r="E36" s="108">
        <f t="shared" si="23"/>
        <v>0</v>
      </c>
      <c r="F36" s="108">
        <f t="shared" si="23"/>
        <v>0</v>
      </c>
      <c r="G36" s="108">
        <f t="shared" si="23"/>
        <v>0</v>
      </c>
      <c r="H36" s="108">
        <f t="shared" si="23"/>
        <v>0</v>
      </c>
      <c r="I36" s="108">
        <f t="shared" si="23"/>
        <v>0</v>
      </c>
      <c r="J36" s="108">
        <f t="shared" si="23"/>
        <v>0</v>
      </c>
      <c r="K36" s="108">
        <f t="shared" si="23"/>
        <v>0</v>
      </c>
      <c r="L36" s="108">
        <f t="shared" si="23"/>
        <v>0</v>
      </c>
      <c r="M36" s="108">
        <f t="shared" si="23"/>
        <v>0</v>
      </c>
      <c r="N36" s="108">
        <f t="shared" si="23"/>
        <v>0</v>
      </c>
      <c r="O36" s="108">
        <f t="shared" si="23"/>
        <v>0</v>
      </c>
      <c r="P36" s="108">
        <f t="shared" si="23"/>
        <v>0</v>
      </c>
      <c r="Q36" s="108">
        <f t="shared" si="23"/>
        <v>0</v>
      </c>
      <c r="R36" s="108">
        <f t="shared" si="23"/>
        <v>0</v>
      </c>
      <c r="S36" s="108">
        <f t="shared" si="23"/>
        <v>0</v>
      </c>
      <c r="T36" s="108">
        <f t="shared" si="23"/>
        <v>0</v>
      </c>
      <c r="U36" s="108">
        <f t="shared" si="23"/>
        <v>0</v>
      </c>
      <c r="V36" s="108">
        <f t="shared" si="23"/>
        <v>0</v>
      </c>
      <c r="W36" s="108">
        <f t="shared" si="23"/>
        <v>0</v>
      </c>
      <c r="X36" s="108">
        <f t="shared" si="23"/>
        <v>0</v>
      </c>
      <c r="Y36" s="108">
        <f t="shared" si="23"/>
        <v>0</v>
      </c>
      <c r="Z36" s="108">
        <f t="shared" si="23"/>
        <v>0</v>
      </c>
      <c r="AA36" s="108">
        <f t="shared" si="23"/>
        <v>0</v>
      </c>
      <c r="AB36" s="108">
        <f t="shared" si="23"/>
        <v>0</v>
      </c>
      <c r="AC36" s="243"/>
      <c r="AE36" s="58" t="s">
        <v>40</v>
      </c>
      <c r="AF36" s="58"/>
      <c r="AG36" s="60">
        <f>(AH33*10%)</f>
        <v>9000</v>
      </c>
      <c r="AH36" s="60"/>
    </row>
    <row r="37" spans="1:34" ht="15.75" hidden="1" customHeight="1" x14ac:dyDescent="0.4">
      <c r="A37" s="252">
        <f>+A35+1</f>
        <v>17</v>
      </c>
      <c r="B37" s="253">
        <f>+STUD!B18</f>
        <v>0</v>
      </c>
      <c r="C37" s="244">
        <f>SUM(D38:AB38)</f>
        <v>0</v>
      </c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33"/>
      <c r="AA37" s="133"/>
      <c r="AB37" s="133"/>
      <c r="AC37" s="243">
        <f>SUM(D38:AB38)</f>
        <v>0</v>
      </c>
    </row>
    <row r="38" spans="1:34" ht="15.75" hidden="1" customHeight="1" x14ac:dyDescent="0.4">
      <c r="A38" s="242"/>
      <c r="B38" s="253"/>
      <c r="C38" s="245"/>
      <c r="D38" s="108">
        <f t="shared" ref="D38:AB38" si="24">IF(IFERROR(IF(VLOOKUP(D37,D$151:D$155,1,0)&gt;=1,D$150,0),D37)=D$132,D$136,IF(IFERROR(IF(VLOOKUP(D37,D$151:D$155,1,0)&gt;=1,D$150,0),D37)=D$139,D$142,IF(IFERROR(IF(VLOOKUP(D37,D$151:D$155,1,0)&gt;=1,D$150,0),D37)=D$145,D$147,0)))</f>
        <v>0</v>
      </c>
      <c r="E38" s="108">
        <f t="shared" si="24"/>
        <v>0</v>
      </c>
      <c r="F38" s="108">
        <f t="shared" si="24"/>
        <v>0</v>
      </c>
      <c r="G38" s="108">
        <f t="shared" si="24"/>
        <v>0</v>
      </c>
      <c r="H38" s="108">
        <f t="shared" si="24"/>
        <v>0</v>
      </c>
      <c r="I38" s="108">
        <f t="shared" si="24"/>
        <v>0</v>
      </c>
      <c r="J38" s="108">
        <f t="shared" si="24"/>
        <v>0</v>
      </c>
      <c r="K38" s="108">
        <f t="shared" si="24"/>
        <v>0</v>
      </c>
      <c r="L38" s="108">
        <f t="shared" si="24"/>
        <v>0</v>
      </c>
      <c r="M38" s="108">
        <f t="shared" si="24"/>
        <v>0</v>
      </c>
      <c r="N38" s="108">
        <f t="shared" si="24"/>
        <v>0</v>
      </c>
      <c r="O38" s="108">
        <f t="shared" si="24"/>
        <v>0</v>
      </c>
      <c r="P38" s="108">
        <f t="shared" si="24"/>
        <v>0</v>
      </c>
      <c r="Q38" s="108">
        <f t="shared" si="24"/>
        <v>0</v>
      </c>
      <c r="R38" s="108">
        <f t="shared" si="24"/>
        <v>0</v>
      </c>
      <c r="S38" s="108">
        <f t="shared" si="24"/>
        <v>0</v>
      </c>
      <c r="T38" s="108">
        <f t="shared" si="24"/>
        <v>0</v>
      </c>
      <c r="U38" s="108">
        <f t="shared" si="24"/>
        <v>0</v>
      </c>
      <c r="V38" s="108">
        <f t="shared" si="24"/>
        <v>0</v>
      </c>
      <c r="W38" s="108">
        <f t="shared" si="24"/>
        <v>0</v>
      </c>
      <c r="X38" s="108">
        <f t="shared" si="24"/>
        <v>0</v>
      </c>
      <c r="Y38" s="108">
        <f t="shared" si="24"/>
        <v>0</v>
      </c>
      <c r="Z38" s="108">
        <f t="shared" si="24"/>
        <v>0</v>
      </c>
      <c r="AA38" s="108">
        <f t="shared" si="24"/>
        <v>0</v>
      </c>
      <c r="AB38" s="108">
        <f t="shared" si="24"/>
        <v>0</v>
      </c>
      <c r="AC38" s="243"/>
    </row>
    <row r="39" spans="1:34" ht="15.75" hidden="1" customHeight="1" x14ac:dyDescent="0.4">
      <c r="A39" s="252">
        <f>+A37+1</f>
        <v>18</v>
      </c>
      <c r="B39" s="253">
        <f>+STUD!B19</f>
        <v>0</v>
      </c>
      <c r="C39" s="244">
        <f>SUM(D40:AB40)</f>
        <v>0</v>
      </c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33"/>
      <c r="Y39" s="133"/>
      <c r="Z39" s="133"/>
      <c r="AA39" s="133"/>
      <c r="AB39" s="133"/>
      <c r="AC39" s="243">
        <f>SUM(D40:AB40)</f>
        <v>0</v>
      </c>
    </row>
    <row r="40" spans="1:34" ht="15.75" hidden="1" customHeight="1" x14ac:dyDescent="0.4">
      <c r="A40" s="242"/>
      <c r="B40" s="253"/>
      <c r="C40" s="245"/>
      <c r="D40" s="108">
        <f t="shared" ref="D40:AB40" si="25">IF(IFERROR(IF(VLOOKUP(D39,D$151:D$155,1,0)&gt;=1,D$150,0),D39)=D$132,D$136,IF(IFERROR(IF(VLOOKUP(D39,D$151:D$155,1,0)&gt;=1,D$150,0),D39)=D$139,D$142,IF(IFERROR(IF(VLOOKUP(D39,D$151:D$155,1,0)&gt;=1,D$150,0),D39)=D$145,D$147,0)))</f>
        <v>0</v>
      </c>
      <c r="E40" s="108">
        <f t="shared" si="25"/>
        <v>0</v>
      </c>
      <c r="F40" s="108">
        <f t="shared" si="25"/>
        <v>0</v>
      </c>
      <c r="G40" s="108">
        <f t="shared" si="25"/>
        <v>0</v>
      </c>
      <c r="H40" s="108">
        <f t="shared" si="25"/>
        <v>0</v>
      </c>
      <c r="I40" s="108">
        <f t="shared" si="25"/>
        <v>0</v>
      </c>
      <c r="J40" s="108">
        <f t="shared" si="25"/>
        <v>0</v>
      </c>
      <c r="K40" s="108">
        <f t="shared" si="25"/>
        <v>0</v>
      </c>
      <c r="L40" s="108">
        <f t="shared" si="25"/>
        <v>0</v>
      </c>
      <c r="M40" s="108">
        <f t="shared" si="25"/>
        <v>0</v>
      </c>
      <c r="N40" s="108">
        <f t="shared" si="25"/>
        <v>0</v>
      </c>
      <c r="O40" s="108">
        <f t="shared" si="25"/>
        <v>0</v>
      </c>
      <c r="P40" s="108">
        <f t="shared" si="25"/>
        <v>0</v>
      </c>
      <c r="Q40" s="108">
        <f t="shared" si="25"/>
        <v>0</v>
      </c>
      <c r="R40" s="108">
        <f t="shared" si="25"/>
        <v>0</v>
      </c>
      <c r="S40" s="108">
        <f t="shared" si="25"/>
        <v>0</v>
      </c>
      <c r="T40" s="108">
        <f t="shared" si="25"/>
        <v>0</v>
      </c>
      <c r="U40" s="108">
        <f t="shared" si="25"/>
        <v>0</v>
      </c>
      <c r="V40" s="108">
        <f t="shared" si="25"/>
        <v>0</v>
      </c>
      <c r="W40" s="108">
        <f t="shared" si="25"/>
        <v>0</v>
      </c>
      <c r="X40" s="108">
        <f t="shared" si="25"/>
        <v>0</v>
      </c>
      <c r="Y40" s="108">
        <f t="shared" si="25"/>
        <v>0</v>
      </c>
      <c r="Z40" s="108">
        <f t="shared" si="25"/>
        <v>0</v>
      </c>
      <c r="AA40" s="108">
        <f t="shared" si="25"/>
        <v>0</v>
      </c>
      <c r="AB40" s="108">
        <f t="shared" si="25"/>
        <v>0</v>
      </c>
      <c r="AC40" s="243"/>
    </row>
    <row r="41" spans="1:34" ht="15.75" hidden="1" customHeight="1" x14ac:dyDescent="0.4">
      <c r="A41" s="252">
        <f>+A39+1</f>
        <v>19</v>
      </c>
      <c r="B41" s="253">
        <f>+STUD!B20</f>
        <v>0</v>
      </c>
      <c r="C41" s="244">
        <f>SUM(D42:AB42)</f>
        <v>0</v>
      </c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33"/>
      <c r="Y41" s="133"/>
      <c r="Z41" s="133"/>
      <c r="AA41" s="133"/>
      <c r="AB41" s="133"/>
      <c r="AC41" s="243">
        <f>SUM(D42:AB42)</f>
        <v>0</v>
      </c>
    </row>
    <row r="42" spans="1:34" ht="15.75" hidden="1" customHeight="1" x14ac:dyDescent="0.4">
      <c r="A42" s="242"/>
      <c r="B42" s="253"/>
      <c r="C42" s="245"/>
      <c r="D42" s="108">
        <f t="shared" ref="D42:AB42" si="26">IF(IFERROR(IF(VLOOKUP(D41,D$151:D$155,1,0)&gt;=1,D$150,0),D41)=D$132,D$136,IF(IFERROR(IF(VLOOKUP(D41,D$151:D$155,1,0)&gt;=1,D$150,0),D41)=D$139,D$142,IF(IFERROR(IF(VLOOKUP(D41,D$151:D$155,1,0)&gt;=1,D$150,0),D41)=D$145,D$147,0)))</f>
        <v>0</v>
      </c>
      <c r="E42" s="108">
        <f t="shared" si="26"/>
        <v>0</v>
      </c>
      <c r="F42" s="108">
        <f t="shared" si="26"/>
        <v>0</v>
      </c>
      <c r="G42" s="108">
        <f t="shared" si="26"/>
        <v>0</v>
      </c>
      <c r="H42" s="108">
        <f t="shared" si="26"/>
        <v>0</v>
      </c>
      <c r="I42" s="108">
        <f t="shared" si="26"/>
        <v>0</v>
      </c>
      <c r="J42" s="108">
        <f t="shared" si="26"/>
        <v>0</v>
      </c>
      <c r="K42" s="108">
        <f t="shared" si="26"/>
        <v>0</v>
      </c>
      <c r="L42" s="108">
        <f t="shared" si="26"/>
        <v>0</v>
      </c>
      <c r="M42" s="108">
        <f t="shared" si="26"/>
        <v>0</v>
      </c>
      <c r="N42" s="108">
        <f t="shared" si="26"/>
        <v>0</v>
      </c>
      <c r="O42" s="108">
        <f t="shared" si="26"/>
        <v>0</v>
      </c>
      <c r="P42" s="108">
        <f t="shared" si="26"/>
        <v>0</v>
      </c>
      <c r="Q42" s="108">
        <f t="shared" si="26"/>
        <v>0</v>
      </c>
      <c r="R42" s="108">
        <f t="shared" si="26"/>
        <v>0</v>
      </c>
      <c r="S42" s="108">
        <f t="shared" si="26"/>
        <v>0</v>
      </c>
      <c r="T42" s="108">
        <f t="shared" si="26"/>
        <v>0</v>
      </c>
      <c r="U42" s="108">
        <f t="shared" si="26"/>
        <v>0</v>
      </c>
      <c r="V42" s="108">
        <f t="shared" si="26"/>
        <v>0</v>
      </c>
      <c r="W42" s="108">
        <f t="shared" si="26"/>
        <v>0</v>
      </c>
      <c r="X42" s="108">
        <f t="shared" si="26"/>
        <v>0</v>
      </c>
      <c r="Y42" s="108">
        <f t="shared" si="26"/>
        <v>0</v>
      </c>
      <c r="Z42" s="108">
        <f t="shared" si="26"/>
        <v>0</v>
      </c>
      <c r="AA42" s="108">
        <f t="shared" si="26"/>
        <v>0</v>
      </c>
      <c r="AB42" s="108">
        <f t="shared" si="26"/>
        <v>0</v>
      </c>
      <c r="AC42" s="243"/>
    </row>
    <row r="43" spans="1:34" ht="15.75" hidden="1" customHeight="1" x14ac:dyDescent="0.4">
      <c r="A43" s="252">
        <f>+A41+1</f>
        <v>20</v>
      </c>
      <c r="B43" s="253">
        <f>+STUD!B21</f>
        <v>0</v>
      </c>
      <c r="C43" s="244">
        <f>SUM(D44:AB44)</f>
        <v>0</v>
      </c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33"/>
      <c r="Y43" s="133"/>
      <c r="Z43" s="133"/>
      <c r="AA43" s="133"/>
      <c r="AB43" s="133"/>
      <c r="AC43" s="243">
        <f>SUM(D44:AB44)</f>
        <v>0</v>
      </c>
    </row>
    <row r="44" spans="1:34" ht="15.75" hidden="1" customHeight="1" x14ac:dyDescent="0.4">
      <c r="A44" s="242"/>
      <c r="B44" s="253"/>
      <c r="C44" s="245"/>
      <c r="D44" s="108">
        <f t="shared" ref="D44:AB44" si="27">IF(IFERROR(IF(VLOOKUP(D43,D$151:D$155,1,0)&gt;=1,D$150,0),D43)=D$132,D$136,IF(IFERROR(IF(VLOOKUP(D43,D$151:D$155,1,0)&gt;=1,D$150,0),D43)=D$139,D$142,IF(IFERROR(IF(VLOOKUP(D43,D$151:D$155,1,0)&gt;=1,D$150,0),D43)=D$145,D$147,0)))</f>
        <v>0</v>
      </c>
      <c r="E44" s="108">
        <f t="shared" si="27"/>
        <v>0</v>
      </c>
      <c r="F44" s="108">
        <f t="shared" si="27"/>
        <v>0</v>
      </c>
      <c r="G44" s="108">
        <f t="shared" si="27"/>
        <v>0</v>
      </c>
      <c r="H44" s="108">
        <f t="shared" si="27"/>
        <v>0</v>
      </c>
      <c r="I44" s="108">
        <f t="shared" si="27"/>
        <v>0</v>
      </c>
      <c r="J44" s="108">
        <f t="shared" si="27"/>
        <v>0</v>
      </c>
      <c r="K44" s="108">
        <f t="shared" si="27"/>
        <v>0</v>
      </c>
      <c r="L44" s="108">
        <f t="shared" si="27"/>
        <v>0</v>
      </c>
      <c r="M44" s="108">
        <f t="shared" si="27"/>
        <v>0</v>
      </c>
      <c r="N44" s="108">
        <f t="shared" si="27"/>
        <v>0</v>
      </c>
      <c r="O44" s="108">
        <f t="shared" si="27"/>
        <v>0</v>
      </c>
      <c r="P44" s="108">
        <f t="shared" si="27"/>
        <v>0</v>
      </c>
      <c r="Q44" s="108">
        <f t="shared" si="27"/>
        <v>0</v>
      </c>
      <c r="R44" s="108">
        <f t="shared" si="27"/>
        <v>0</v>
      </c>
      <c r="S44" s="108">
        <f t="shared" si="27"/>
        <v>0</v>
      </c>
      <c r="T44" s="108">
        <f t="shared" si="27"/>
        <v>0</v>
      </c>
      <c r="U44" s="108">
        <f t="shared" si="27"/>
        <v>0</v>
      </c>
      <c r="V44" s="108">
        <f t="shared" si="27"/>
        <v>0</v>
      </c>
      <c r="W44" s="108">
        <f t="shared" si="27"/>
        <v>0</v>
      </c>
      <c r="X44" s="108">
        <f t="shared" si="27"/>
        <v>0</v>
      </c>
      <c r="Y44" s="108">
        <f t="shared" si="27"/>
        <v>0</v>
      </c>
      <c r="Z44" s="108">
        <f t="shared" si="27"/>
        <v>0</v>
      </c>
      <c r="AA44" s="108">
        <f t="shared" si="27"/>
        <v>0</v>
      </c>
      <c r="AB44" s="108">
        <f t="shared" si="27"/>
        <v>0</v>
      </c>
      <c r="AC44" s="243"/>
    </row>
    <row r="45" spans="1:34" ht="15.75" hidden="1" customHeight="1" x14ac:dyDescent="0.4">
      <c r="A45" s="252">
        <f>+A43+1</f>
        <v>21</v>
      </c>
      <c r="B45" s="253">
        <f>+STUD!B22</f>
        <v>0</v>
      </c>
      <c r="C45" s="244">
        <f>SUM(D46:AB46)</f>
        <v>0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33"/>
      <c r="Y45" s="133"/>
      <c r="Z45" s="133"/>
      <c r="AA45" s="133"/>
      <c r="AB45" s="133"/>
      <c r="AC45" s="243">
        <f>SUM(D46:AB46)</f>
        <v>0</v>
      </c>
    </row>
    <row r="46" spans="1:34" ht="15.75" hidden="1" customHeight="1" x14ac:dyDescent="0.4">
      <c r="A46" s="242"/>
      <c r="B46" s="253"/>
      <c r="C46" s="245"/>
      <c r="D46" s="108">
        <f t="shared" ref="D46:AB46" si="28">IF(IFERROR(IF(VLOOKUP(D45,D$151:D$155,1,0)&gt;=1,D$150,0),D45)=D$132,D$136,IF(IFERROR(IF(VLOOKUP(D45,D$151:D$155,1,0)&gt;=1,D$150,0),D45)=D$139,D$142,IF(IFERROR(IF(VLOOKUP(D45,D$151:D$155,1,0)&gt;=1,D$150,0),D45)=D$145,D$147,0)))</f>
        <v>0</v>
      </c>
      <c r="E46" s="108">
        <f t="shared" si="28"/>
        <v>0</v>
      </c>
      <c r="F46" s="108">
        <f t="shared" si="28"/>
        <v>0</v>
      </c>
      <c r="G46" s="108">
        <f t="shared" si="28"/>
        <v>0</v>
      </c>
      <c r="H46" s="108">
        <f t="shared" si="28"/>
        <v>0</v>
      </c>
      <c r="I46" s="108">
        <f t="shared" si="28"/>
        <v>0</v>
      </c>
      <c r="J46" s="108">
        <f t="shared" si="28"/>
        <v>0</v>
      </c>
      <c r="K46" s="108">
        <f t="shared" si="28"/>
        <v>0</v>
      </c>
      <c r="L46" s="108">
        <f t="shared" si="28"/>
        <v>0</v>
      </c>
      <c r="M46" s="108">
        <f t="shared" si="28"/>
        <v>0</v>
      </c>
      <c r="N46" s="108">
        <f t="shared" si="28"/>
        <v>0</v>
      </c>
      <c r="O46" s="108">
        <f t="shared" si="28"/>
        <v>0</v>
      </c>
      <c r="P46" s="108">
        <f t="shared" si="28"/>
        <v>0</v>
      </c>
      <c r="Q46" s="108">
        <f t="shared" si="28"/>
        <v>0</v>
      </c>
      <c r="R46" s="108">
        <f t="shared" si="28"/>
        <v>0</v>
      </c>
      <c r="S46" s="108">
        <f t="shared" si="28"/>
        <v>0</v>
      </c>
      <c r="T46" s="108">
        <f t="shared" si="28"/>
        <v>0</v>
      </c>
      <c r="U46" s="108">
        <f t="shared" si="28"/>
        <v>0</v>
      </c>
      <c r="V46" s="108">
        <f t="shared" si="28"/>
        <v>0</v>
      </c>
      <c r="W46" s="108">
        <f t="shared" si="28"/>
        <v>0</v>
      </c>
      <c r="X46" s="108">
        <f t="shared" si="28"/>
        <v>0</v>
      </c>
      <c r="Y46" s="108">
        <f t="shared" si="28"/>
        <v>0</v>
      </c>
      <c r="Z46" s="108">
        <f t="shared" si="28"/>
        <v>0</v>
      </c>
      <c r="AA46" s="108">
        <f t="shared" si="28"/>
        <v>0</v>
      </c>
      <c r="AB46" s="108">
        <f t="shared" si="28"/>
        <v>0</v>
      </c>
      <c r="AC46" s="243"/>
    </row>
    <row r="47" spans="1:34" ht="15.75" hidden="1" customHeight="1" x14ac:dyDescent="0.4">
      <c r="A47" s="252">
        <f>+A45+1</f>
        <v>22</v>
      </c>
      <c r="B47" s="253">
        <f>+STUD!B23</f>
        <v>0</v>
      </c>
      <c r="C47" s="244">
        <f>SUM(D48:AB48)</f>
        <v>0</v>
      </c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33"/>
      <c r="Y47" s="133"/>
      <c r="Z47" s="133"/>
      <c r="AA47" s="133"/>
      <c r="AB47" s="133"/>
      <c r="AC47" s="243">
        <f>SUM(D48:AB48)</f>
        <v>0</v>
      </c>
    </row>
    <row r="48" spans="1:34" ht="15.75" hidden="1" customHeight="1" x14ac:dyDescent="0.4">
      <c r="A48" s="242"/>
      <c r="B48" s="253"/>
      <c r="C48" s="245"/>
      <c r="D48" s="108">
        <f t="shared" ref="D48:AB48" si="29">IF(IFERROR(IF(VLOOKUP(D47,D$151:D$155,1,0)&gt;=1,D$150,0),D47)=D$132,D$136,IF(IFERROR(IF(VLOOKUP(D47,D$151:D$155,1,0)&gt;=1,D$150,0),D47)=D$139,D$142,IF(IFERROR(IF(VLOOKUP(D47,D$151:D$155,1,0)&gt;=1,D$150,0),D47)=D$145,D$147,0)))</f>
        <v>0</v>
      </c>
      <c r="E48" s="108">
        <f t="shared" si="29"/>
        <v>0</v>
      </c>
      <c r="F48" s="108">
        <f t="shared" si="29"/>
        <v>0</v>
      </c>
      <c r="G48" s="108">
        <f t="shared" si="29"/>
        <v>0</v>
      </c>
      <c r="H48" s="108">
        <f t="shared" si="29"/>
        <v>0</v>
      </c>
      <c r="I48" s="108">
        <f t="shared" si="29"/>
        <v>0</v>
      </c>
      <c r="J48" s="108">
        <f t="shared" si="29"/>
        <v>0</v>
      </c>
      <c r="K48" s="108">
        <f t="shared" si="29"/>
        <v>0</v>
      </c>
      <c r="L48" s="108">
        <f t="shared" si="29"/>
        <v>0</v>
      </c>
      <c r="M48" s="108">
        <f t="shared" si="29"/>
        <v>0</v>
      </c>
      <c r="N48" s="108">
        <f t="shared" si="29"/>
        <v>0</v>
      </c>
      <c r="O48" s="108">
        <f t="shared" si="29"/>
        <v>0</v>
      </c>
      <c r="P48" s="108">
        <f t="shared" si="29"/>
        <v>0</v>
      </c>
      <c r="Q48" s="108">
        <f t="shared" si="29"/>
        <v>0</v>
      </c>
      <c r="R48" s="108">
        <f t="shared" si="29"/>
        <v>0</v>
      </c>
      <c r="S48" s="108">
        <f t="shared" si="29"/>
        <v>0</v>
      </c>
      <c r="T48" s="108">
        <f t="shared" si="29"/>
        <v>0</v>
      </c>
      <c r="U48" s="108">
        <f t="shared" si="29"/>
        <v>0</v>
      </c>
      <c r="V48" s="108">
        <f t="shared" si="29"/>
        <v>0</v>
      </c>
      <c r="W48" s="108">
        <f t="shared" si="29"/>
        <v>0</v>
      </c>
      <c r="X48" s="108">
        <f t="shared" si="29"/>
        <v>0</v>
      </c>
      <c r="Y48" s="108">
        <f t="shared" si="29"/>
        <v>0</v>
      </c>
      <c r="Z48" s="108">
        <f t="shared" si="29"/>
        <v>0</v>
      </c>
      <c r="AA48" s="108">
        <f t="shared" si="29"/>
        <v>0</v>
      </c>
      <c r="AB48" s="108">
        <f t="shared" si="29"/>
        <v>0</v>
      </c>
      <c r="AC48" s="243"/>
    </row>
    <row r="49" spans="1:29" ht="15.75" hidden="1" customHeight="1" x14ac:dyDescent="0.4">
      <c r="A49" s="252">
        <f>+A47+1</f>
        <v>23</v>
      </c>
      <c r="B49" s="253">
        <f>+STUD!B24</f>
        <v>0</v>
      </c>
      <c r="C49" s="244">
        <f>SUM(D50:AB50)</f>
        <v>0</v>
      </c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33"/>
      <c r="Y49" s="133"/>
      <c r="Z49" s="133"/>
      <c r="AA49" s="133"/>
      <c r="AB49" s="133"/>
      <c r="AC49" s="243">
        <f>SUM(D50:AB50)</f>
        <v>0</v>
      </c>
    </row>
    <row r="50" spans="1:29" ht="15.75" hidden="1" customHeight="1" x14ac:dyDescent="0.4">
      <c r="A50" s="242"/>
      <c r="B50" s="253"/>
      <c r="C50" s="245"/>
      <c r="D50" s="108">
        <f t="shared" ref="D50:AB50" si="30">IF(IFERROR(IF(VLOOKUP(D49,D$151:D$155,1,0)&gt;=1,D$150,0),D49)=D$132,D$136,IF(IFERROR(IF(VLOOKUP(D49,D$151:D$155,1,0)&gt;=1,D$150,0),D49)=D$139,D$142,IF(IFERROR(IF(VLOOKUP(D49,D$151:D$155,1,0)&gt;=1,D$150,0),D49)=D$145,D$147,0)))</f>
        <v>0</v>
      </c>
      <c r="E50" s="108">
        <f t="shared" si="30"/>
        <v>0</v>
      </c>
      <c r="F50" s="108">
        <f t="shared" si="30"/>
        <v>0</v>
      </c>
      <c r="G50" s="108">
        <f t="shared" si="30"/>
        <v>0</v>
      </c>
      <c r="H50" s="108">
        <f t="shared" si="30"/>
        <v>0</v>
      </c>
      <c r="I50" s="108">
        <f t="shared" si="30"/>
        <v>0</v>
      </c>
      <c r="J50" s="108">
        <f t="shared" si="30"/>
        <v>0</v>
      </c>
      <c r="K50" s="108">
        <f t="shared" si="30"/>
        <v>0</v>
      </c>
      <c r="L50" s="108">
        <f t="shared" si="30"/>
        <v>0</v>
      </c>
      <c r="M50" s="108">
        <f t="shared" si="30"/>
        <v>0</v>
      </c>
      <c r="N50" s="108">
        <f t="shared" si="30"/>
        <v>0</v>
      </c>
      <c r="O50" s="108">
        <f t="shared" si="30"/>
        <v>0</v>
      </c>
      <c r="P50" s="108">
        <f t="shared" si="30"/>
        <v>0</v>
      </c>
      <c r="Q50" s="108">
        <f t="shared" si="30"/>
        <v>0</v>
      </c>
      <c r="R50" s="108">
        <f t="shared" si="30"/>
        <v>0</v>
      </c>
      <c r="S50" s="108">
        <f t="shared" si="30"/>
        <v>0</v>
      </c>
      <c r="T50" s="108">
        <f t="shared" si="30"/>
        <v>0</v>
      </c>
      <c r="U50" s="108">
        <f t="shared" si="30"/>
        <v>0</v>
      </c>
      <c r="V50" s="108">
        <f t="shared" si="30"/>
        <v>0</v>
      </c>
      <c r="W50" s="108">
        <f t="shared" si="30"/>
        <v>0</v>
      </c>
      <c r="X50" s="108">
        <f t="shared" si="30"/>
        <v>0</v>
      </c>
      <c r="Y50" s="108">
        <f t="shared" si="30"/>
        <v>0</v>
      </c>
      <c r="Z50" s="108">
        <f t="shared" si="30"/>
        <v>0</v>
      </c>
      <c r="AA50" s="108">
        <f t="shared" si="30"/>
        <v>0</v>
      </c>
      <c r="AB50" s="108">
        <f t="shared" si="30"/>
        <v>0</v>
      </c>
      <c r="AC50" s="243"/>
    </row>
    <row r="51" spans="1:29" ht="15.75" hidden="1" customHeight="1" x14ac:dyDescent="0.4">
      <c r="A51" s="252">
        <f>+A49+1</f>
        <v>24</v>
      </c>
      <c r="B51" s="253">
        <f>+STUD!B25</f>
        <v>0</v>
      </c>
      <c r="C51" s="244">
        <f>SUM(D52:AB52)</f>
        <v>0</v>
      </c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33"/>
      <c r="Y51" s="133"/>
      <c r="Z51" s="133"/>
      <c r="AA51" s="133"/>
      <c r="AB51" s="133"/>
      <c r="AC51" s="243">
        <f>SUM(D52:AB52)</f>
        <v>0</v>
      </c>
    </row>
    <row r="52" spans="1:29" ht="15.75" hidden="1" customHeight="1" x14ac:dyDescent="0.4">
      <c r="A52" s="242"/>
      <c r="B52" s="253"/>
      <c r="C52" s="245"/>
      <c r="D52" s="108">
        <f t="shared" ref="D52:AB52" si="31">IF(IFERROR(IF(VLOOKUP(D51,D$151:D$155,1,0)&gt;=1,D$150,0),D51)=D$132,D$136,IF(IFERROR(IF(VLOOKUP(D51,D$151:D$155,1,0)&gt;=1,D$150,0),D51)=D$139,D$142,IF(IFERROR(IF(VLOOKUP(D51,D$151:D$155,1,0)&gt;=1,D$150,0),D51)=D$145,D$147,0)))</f>
        <v>0</v>
      </c>
      <c r="E52" s="108">
        <f t="shared" si="31"/>
        <v>0</v>
      </c>
      <c r="F52" s="108">
        <f t="shared" si="31"/>
        <v>0</v>
      </c>
      <c r="G52" s="108">
        <f t="shared" si="31"/>
        <v>0</v>
      </c>
      <c r="H52" s="108">
        <f t="shared" si="31"/>
        <v>0</v>
      </c>
      <c r="I52" s="108">
        <f t="shared" si="31"/>
        <v>0</v>
      </c>
      <c r="J52" s="108">
        <f t="shared" si="31"/>
        <v>0</v>
      </c>
      <c r="K52" s="108">
        <f t="shared" si="31"/>
        <v>0</v>
      </c>
      <c r="L52" s="108">
        <f t="shared" si="31"/>
        <v>0</v>
      </c>
      <c r="M52" s="108">
        <f t="shared" si="31"/>
        <v>0</v>
      </c>
      <c r="N52" s="108">
        <f t="shared" si="31"/>
        <v>0</v>
      </c>
      <c r="O52" s="108">
        <f t="shared" si="31"/>
        <v>0</v>
      </c>
      <c r="P52" s="108">
        <f t="shared" si="31"/>
        <v>0</v>
      </c>
      <c r="Q52" s="108">
        <f t="shared" si="31"/>
        <v>0</v>
      </c>
      <c r="R52" s="108">
        <f t="shared" si="31"/>
        <v>0</v>
      </c>
      <c r="S52" s="108">
        <f t="shared" si="31"/>
        <v>0</v>
      </c>
      <c r="T52" s="108">
        <f t="shared" si="31"/>
        <v>0</v>
      </c>
      <c r="U52" s="108">
        <f t="shared" si="31"/>
        <v>0</v>
      </c>
      <c r="V52" s="108">
        <f t="shared" si="31"/>
        <v>0</v>
      </c>
      <c r="W52" s="108">
        <f t="shared" si="31"/>
        <v>0</v>
      </c>
      <c r="X52" s="108">
        <f t="shared" si="31"/>
        <v>0</v>
      </c>
      <c r="Y52" s="108">
        <f t="shared" si="31"/>
        <v>0</v>
      </c>
      <c r="Z52" s="108">
        <f t="shared" si="31"/>
        <v>0</v>
      </c>
      <c r="AA52" s="108">
        <f t="shared" si="31"/>
        <v>0</v>
      </c>
      <c r="AB52" s="108">
        <f t="shared" si="31"/>
        <v>0</v>
      </c>
      <c r="AC52" s="243"/>
    </row>
    <row r="53" spans="1:29" ht="15.75" hidden="1" customHeight="1" x14ac:dyDescent="0.4">
      <c r="A53" s="252">
        <f>+A51+1</f>
        <v>25</v>
      </c>
      <c r="B53" s="253">
        <f>+STUD!B26</f>
        <v>0</v>
      </c>
      <c r="C53" s="244">
        <f>SUM(D54:AB54)</f>
        <v>0</v>
      </c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33"/>
      <c r="Y53" s="133"/>
      <c r="Z53" s="133"/>
      <c r="AA53" s="133"/>
      <c r="AB53" s="133"/>
      <c r="AC53" s="243">
        <f>SUM(D54:AB54)</f>
        <v>0</v>
      </c>
    </row>
    <row r="54" spans="1:29" ht="15.75" hidden="1" customHeight="1" x14ac:dyDescent="0.4">
      <c r="A54" s="242"/>
      <c r="B54" s="253"/>
      <c r="C54" s="245"/>
      <c r="D54" s="108">
        <f t="shared" ref="D54:AB54" si="32">IF(IFERROR(IF(VLOOKUP(D53,D$151:D$155,1,0)&gt;=1,D$150,0),D53)=D$132,D$136,IF(IFERROR(IF(VLOOKUP(D53,D$151:D$155,1,0)&gt;=1,D$150,0),D53)=D$139,D$142,IF(IFERROR(IF(VLOOKUP(D53,D$151:D$155,1,0)&gt;=1,D$150,0),D53)=D$145,D$147,0)))</f>
        <v>0</v>
      </c>
      <c r="E54" s="108">
        <f t="shared" si="32"/>
        <v>0</v>
      </c>
      <c r="F54" s="108">
        <f t="shared" si="32"/>
        <v>0</v>
      </c>
      <c r="G54" s="108">
        <f t="shared" si="32"/>
        <v>0</v>
      </c>
      <c r="H54" s="108">
        <f t="shared" si="32"/>
        <v>0</v>
      </c>
      <c r="I54" s="108">
        <f t="shared" si="32"/>
        <v>0</v>
      </c>
      <c r="J54" s="108">
        <f t="shared" si="32"/>
        <v>0</v>
      </c>
      <c r="K54" s="108">
        <f t="shared" si="32"/>
        <v>0</v>
      </c>
      <c r="L54" s="108">
        <f t="shared" si="32"/>
        <v>0</v>
      </c>
      <c r="M54" s="108">
        <f t="shared" si="32"/>
        <v>0</v>
      </c>
      <c r="N54" s="108">
        <f t="shared" si="32"/>
        <v>0</v>
      </c>
      <c r="O54" s="108">
        <f t="shared" si="32"/>
        <v>0</v>
      </c>
      <c r="P54" s="108">
        <f t="shared" si="32"/>
        <v>0</v>
      </c>
      <c r="Q54" s="108">
        <f t="shared" si="32"/>
        <v>0</v>
      </c>
      <c r="R54" s="108">
        <f t="shared" si="32"/>
        <v>0</v>
      </c>
      <c r="S54" s="108">
        <f t="shared" si="32"/>
        <v>0</v>
      </c>
      <c r="T54" s="108">
        <f t="shared" si="32"/>
        <v>0</v>
      </c>
      <c r="U54" s="108">
        <f t="shared" si="32"/>
        <v>0</v>
      </c>
      <c r="V54" s="108">
        <f t="shared" si="32"/>
        <v>0</v>
      </c>
      <c r="W54" s="108">
        <f t="shared" si="32"/>
        <v>0</v>
      </c>
      <c r="X54" s="108">
        <f t="shared" si="32"/>
        <v>0</v>
      </c>
      <c r="Y54" s="108">
        <f t="shared" si="32"/>
        <v>0</v>
      </c>
      <c r="Z54" s="108">
        <f t="shared" si="32"/>
        <v>0</v>
      </c>
      <c r="AA54" s="108">
        <f t="shared" si="32"/>
        <v>0</v>
      </c>
      <c r="AB54" s="108">
        <f t="shared" si="32"/>
        <v>0</v>
      </c>
      <c r="AC54" s="243"/>
    </row>
    <row r="55" spans="1:29" ht="15.75" hidden="1" customHeight="1" x14ac:dyDescent="0.4">
      <c r="A55" s="252">
        <f>+A53+1</f>
        <v>26</v>
      </c>
      <c r="B55" s="253">
        <f>+STUD!B27</f>
        <v>0</v>
      </c>
      <c r="C55" s="244">
        <f>SUM(D56:AB56)</f>
        <v>0</v>
      </c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33"/>
      <c r="Y55" s="133"/>
      <c r="Z55" s="133"/>
      <c r="AA55" s="133"/>
      <c r="AB55" s="133"/>
      <c r="AC55" s="243">
        <f>SUM(D56:AB56)</f>
        <v>0</v>
      </c>
    </row>
    <row r="56" spans="1:29" ht="15.75" hidden="1" customHeight="1" x14ac:dyDescent="0.4">
      <c r="A56" s="242"/>
      <c r="B56" s="253"/>
      <c r="C56" s="245"/>
      <c r="D56" s="108">
        <f t="shared" ref="D56:AB56" si="33">IF(IFERROR(IF(VLOOKUP(D55,D$151:D$155,1,0)&gt;=1,D$150,0),D55)=D$132,D$136,IF(IFERROR(IF(VLOOKUP(D55,D$151:D$155,1,0)&gt;=1,D$150,0),D55)=D$139,D$142,IF(IFERROR(IF(VLOOKUP(D55,D$151:D$155,1,0)&gt;=1,D$150,0),D55)=D$145,D$147,0)))</f>
        <v>0</v>
      </c>
      <c r="E56" s="108">
        <f t="shared" si="33"/>
        <v>0</v>
      </c>
      <c r="F56" s="108">
        <f t="shared" si="33"/>
        <v>0</v>
      </c>
      <c r="G56" s="108">
        <f t="shared" si="33"/>
        <v>0</v>
      </c>
      <c r="H56" s="108">
        <f t="shared" si="33"/>
        <v>0</v>
      </c>
      <c r="I56" s="108">
        <f t="shared" si="33"/>
        <v>0</v>
      </c>
      <c r="J56" s="108">
        <f t="shared" si="33"/>
        <v>0</v>
      </c>
      <c r="K56" s="108">
        <f t="shared" si="33"/>
        <v>0</v>
      </c>
      <c r="L56" s="108">
        <f t="shared" si="33"/>
        <v>0</v>
      </c>
      <c r="M56" s="108">
        <f t="shared" si="33"/>
        <v>0</v>
      </c>
      <c r="N56" s="108">
        <f t="shared" si="33"/>
        <v>0</v>
      </c>
      <c r="O56" s="108">
        <f t="shared" si="33"/>
        <v>0</v>
      </c>
      <c r="P56" s="108">
        <f t="shared" si="33"/>
        <v>0</v>
      </c>
      <c r="Q56" s="108">
        <f t="shared" si="33"/>
        <v>0</v>
      </c>
      <c r="R56" s="108">
        <f t="shared" si="33"/>
        <v>0</v>
      </c>
      <c r="S56" s="108">
        <f t="shared" si="33"/>
        <v>0</v>
      </c>
      <c r="T56" s="108">
        <f t="shared" si="33"/>
        <v>0</v>
      </c>
      <c r="U56" s="108">
        <f t="shared" si="33"/>
        <v>0</v>
      </c>
      <c r="V56" s="108">
        <f t="shared" si="33"/>
        <v>0</v>
      </c>
      <c r="W56" s="108">
        <f t="shared" si="33"/>
        <v>0</v>
      </c>
      <c r="X56" s="108">
        <f t="shared" si="33"/>
        <v>0</v>
      </c>
      <c r="Y56" s="108">
        <f t="shared" si="33"/>
        <v>0</v>
      </c>
      <c r="Z56" s="108">
        <f t="shared" si="33"/>
        <v>0</v>
      </c>
      <c r="AA56" s="108">
        <f t="shared" si="33"/>
        <v>0</v>
      </c>
      <c r="AB56" s="108">
        <f t="shared" si="33"/>
        <v>0</v>
      </c>
      <c r="AC56" s="243"/>
    </row>
    <row r="57" spans="1:29" ht="15.75" hidden="1" customHeight="1" x14ac:dyDescent="0.4">
      <c r="A57" s="252">
        <f>+A55+1</f>
        <v>27</v>
      </c>
      <c r="B57" s="253">
        <f>+STUD!B28</f>
        <v>0</v>
      </c>
      <c r="C57" s="244">
        <f>SUM(D58:AB58)</f>
        <v>0</v>
      </c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33"/>
      <c r="Y57" s="133"/>
      <c r="Z57" s="133"/>
      <c r="AA57" s="133"/>
      <c r="AB57" s="133"/>
      <c r="AC57" s="243">
        <f>SUM(D58:AB58)</f>
        <v>0</v>
      </c>
    </row>
    <row r="58" spans="1:29" ht="15.75" hidden="1" customHeight="1" x14ac:dyDescent="0.4">
      <c r="A58" s="242"/>
      <c r="B58" s="253"/>
      <c r="C58" s="245"/>
      <c r="D58" s="108">
        <f t="shared" ref="D58:AB58" si="34">IF(IFERROR(IF(VLOOKUP(D57,D$151:D$155,1,0)&gt;=1,D$150,0),D57)=D$132,D$136,IF(IFERROR(IF(VLOOKUP(D57,D$151:D$155,1,0)&gt;=1,D$150,0),D57)=D$139,D$142,IF(IFERROR(IF(VLOOKUP(D57,D$151:D$155,1,0)&gt;=1,D$150,0),D57)=D$145,D$147,0)))</f>
        <v>0</v>
      </c>
      <c r="E58" s="108">
        <f t="shared" si="34"/>
        <v>0</v>
      </c>
      <c r="F58" s="108">
        <f t="shared" si="34"/>
        <v>0</v>
      </c>
      <c r="G58" s="108">
        <f t="shared" si="34"/>
        <v>0</v>
      </c>
      <c r="H58" s="108">
        <f t="shared" si="34"/>
        <v>0</v>
      </c>
      <c r="I58" s="108">
        <f t="shared" si="34"/>
        <v>0</v>
      </c>
      <c r="J58" s="108">
        <f t="shared" si="34"/>
        <v>0</v>
      </c>
      <c r="K58" s="108">
        <f t="shared" si="34"/>
        <v>0</v>
      </c>
      <c r="L58" s="108">
        <f t="shared" si="34"/>
        <v>0</v>
      </c>
      <c r="M58" s="108">
        <f t="shared" si="34"/>
        <v>0</v>
      </c>
      <c r="N58" s="108">
        <f t="shared" si="34"/>
        <v>0</v>
      </c>
      <c r="O58" s="108">
        <f t="shared" si="34"/>
        <v>0</v>
      </c>
      <c r="P58" s="108">
        <f t="shared" si="34"/>
        <v>0</v>
      </c>
      <c r="Q58" s="108">
        <f t="shared" si="34"/>
        <v>0</v>
      </c>
      <c r="R58" s="108">
        <f t="shared" si="34"/>
        <v>0</v>
      </c>
      <c r="S58" s="108">
        <f t="shared" si="34"/>
        <v>0</v>
      </c>
      <c r="T58" s="108">
        <f t="shared" si="34"/>
        <v>0</v>
      </c>
      <c r="U58" s="108">
        <f t="shared" si="34"/>
        <v>0</v>
      </c>
      <c r="V58" s="108">
        <f t="shared" si="34"/>
        <v>0</v>
      </c>
      <c r="W58" s="108">
        <f t="shared" si="34"/>
        <v>0</v>
      </c>
      <c r="X58" s="108">
        <f t="shared" si="34"/>
        <v>0</v>
      </c>
      <c r="Y58" s="108">
        <f t="shared" si="34"/>
        <v>0</v>
      </c>
      <c r="Z58" s="108">
        <f t="shared" si="34"/>
        <v>0</v>
      </c>
      <c r="AA58" s="108">
        <f t="shared" si="34"/>
        <v>0</v>
      </c>
      <c r="AB58" s="108">
        <f t="shared" si="34"/>
        <v>0</v>
      </c>
      <c r="AC58" s="243"/>
    </row>
    <row r="59" spans="1:29" ht="15.75" hidden="1" customHeight="1" x14ac:dyDescent="0.4">
      <c r="A59" s="252">
        <f>+A57+1</f>
        <v>28</v>
      </c>
      <c r="B59" s="253">
        <f>+STUD!B29</f>
        <v>0</v>
      </c>
      <c r="C59" s="244">
        <f>SUM(D60:AB60)</f>
        <v>0</v>
      </c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33"/>
      <c r="Y59" s="133"/>
      <c r="Z59" s="133"/>
      <c r="AA59" s="133"/>
      <c r="AB59" s="133"/>
      <c r="AC59" s="243">
        <f>SUM(D60:AB60)</f>
        <v>0</v>
      </c>
    </row>
    <row r="60" spans="1:29" ht="15.75" hidden="1" customHeight="1" x14ac:dyDescent="0.4">
      <c r="A60" s="242"/>
      <c r="B60" s="253"/>
      <c r="C60" s="245"/>
      <c r="D60" s="108">
        <f t="shared" ref="D60:AB60" si="35">IF(IFERROR(IF(VLOOKUP(D59,D$151:D$155,1,0)&gt;=1,D$150,0),D59)=D$132,D$136,IF(IFERROR(IF(VLOOKUP(D59,D$151:D$155,1,0)&gt;=1,D$150,0),D59)=D$139,D$142,IF(IFERROR(IF(VLOOKUP(D59,D$151:D$155,1,0)&gt;=1,D$150,0),D59)=D$145,D$147,0)))</f>
        <v>0</v>
      </c>
      <c r="E60" s="108">
        <f t="shared" si="35"/>
        <v>0</v>
      </c>
      <c r="F60" s="108">
        <f t="shared" si="35"/>
        <v>0</v>
      </c>
      <c r="G60" s="108">
        <f t="shared" si="35"/>
        <v>0</v>
      </c>
      <c r="H60" s="108">
        <f t="shared" si="35"/>
        <v>0</v>
      </c>
      <c r="I60" s="108">
        <f t="shared" si="35"/>
        <v>0</v>
      </c>
      <c r="J60" s="108">
        <f t="shared" si="35"/>
        <v>0</v>
      </c>
      <c r="K60" s="108">
        <f t="shared" si="35"/>
        <v>0</v>
      </c>
      <c r="L60" s="108">
        <f t="shared" si="35"/>
        <v>0</v>
      </c>
      <c r="M60" s="108">
        <f t="shared" si="35"/>
        <v>0</v>
      </c>
      <c r="N60" s="108">
        <f t="shared" si="35"/>
        <v>0</v>
      </c>
      <c r="O60" s="108">
        <f t="shared" si="35"/>
        <v>0</v>
      </c>
      <c r="P60" s="108">
        <f t="shared" si="35"/>
        <v>0</v>
      </c>
      <c r="Q60" s="108">
        <f t="shared" si="35"/>
        <v>0</v>
      </c>
      <c r="R60" s="108">
        <f t="shared" si="35"/>
        <v>0</v>
      </c>
      <c r="S60" s="108">
        <f t="shared" si="35"/>
        <v>0</v>
      </c>
      <c r="T60" s="108">
        <f t="shared" si="35"/>
        <v>0</v>
      </c>
      <c r="U60" s="108">
        <f t="shared" si="35"/>
        <v>0</v>
      </c>
      <c r="V60" s="108">
        <f t="shared" si="35"/>
        <v>0</v>
      </c>
      <c r="W60" s="108">
        <f t="shared" si="35"/>
        <v>0</v>
      </c>
      <c r="X60" s="108">
        <f t="shared" si="35"/>
        <v>0</v>
      </c>
      <c r="Y60" s="108">
        <f t="shared" si="35"/>
        <v>0</v>
      </c>
      <c r="Z60" s="108">
        <f t="shared" si="35"/>
        <v>0</v>
      </c>
      <c r="AA60" s="108">
        <f t="shared" si="35"/>
        <v>0</v>
      </c>
      <c r="AB60" s="108">
        <f t="shared" si="35"/>
        <v>0</v>
      </c>
      <c r="AC60" s="243"/>
    </row>
    <row r="61" spans="1:29" ht="15.75" hidden="1" customHeight="1" x14ac:dyDescent="0.4">
      <c r="A61" s="252">
        <f>+A59+1</f>
        <v>29</v>
      </c>
      <c r="B61" s="253">
        <f>+STUD!B30</f>
        <v>0</v>
      </c>
      <c r="C61" s="244">
        <f>SUM(D62:AB62)</f>
        <v>0</v>
      </c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33"/>
      <c r="Y61" s="133"/>
      <c r="Z61" s="133"/>
      <c r="AA61" s="133"/>
      <c r="AB61" s="133"/>
      <c r="AC61" s="243">
        <f>SUM(D62:AB62)</f>
        <v>0</v>
      </c>
    </row>
    <row r="62" spans="1:29" ht="15.75" hidden="1" customHeight="1" x14ac:dyDescent="0.4">
      <c r="A62" s="242"/>
      <c r="B62" s="253"/>
      <c r="C62" s="245"/>
      <c r="D62" s="108">
        <f t="shared" ref="D62:AB62" si="36">IF(IFERROR(IF(VLOOKUP(D61,D$151:D$155,1,0)&gt;=1,D$150,0),D61)=D$132,D$136,IF(IFERROR(IF(VLOOKUP(D61,D$151:D$155,1,0)&gt;=1,D$150,0),D61)=D$139,D$142,IF(IFERROR(IF(VLOOKUP(D61,D$151:D$155,1,0)&gt;=1,D$150,0),D61)=D$145,D$147,0)))</f>
        <v>0</v>
      </c>
      <c r="E62" s="108">
        <f t="shared" si="36"/>
        <v>0</v>
      </c>
      <c r="F62" s="108">
        <f t="shared" si="36"/>
        <v>0</v>
      </c>
      <c r="G62" s="108">
        <f t="shared" si="36"/>
        <v>0</v>
      </c>
      <c r="H62" s="108">
        <f t="shared" si="36"/>
        <v>0</v>
      </c>
      <c r="I62" s="108">
        <f t="shared" si="36"/>
        <v>0</v>
      </c>
      <c r="J62" s="108">
        <f t="shared" si="36"/>
        <v>0</v>
      </c>
      <c r="K62" s="108">
        <f t="shared" si="36"/>
        <v>0</v>
      </c>
      <c r="L62" s="108">
        <f t="shared" si="36"/>
        <v>0</v>
      </c>
      <c r="M62" s="108">
        <f t="shared" si="36"/>
        <v>0</v>
      </c>
      <c r="N62" s="108">
        <f t="shared" si="36"/>
        <v>0</v>
      </c>
      <c r="O62" s="108">
        <f t="shared" si="36"/>
        <v>0</v>
      </c>
      <c r="P62" s="108">
        <f t="shared" si="36"/>
        <v>0</v>
      </c>
      <c r="Q62" s="108">
        <f t="shared" si="36"/>
        <v>0</v>
      </c>
      <c r="R62" s="108">
        <f t="shared" si="36"/>
        <v>0</v>
      </c>
      <c r="S62" s="108">
        <f t="shared" si="36"/>
        <v>0</v>
      </c>
      <c r="T62" s="108">
        <f t="shared" si="36"/>
        <v>0</v>
      </c>
      <c r="U62" s="108">
        <f t="shared" si="36"/>
        <v>0</v>
      </c>
      <c r="V62" s="108">
        <f t="shared" si="36"/>
        <v>0</v>
      </c>
      <c r="W62" s="108">
        <f t="shared" si="36"/>
        <v>0</v>
      </c>
      <c r="X62" s="108">
        <f t="shared" si="36"/>
        <v>0</v>
      </c>
      <c r="Y62" s="108">
        <f t="shared" si="36"/>
        <v>0</v>
      </c>
      <c r="Z62" s="108">
        <f t="shared" si="36"/>
        <v>0</v>
      </c>
      <c r="AA62" s="108">
        <f t="shared" si="36"/>
        <v>0</v>
      </c>
      <c r="AB62" s="108">
        <f t="shared" si="36"/>
        <v>0</v>
      </c>
      <c r="AC62" s="243"/>
    </row>
    <row r="63" spans="1:29" ht="15.75" hidden="1" customHeight="1" x14ac:dyDescent="0.4">
      <c r="A63" s="252">
        <f>+A61+1</f>
        <v>30</v>
      </c>
      <c r="B63" s="253">
        <f>+STUD!B31</f>
        <v>0</v>
      </c>
      <c r="C63" s="244">
        <f>SUM(D64:AB64)</f>
        <v>0</v>
      </c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33"/>
      <c r="Y63" s="133"/>
      <c r="Z63" s="133"/>
      <c r="AA63" s="133"/>
      <c r="AB63" s="133"/>
      <c r="AC63" s="243">
        <f>SUM(D64:AB64)</f>
        <v>0</v>
      </c>
    </row>
    <row r="64" spans="1:29" ht="15" hidden="1" customHeight="1" x14ac:dyDescent="0.4">
      <c r="A64" s="242"/>
      <c r="B64" s="253"/>
      <c r="C64" s="245"/>
      <c r="D64" s="108">
        <f t="shared" ref="D64:AB64" si="37">IF(IFERROR(IF(VLOOKUP(D63,D$151:D$155,1,0)&gt;=1,D$150,0),D63)=D$132,D$136,IF(IFERROR(IF(VLOOKUP(D63,D$151:D$155,1,0)&gt;=1,D$150,0),D63)=D$139,D$142,IF(IFERROR(IF(VLOOKUP(D63,D$151:D$155,1,0)&gt;=1,D$150,0),D63)=D$145,D$147,0)))</f>
        <v>0</v>
      </c>
      <c r="E64" s="108">
        <f t="shared" si="37"/>
        <v>0</v>
      </c>
      <c r="F64" s="108">
        <f t="shared" si="37"/>
        <v>0</v>
      </c>
      <c r="G64" s="108">
        <f t="shared" si="37"/>
        <v>0</v>
      </c>
      <c r="H64" s="108">
        <f t="shared" si="37"/>
        <v>0</v>
      </c>
      <c r="I64" s="108">
        <f t="shared" si="37"/>
        <v>0</v>
      </c>
      <c r="J64" s="108">
        <f t="shared" si="37"/>
        <v>0</v>
      </c>
      <c r="K64" s="108">
        <f t="shared" si="37"/>
        <v>0</v>
      </c>
      <c r="L64" s="108">
        <f t="shared" si="37"/>
        <v>0</v>
      </c>
      <c r="M64" s="108">
        <f t="shared" si="37"/>
        <v>0</v>
      </c>
      <c r="N64" s="108">
        <f t="shared" si="37"/>
        <v>0</v>
      </c>
      <c r="O64" s="108">
        <f t="shared" si="37"/>
        <v>0</v>
      </c>
      <c r="P64" s="108">
        <f t="shared" si="37"/>
        <v>0</v>
      </c>
      <c r="Q64" s="108">
        <f t="shared" si="37"/>
        <v>0</v>
      </c>
      <c r="R64" s="108">
        <f t="shared" si="37"/>
        <v>0</v>
      </c>
      <c r="S64" s="108">
        <f t="shared" si="37"/>
        <v>0</v>
      </c>
      <c r="T64" s="108">
        <f t="shared" si="37"/>
        <v>0</v>
      </c>
      <c r="U64" s="108">
        <f t="shared" si="37"/>
        <v>0</v>
      </c>
      <c r="V64" s="108">
        <f t="shared" si="37"/>
        <v>0</v>
      </c>
      <c r="W64" s="108">
        <f t="shared" si="37"/>
        <v>0</v>
      </c>
      <c r="X64" s="108">
        <f t="shared" si="37"/>
        <v>0</v>
      </c>
      <c r="Y64" s="108">
        <f t="shared" si="37"/>
        <v>0</v>
      </c>
      <c r="Z64" s="108">
        <f t="shared" si="37"/>
        <v>0</v>
      </c>
      <c r="AA64" s="108">
        <f t="shared" si="37"/>
        <v>0</v>
      </c>
      <c r="AB64" s="108">
        <f t="shared" si="37"/>
        <v>0</v>
      </c>
      <c r="AC64" s="243"/>
    </row>
    <row r="65" spans="1:40" ht="15.75" hidden="1" customHeight="1" x14ac:dyDescent="0.4">
      <c r="A65" s="252">
        <f>+A63+1</f>
        <v>31</v>
      </c>
      <c r="B65" s="253">
        <f>+STUD!B32</f>
        <v>0</v>
      </c>
      <c r="C65" s="244">
        <f>SUM(D66:AB66)</f>
        <v>0</v>
      </c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33"/>
      <c r="Y65" s="133"/>
      <c r="Z65" s="133"/>
      <c r="AA65" s="133"/>
      <c r="AB65" s="133"/>
      <c r="AC65" s="243">
        <f>SUM(D66:AB66)</f>
        <v>0</v>
      </c>
    </row>
    <row r="66" spans="1:40" ht="15.75" hidden="1" customHeight="1" x14ac:dyDescent="0.4">
      <c r="A66" s="242"/>
      <c r="B66" s="253"/>
      <c r="C66" s="245"/>
      <c r="D66" s="108">
        <f t="shared" ref="D66:AB66" si="38">IF(IFERROR(IF(VLOOKUP(D65,D$151:D$155,1,0)&gt;=1,D$150,0),D65)=D$132,D$136,IF(IFERROR(IF(VLOOKUP(D65,D$151:D$155,1,0)&gt;=1,D$150,0),D65)=D$139,D$142,IF(IFERROR(IF(VLOOKUP(D65,D$151:D$155,1,0)&gt;=1,D$150,0),D65)=D$145,D$147,0)))</f>
        <v>0</v>
      </c>
      <c r="E66" s="108">
        <f t="shared" si="38"/>
        <v>0</v>
      </c>
      <c r="F66" s="108">
        <f t="shared" si="38"/>
        <v>0</v>
      </c>
      <c r="G66" s="108">
        <f t="shared" si="38"/>
        <v>0</v>
      </c>
      <c r="H66" s="108">
        <f t="shared" si="38"/>
        <v>0</v>
      </c>
      <c r="I66" s="108">
        <f t="shared" si="38"/>
        <v>0</v>
      </c>
      <c r="J66" s="108">
        <f t="shared" si="38"/>
        <v>0</v>
      </c>
      <c r="K66" s="108">
        <f t="shared" si="38"/>
        <v>0</v>
      </c>
      <c r="L66" s="108">
        <f t="shared" si="38"/>
        <v>0</v>
      </c>
      <c r="M66" s="108">
        <f t="shared" si="38"/>
        <v>0</v>
      </c>
      <c r="N66" s="108">
        <f t="shared" si="38"/>
        <v>0</v>
      </c>
      <c r="O66" s="108">
        <f t="shared" si="38"/>
        <v>0</v>
      </c>
      <c r="P66" s="108">
        <f t="shared" si="38"/>
        <v>0</v>
      </c>
      <c r="Q66" s="108">
        <f t="shared" si="38"/>
        <v>0</v>
      </c>
      <c r="R66" s="108">
        <f t="shared" si="38"/>
        <v>0</v>
      </c>
      <c r="S66" s="108">
        <f t="shared" si="38"/>
        <v>0</v>
      </c>
      <c r="T66" s="108">
        <f t="shared" si="38"/>
        <v>0</v>
      </c>
      <c r="U66" s="108">
        <f t="shared" si="38"/>
        <v>0</v>
      </c>
      <c r="V66" s="108">
        <f t="shared" si="38"/>
        <v>0</v>
      </c>
      <c r="W66" s="108">
        <f t="shared" si="38"/>
        <v>0</v>
      </c>
      <c r="X66" s="108">
        <f t="shared" si="38"/>
        <v>0</v>
      </c>
      <c r="Y66" s="108">
        <f t="shared" si="38"/>
        <v>0</v>
      </c>
      <c r="Z66" s="108">
        <f t="shared" si="38"/>
        <v>0</v>
      </c>
      <c r="AA66" s="108">
        <f t="shared" si="38"/>
        <v>0</v>
      </c>
      <c r="AB66" s="108">
        <f t="shared" si="38"/>
        <v>0</v>
      </c>
      <c r="AC66" s="243"/>
    </row>
    <row r="67" spans="1:40" ht="15.75" hidden="1" customHeight="1" x14ac:dyDescent="0.4">
      <c r="A67" s="252">
        <f>+A65+1</f>
        <v>32</v>
      </c>
      <c r="B67" s="253">
        <f>+STUD!B33</f>
        <v>0</v>
      </c>
      <c r="C67" s="244">
        <f>SUM(D68:AB68)</f>
        <v>0</v>
      </c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33"/>
      <c r="Y67" s="133"/>
      <c r="Z67" s="133"/>
      <c r="AA67" s="133"/>
      <c r="AB67" s="133"/>
      <c r="AC67" s="243">
        <f>SUM(D68:AB68)</f>
        <v>0</v>
      </c>
    </row>
    <row r="68" spans="1:40" ht="15.75" hidden="1" customHeight="1" x14ac:dyDescent="0.4">
      <c r="A68" s="242"/>
      <c r="B68" s="253"/>
      <c r="C68" s="245"/>
      <c r="D68" s="108">
        <f t="shared" ref="D68:AB68" si="39">IF(IFERROR(IF(VLOOKUP(D67,D$151:D$155,1,0)&gt;=1,D$150,0),D67)=D$132,D$136,IF(IFERROR(IF(VLOOKUP(D67,D$151:D$155,1,0)&gt;=1,D$150,0),D67)=D$139,D$142,IF(IFERROR(IF(VLOOKUP(D67,D$151:D$155,1,0)&gt;=1,D$150,0),D67)=D$145,D$147,0)))</f>
        <v>0</v>
      </c>
      <c r="E68" s="108">
        <f t="shared" si="39"/>
        <v>0</v>
      </c>
      <c r="F68" s="108">
        <f t="shared" si="39"/>
        <v>0</v>
      </c>
      <c r="G68" s="108">
        <f t="shared" si="39"/>
        <v>0</v>
      </c>
      <c r="H68" s="108">
        <f t="shared" si="39"/>
        <v>0</v>
      </c>
      <c r="I68" s="108">
        <f t="shared" si="39"/>
        <v>0</v>
      </c>
      <c r="J68" s="108">
        <f t="shared" si="39"/>
        <v>0</v>
      </c>
      <c r="K68" s="108">
        <f t="shared" si="39"/>
        <v>0</v>
      </c>
      <c r="L68" s="108">
        <f t="shared" si="39"/>
        <v>0</v>
      </c>
      <c r="M68" s="108">
        <f t="shared" si="39"/>
        <v>0</v>
      </c>
      <c r="N68" s="108">
        <f t="shared" si="39"/>
        <v>0</v>
      </c>
      <c r="O68" s="108">
        <f t="shared" si="39"/>
        <v>0</v>
      </c>
      <c r="P68" s="108">
        <f t="shared" si="39"/>
        <v>0</v>
      </c>
      <c r="Q68" s="108">
        <f t="shared" si="39"/>
        <v>0</v>
      </c>
      <c r="R68" s="108">
        <f t="shared" si="39"/>
        <v>0</v>
      </c>
      <c r="S68" s="108">
        <f t="shared" si="39"/>
        <v>0</v>
      </c>
      <c r="T68" s="108">
        <f t="shared" si="39"/>
        <v>0</v>
      </c>
      <c r="U68" s="108">
        <f t="shared" si="39"/>
        <v>0</v>
      </c>
      <c r="V68" s="108">
        <f t="shared" si="39"/>
        <v>0</v>
      </c>
      <c r="W68" s="108">
        <f t="shared" si="39"/>
        <v>0</v>
      </c>
      <c r="X68" s="108">
        <f t="shared" si="39"/>
        <v>0</v>
      </c>
      <c r="Y68" s="108">
        <f t="shared" si="39"/>
        <v>0</v>
      </c>
      <c r="Z68" s="108">
        <f t="shared" si="39"/>
        <v>0</v>
      </c>
      <c r="AA68" s="108">
        <f t="shared" si="39"/>
        <v>0</v>
      </c>
      <c r="AB68" s="108">
        <f t="shared" si="39"/>
        <v>0</v>
      </c>
      <c r="AC68" s="243"/>
    </row>
    <row r="69" spans="1:40" ht="15.75" customHeight="1" x14ac:dyDescent="0.4">
      <c r="A69" s="272" t="s">
        <v>20</v>
      </c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273"/>
      <c r="P69" s="273"/>
      <c r="Q69" s="273"/>
      <c r="R69" s="273"/>
      <c r="S69" s="273"/>
      <c r="T69" s="273"/>
      <c r="U69" s="273"/>
      <c r="V69" s="273"/>
      <c r="W69" s="273"/>
      <c r="X69" s="273"/>
      <c r="Y69" s="273"/>
      <c r="Z69" s="273"/>
      <c r="AA69" s="273"/>
      <c r="AB69" s="273"/>
      <c r="AC69" s="274"/>
    </row>
    <row r="70" spans="1:40" ht="15.75" customHeight="1" x14ac:dyDescent="0.4">
      <c r="A70" s="275"/>
      <c r="B70" s="276"/>
      <c r="C70" s="276"/>
      <c r="D70" s="276"/>
      <c r="E70" s="276"/>
      <c r="F70" s="276"/>
      <c r="G70" s="276"/>
      <c r="H70" s="276"/>
      <c r="I70" s="276"/>
      <c r="J70" s="276"/>
      <c r="K70" s="276"/>
      <c r="L70" s="276"/>
      <c r="M70" s="276"/>
      <c r="N70" s="276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7"/>
    </row>
    <row r="71" spans="1:40" ht="15.75" customHeight="1" x14ac:dyDescent="0.4">
      <c r="A71" s="278"/>
      <c r="B71" s="279"/>
      <c r="C71" s="279"/>
      <c r="D71" s="279"/>
      <c r="E71" s="279"/>
      <c r="F71" s="279"/>
      <c r="G71" s="279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  <c r="Z71" s="279"/>
      <c r="AA71" s="279"/>
      <c r="AB71" s="279"/>
      <c r="AC71" s="280"/>
    </row>
    <row r="72" spans="1:40" ht="15.75" customHeight="1" x14ac:dyDescent="0.5">
      <c r="A72" s="116" t="s">
        <v>0</v>
      </c>
      <c r="B72" s="116" t="s">
        <v>14</v>
      </c>
      <c r="C72" s="116" t="s">
        <v>19</v>
      </c>
      <c r="D72" s="116">
        <v>1</v>
      </c>
      <c r="E72" s="116">
        <v>2</v>
      </c>
      <c r="F72" s="116">
        <v>3</v>
      </c>
      <c r="G72" s="116">
        <v>4</v>
      </c>
      <c r="H72" s="116">
        <v>5</v>
      </c>
      <c r="I72" s="116">
        <v>6</v>
      </c>
      <c r="J72" s="116">
        <v>7</v>
      </c>
      <c r="K72" s="116">
        <v>8</v>
      </c>
      <c r="L72" s="116">
        <v>9</v>
      </c>
      <c r="M72" s="116">
        <v>10</v>
      </c>
      <c r="N72" s="116">
        <v>11</v>
      </c>
      <c r="O72" s="116">
        <v>12</v>
      </c>
      <c r="P72" s="116">
        <v>13</v>
      </c>
      <c r="Q72" s="116">
        <v>14</v>
      </c>
      <c r="R72" s="116">
        <v>15</v>
      </c>
      <c r="S72" s="116">
        <v>16</v>
      </c>
      <c r="T72" s="116">
        <v>17</v>
      </c>
      <c r="U72" s="116">
        <v>18</v>
      </c>
      <c r="V72" s="116">
        <v>19</v>
      </c>
      <c r="W72" s="116">
        <v>20</v>
      </c>
      <c r="X72" s="116">
        <v>21</v>
      </c>
      <c r="Y72" s="116">
        <v>22</v>
      </c>
      <c r="Z72" s="116">
        <v>23</v>
      </c>
      <c r="AA72" s="116">
        <v>24</v>
      </c>
      <c r="AB72" s="116">
        <v>25</v>
      </c>
      <c r="AC72" s="116" t="s">
        <v>19</v>
      </c>
      <c r="AE72" s="264" t="s">
        <v>53</v>
      </c>
      <c r="AF72" s="265"/>
      <c r="AG72" s="265"/>
      <c r="AH72" s="266"/>
      <c r="AI72" s="52">
        <v>9</v>
      </c>
      <c r="AJ72" s="52"/>
      <c r="AK72" s="52">
        <v>8</v>
      </c>
      <c r="AL72" s="52"/>
      <c r="AM72" s="52">
        <v>11</v>
      </c>
      <c r="AN72" s="52"/>
    </row>
    <row r="73" spans="1:40" ht="15.75" customHeight="1" x14ac:dyDescent="0.6">
      <c r="A73" s="242">
        <v>1</v>
      </c>
      <c r="B73" s="243">
        <f>STUD!C35</f>
        <v>0</v>
      </c>
      <c r="C73" s="244">
        <f>SUM(D74:AB74)</f>
        <v>20.400000000000002</v>
      </c>
      <c r="D73" s="135">
        <v>8</v>
      </c>
      <c r="E73" s="135">
        <v>6</v>
      </c>
      <c r="F73" s="135">
        <v>3</v>
      </c>
      <c r="G73" s="135">
        <v>6</v>
      </c>
      <c r="H73" s="135">
        <v>9</v>
      </c>
      <c r="I73" s="135">
        <v>7</v>
      </c>
      <c r="J73" s="135">
        <v>7</v>
      </c>
      <c r="K73" s="135">
        <v>5</v>
      </c>
      <c r="L73" s="135">
        <v>6</v>
      </c>
      <c r="M73" s="14"/>
      <c r="N73" s="14"/>
      <c r="O73" s="139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243">
        <f>SUM(D74:AB74)</f>
        <v>20.400000000000002</v>
      </c>
      <c r="AE73" s="141" t="s">
        <v>37</v>
      </c>
      <c r="AF73" s="141" t="s">
        <v>14</v>
      </c>
      <c r="AG73" s="169" t="s">
        <v>15</v>
      </c>
      <c r="AH73" s="169" t="s">
        <v>52</v>
      </c>
      <c r="AI73" s="181" t="str">
        <f>"Prono Carrera "&amp;AI72</f>
        <v>Prono Carrera 9</v>
      </c>
      <c r="AJ73" s="181" t="s">
        <v>42</v>
      </c>
      <c r="AK73" s="181" t="str">
        <f>"Prono Carrera "&amp;AK72</f>
        <v>Prono Carrera 8</v>
      </c>
      <c r="AL73" s="181" t="s">
        <v>42</v>
      </c>
      <c r="AM73" s="181" t="str">
        <f>"Prono Carrera "&amp;AM72</f>
        <v>Prono Carrera 11</v>
      </c>
      <c r="AN73" s="181" t="s">
        <v>42</v>
      </c>
    </row>
    <row r="74" spans="1:40" ht="15.75" customHeight="1" x14ac:dyDescent="0.4">
      <c r="A74" s="242"/>
      <c r="B74" s="243"/>
      <c r="C74" s="245"/>
      <c r="D74" s="138">
        <f t="shared" ref="D74:AB74" si="40">IF(IFERROR(IF(VLOOKUP(D73,D$151:D$155,1,0)&gt;=1,D$150,0),D73)=D$132,D$136,IF(IFERROR(IF(VLOOKUP(D73,D$151:D$155,1,0)&gt;=1,D$150,0),D73)=D$139,D$142,IF(IFERROR(IF(VLOOKUP(D73,D$151:D$155,1,0)&gt;=1,D$150,0),D73)=D$145,D$147,0)))</f>
        <v>0</v>
      </c>
      <c r="E74" s="138">
        <f t="shared" si="40"/>
        <v>3.3</v>
      </c>
      <c r="F74" s="138">
        <f t="shared" si="40"/>
        <v>0</v>
      </c>
      <c r="G74" s="138">
        <f t="shared" si="40"/>
        <v>4.8</v>
      </c>
      <c r="H74" s="138">
        <f t="shared" si="40"/>
        <v>4</v>
      </c>
      <c r="I74" s="138">
        <f t="shared" si="40"/>
        <v>1.4</v>
      </c>
      <c r="J74" s="138">
        <f t="shared" si="40"/>
        <v>0</v>
      </c>
      <c r="K74" s="138">
        <f t="shared" si="40"/>
        <v>3.3</v>
      </c>
      <c r="L74" s="138">
        <f t="shared" si="40"/>
        <v>3.6</v>
      </c>
      <c r="M74" s="138">
        <f t="shared" si="40"/>
        <v>0</v>
      </c>
      <c r="N74" s="138">
        <f t="shared" si="40"/>
        <v>0</v>
      </c>
      <c r="O74" s="138">
        <f t="shared" si="40"/>
        <v>0</v>
      </c>
      <c r="P74" s="138">
        <f t="shared" si="40"/>
        <v>0</v>
      </c>
      <c r="Q74" s="138">
        <f t="shared" si="40"/>
        <v>0</v>
      </c>
      <c r="R74" s="138">
        <f t="shared" si="40"/>
        <v>0</v>
      </c>
      <c r="S74" s="138">
        <f t="shared" si="40"/>
        <v>0</v>
      </c>
      <c r="T74" s="138">
        <f t="shared" si="40"/>
        <v>0</v>
      </c>
      <c r="U74" s="138">
        <f t="shared" si="40"/>
        <v>0</v>
      </c>
      <c r="V74" s="138">
        <f t="shared" si="40"/>
        <v>0</v>
      </c>
      <c r="W74" s="138">
        <f t="shared" si="40"/>
        <v>0</v>
      </c>
      <c r="X74" s="138">
        <f t="shared" si="40"/>
        <v>0</v>
      </c>
      <c r="Y74" s="138">
        <f t="shared" si="40"/>
        <v>0</v>
      </c>
      <c r="Z74" s="138">
        <f t="shared" si="40"/>
        <v>0</v>
      </c>
      <c r="AA74" s="138">
        <f t="shared" si="40"/>
        <v>0</v>
      </c>
      <c r="AB74" s="138">
        <f t="shared" si="40"/>
        <v>0</v>
      </c>
      <c r="AC74" s="243"/>
      <c r="AE74" s="170">
        <v>1</v>
      </c>
      <c r="AF74" s="171" t="str">
        <f>IF(ISBLANK(STUD!C40)," ",STUD!C40)</f>
        <v xml:space="preserve"> </v>
      </c>
      <c r="AG74" s="183">
        <f t="shared" ref="AG74:AG94" si="41">IFERROR(VLOOKUP(AF74,$B$73:$C$128,2,0),0)</f>
        <v>0</v>
      </c>
      <c r="AH74" s="183"/>
      <c r="AI74" s="182" t="str">
        <f>IFERROR(
   VLOOKUP(AF74, $B$73:$Y$128, CHOOSE($AI$72, 3, 4, 5, 6, 7, 8, 9, 10, 11, 12, 13, 14, 15, 16, 17, 18, 19, 20, 21, 22, 23, 24, 25, 26, 27, 28, 29), 0),
   " "
)</f>
        <v xml:space="preserve"> </v>
      </c>
      <c r="AJ74" s="182" t="str">
        <f>IF(AI74="","",IFERROR(IF(VLOOKUP(AI74,Programa!$G$3:$H$18,2,0)="","",VLOOKUP(AI74,Programa!$G$3:$H$18,2,0)),""))</f>
        <v/>
      </c>
      <c r="AK74" s="182" t="str">
        <f>IFERROR(
   VLOOKUP(AF74, $B$73:$Y$128, CHOOSE($AK$72, 3, 4, 5, 6, 7, 8, 9, 10, 11, 12, 13, 14, 15, 16, 17, 18, 19, 20, 21, 22, 23, 24, 25, 26, 27, 28, 29), 0),
   " "
)</f>
        <v xml:space="preserve"> </v>
      </c>
      <c r="AL74" s="182" t="str">
        <f>IF(AK74="","",IFERROR(IF(VLOOKUP(AK74,Programa!$G$19:$H$34,2,0)="","",VLOOKUP(AK74,Programa!$G$19:$H$34,2,0)),""))</f>
        <v/>
      </c>
      <c r="AM74" s="182" t="str">
        <f>IFERROR(
   VLOOKUP(AF74, $B$73:$Y$128, CHOOSE($AM$72, 3, 4, 5, 6, 7, 8, 9, 10, 11, 12, 13, 14, 15, 16, 17, 18, 19, 20, 21, 22, 23, 24, 25, 26, 27, 28, 29), 0),
   " "
)</f>
        <v xml:space="preserve"> </v>
      </c>
      <c r="AN74" s="182" t="str">
        <f>IF(AM74="","",IFERROR(IF(VLOOKUP(AM74,Programa!$G$35:$H$50,2,0)="","",VLOOKUP(AM74,Programa!$G$35:$H$50,2,0)),""))</f>
        <v/>
      </c>
    </row>
    <row r="75" spans="1:40" ht="15.75" customHeight="1" x14ac:dyDescent="0.4">
      <c r="A75" s="242">
        <f>+A73+1</f>
        <v>2</v>
      </c>
      <c r="B75" s="243">
        <f>STUD!C36</f>
        <v>0</v>
      </c>
      <c r="C75" s="244">
        <f>SUM(D76:AB76)</f>
        <v>11.5</v>
      </c>
      <c r="D75" s="14">
        <v>7</v>
      </c>
      <c r="E75" s="14">
        <v>2</v>
      </c>
      <c r="F75" s="14">
        <v>2</v>
      </c>
      <c r="G75" s="14">
        <v>7</v>
      </c>
      <c r="H75" s="14">
        <v>9</v>
      </c>
      <c r="I75" s="14">
        <v>6</v>
      </c>
      <c r="J75" s="14">
        <v>7</v>
      </c>
      <c r="K75" s="14">
        <v>5</v>
      </c>
      <c r="L75" s="14">
        <v>4</v>
      </c>
      <c r="M75" s="14"/>
      <c r="N75" s="14"/>
      <c r="O75" s="139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243">
        <f>SUM(D76:AB76)</f>
        <v>11.5</v>
      </c>
      <c r="AE75" s="172">
        <v>2</v>
      </c>
      <c r="AF75" s="171" t="str">
        <f>IF(ISBLANK(STUD!C39)," ",STUD!C39)</f>
        <v xml:space="preserve"> </v>
      </c>
      <c r="AG75" s="183">
        <f t="shared" si="41"/>
        <v>0</v>
      </c>
      <c r="AH75" s="183">
        <f t="shared" ref="AH75:AH101" si="42">$AG$74-AG75</f>
        <v>0</v>
      </c>
      <c r="AI75" s="182" t="str">
        <f t="shared" ref="AI75:AI101" si="43">IFERROR(
   VLOOKUP(AF75, $B$73:$Y$128, CHOOSE($AI$72, 3, 4, 5, 6, 7, 8, 9, 10, 11, 12, 13, 14, 15, 16, 17, 18, 19, 20, 21, 22, 23, 24, 25, 26, 27, 28, 29), 0),
   " "
)</f>
        <v xml:space="preserve"> </v>
      </c>
      <c r="AJ75" s="182" t="str">
        <f>IF(AI75="","",IFERROR(IF(VLOOKUP(AI75,Programa!$G$3:$H$18,2,0)="","",VLOOKUP(AI75,Programa!$G$3:$H$18,2,0)),""))</f>
        <v/>
      </c>
      <c r="AK75" s="182" t="str">
        <f t="shared" ref="AK75:AK101" si="44">IFERROR(
   VLOOKUP(AF75, $B$73:$Y$128, CHOOSE($AK$72, 3, 4, 5, 6, 7, 8, 9, 10, 11, 12, 13, 14, 15, 16, 17, 18, 19, 20, 21, 22, 23, 24, 25, 26, 27, 28, 29), 0),
   " "
)</f>
        <v xml:space="preserve"> </v>
      </c>
      <c r="AL75" s="182" t="str">
        <f>IF(AK75="","",IFERROR(IF(VLOOKUP(AK75,Programa!$G$19:$H$34,2,0)="","",VLOOKUP(AK75,Programa!$G$19:$H$34,2,0)),""))</f>
        <v/>
      </c>
      <c r="AM75" s="182" t="str">
        <f t="shared" ref="AM75:AM101" si="45">IFERROR(
   VLOOKUP(AF75, $B$73:$Y$128, CHOOSE($AM$72, 3, 4, 5, 6, 7, 8, 9, 10, 11, 12, 13, 14, 15, 16, 17, 18, 19, 20, 21, 22, 23, 24, 25, 26, 27, 28, 29), 0),
   " "
)</f>
        <v xml:space="preserve"> </v>
      </c>
      <c r="AN75" s="182" t="str">
        <f>IF(AM75="","",IFERROR(IF(VLOOKUP(AM75,Programa!$G$35:$H$50,2,0)="","",VLOOKUP(AM75,Programa!$G$35:$H$50,2,0)),""))</f>
        <v/>
      </c>
    </row>
    <row r="76" spans="1:40" ht="15.75" customHeight="1" x14ac:dyDescent="0.4">
      <c r="A76" s="242"/>
      <c r="B76" s="243"/>
      <c r="C76" s="245"/>
      <c r="D76" s="138">
        <f t="shared" ref="D76:AB76" si="46">IF(IFERROR(IF(VLOOKUP(D75,D$151:D$155,1,0)&gt;=1,D$150,0),D75)=D$132,D$136,IF(IFERROR(IF(VLOOKUP(D75,D$151:D$155,1,0)&gt;=1,D$150,0),D75)=D$139,D$142,IF(IFERROR(IF(VLOOKUP(D75,D$151:D$155,1,0)&gt;=1,D$150,0),D75)=D$145,D$147,0)))</f>
        <v>2.7</v>
      </c>
      <c r="E76" s="138">
        <f t="shared" si="46"/>
        <v>1.5</v>
      </c>
      <c r="F76" s="138">
        <f t="shared" si="46"/>
        <v>0</v>
      </c>
      <c r="G76" s="138">
        <f t="shared" si="46"/>
        <v>0</v>
      </c>
      <c r="H76" s="138">
        <f t="shared" si="46"/>
        <v>4</v>
      </c>
      <c r="I76" s="138">
        <f t="shared" si="46"/>
        <v>0</v>
      </c>
      <c r="J76" s="138">
        <f t="shared" si="46"/>
        <v>0</v>
      </c>
      <c r="K76" s="138">
        <f t="shared" si="46"/>
        <v>3.3</v>
      </c>
      <c r="L76" s="138">
        <f t="shared" si="46"/>
        <v>0</v>
      </c>
      <c r="M76" s="138">
        <f t="shared" si="46"/>
        <v>0</v>
      </c>
      <c r="N76" s="138">
        <f t="shared" si="46"/>
        <v>0</v>
      </c>
      <c r="O76" s="138">
        <f t="shared" si="46"/>
        <v>0</v>
      </c>
      <c r="P76" s="138">
        <f t="shared" si="46"/>
        <v>0</v>
      </c>
      <c r="Q76" s="138">
        <f t="shared" si="46"/>
        <v>0</v>
      </c>
      <c r="R76" s="138">
        <f t="shared" si="46"/>
        <v>0</v>
      </c>
      <c r="S76" s="138">
        <f t="shared" si="46"/>
        <v>0</v>
      </c>
      <c r="T76" s="138">
        <f t="shared" si="46"/>
        <v>0</v>
      </c>
      <c r="U76" s="138">
        <f t="shared" si="46"/>
        <v>0</v>
      </c>
      <c r="V76" s="138">
        <f t="shared" si="46"/>
        <v>0</v>
      </c>
      <c r="W76" s="138">
        <f t="shared" si="46"/>
        <v>0</v>
      </c>
      <c r="X76" s="138">
        <f t="shared" si="46"/>
        <v>0</v>
      </c>
      <c r="Y76" s="138">
        <f t="shared" si="46"/>
        <v>0</v>
      </c>
      <c r="Z76" s="138">
        <f t="shared" si="46"/>
        <v>0</v>
      </c>
      <c r="AA76" s="138">
        <f t="shared" si="46"/>
        <v>0</v>
      </c>
      <c r="AB76" s="138">
        <f t="shared" si="46"/>
        <v>0</v>
      </c>
      <c r="AC76" s="243"/>
      <c r="AE76" s="173">
        <v>3</v>
      </c>
      <c r="AF76" s="171" t="str">
        <f>IF(ISBLANK(STUD!C41)," ",STUD!C41)</f>
        <v xml:space="preserve"> </v>
      </c>
      <c r="AG76" s="183">
        <f t="shared" si="41"/>
        <v>0</v>
      </c>
      <c r="AH76" s="183">
        <f t="shared" si="42"/>
        <v>0</v>
      </c>
      <c r="AI76" s="182" t="str">
        <f t="shared" si="43"/>
        <v xml:space="preserve"> </v>
      </c>
      <c r="AJ76" s="182" t="str">
        <f>IF(AI76="","",IFERROR(IF(VLOOKUP(AI76,Programa!$G$3:$H$18,2,0)="","",VLOOKUP(AI76,Programa!$G$3:$H$18,2,0)),""))</f>
        <v/>
      </c>
      <c r="AK76" s="182" t="str">
        <f t="shared" si="44"/>
        <v xml:space="preserve"> </v>
      </c>
      <c r="AL76" s="182" t="str">
        <f>IF(AK76="","",IFERROR(IF(VLOOKUP(AK76,Programa!$G$19:$H$34,2,0)="","",VLOOKUP(AK76,Programa!$G$19:$H$34,2,0)),""))</f>
        <v/>
      </c>
      <c r="AM76" s="182" t="str">
        <f t="shared" si="45"/>
        <v xml:space="preserve"> </v>
      </c>
      <c r="AN76" s="182" t="str">
        <f>IF(AM76="","",IFERROR(IF(VLOOKUP(AM76,Programa!$G$35:$H$50,2,0)="","",VLOOKUP(AM76,Programa!$G$35:$H$50,2,0)),""))</f>
        <v/>
      </c>
    </row>
    <row r="77" spans="1:40" ht="15.75" customHeight="1" x14ac:dyDescent="0.4">
      <c r="A77" s="242">
        <f>+A75+1</f>
        <v>3</v>
      </c>
      <c r="B77" s="243">
        <f>STUD!C37</f>
        <v>0</v>
      </c>
      <c r="C77" s="244">
        <f>SUM(D78:AB78)</f>
        <v>8.1</v>
      </c>
      <c r="D77" s="135">
        <v>7</v>
      </c>
      <c r="E77" s="135">
        <v>5</v>
      </c>
      <c r="F77" s="135">
        <v>2</v>
      </c>
      <c r="G77" s="135">
        <v>5</v>
      </c>
      <c r="H77" s="135">
        <v>9</v>
      </c>
      <c r="I77" s="135">
        <v>7</v>
      </c>
      <c r="J77" s="135">
        <v>4</v>
      </c>
      <c r="K77" s="135">
        <v>3</v>
      </c>
      <c r="L77" s="135">
        <v>4</v>
      </c>
      <c r="M77" s="136"/>
      <c r="N77" s="135"/>
      <c r="O77" s="135"/>
      <c r="P77" s="135"/>
      <c r="Q77" s="135"/>
      <c r="R77" s="135"/>
      <c r="S77" s="135"/>
      <c r="T77" s="135"/>
      <c r="U77" s="135"/>
      <c r="V77" s="135"/>
      <c r="W77" s="135"/>
      <c r="X77" s="135"/>
      <c r="Y77" s="135"/>
      <c r="Z77" s="135"/>
      <c r="AA77" s="135"/>
      <c r="AB77" s="135"/>
      <c r="AC77" s="243">
        <f>SUM(D78:AB78)</f>
        <v>8.1</v>
      </c>
      <c r="AE77" s="174">
        <v>4</v>
      </c>
      <c r="AF77" s="171" t="str">
        <f>IF(ISBLANK(STUD!C38)," ",STUD!C38)</f>
        <v xml:space="preserve"> </v>
      </c>
      <c r="AG77" s="183">
        <f t="shared" si="41"/>
        <v>0</v>
      </c>
      <c r="AH77" s="183">
        <f t="shared" si="42"/>
        <v>0</v>
      </c>
      <c r="AI77" s="182" t="str">
        <f t="shared" si="43"/>
        <v xml:space="preserve"> </v>
      </c>
      <c r="AJ77" s="182" t="str">
        <f>IF(AI77="","",IFERROR(IF(VLOOKUP(AI77,Programa!$G$3:$H$18,2,0)="","",VLOOKUP(AI77,Programa!$G$3:$H$18,2,0)),""))</f>
        <v/>
      </c>
      <c r="AK77" s="182" t="str">
        <f t="shared" si="44"/>
        <v xml:space="preserve"> </v>
      </c>
      <c r="AL77" s="182" t="str">
        <f>IF(AK77="","",IFERROR(IF(VLOOKUP(AK77,Programa!$G$19:$H$34,2,0)="","",VLOOKUP(AK77,Programa!$G$19:$H$34,2,0)),""))</f>
        <v/>
      </c>
      <c r="AM77" s="182" t="str">
        <f t="shared" si="45"/>
        <v xml:space="preserve"> </v>
      </c>
      <c r="AN77" s="182" t="str">
        <f>IF(AM77="","",IFERROR(IF(VLOOKUP(AM77,Programa!$G$35:$H$50,2,0)="","",VLOOKUP(AM77,Programa!$G$35:$H$50,2,0)),""))</f>
        <v/>
      </c>
    </row>
    <row r="78" spans="1:40" ht="15.75" customHeight="1" x14ac:dyDescent="0.4">
      <c r="A78" s="242"/>
      <c r="B78" s="243"/>
      <c r="C78" s="245"/>
      <c r="D78" s="138">
        <f t="shared" ref="D78:AB78" si="47">IF(IFERROR(IF(VLOOKUP(D77,D$151:D$155,1,0)&gt;=1,D$150,0),D77)=D$132,D$136,IF(IFERROR(IF(VLOOKUP(D77,D$151:D$155,1,0)&gt;=1,D$150,0),D77)=D$139,D$142,IF(IFERROR(IF(VLOOKUP(D77,D$151:D$155,1,0)&gt;=1,D$150,0),D77)=D$145,D$147,0)))</f>
        <v>2.7</v>
      </c>
      <c r="E78" s="138">
        <f t="shared" si="47"/>
        <v>0</v>
      </c>
      <c r="F78" s="138">
        <f t="shared" si="47"/>
        <v>0</v>
      </c>
      <c r="G78" s="138">
        <f t="shared" si="47"/>
        <v>0</v>
      </c>
      <c r="H78" s="138">
        <f t="shared" si="47"/>
        <v>4</v>
      </c>
      <c r="I78" s="138">
        <f t="shared" si="47"/>
        <v>1.4</v>
      </c>
      <c r="J78" s="138">
        <f t="shared" si="47"/>
        <v>0</v>
      </c>
      <c r="K78" s="138">
        <f t="shared" si="47"/>
        <v>0</v>
      </c>
      <c r="L78" s="138">
        <f t="shared" si="47"/>
        <v>0</v>
      </c>
      <c r="M78" s="138">
        <f t="shared" si="47"/>
        <v>0</v>
      </c>
      <c r="N78" s="138">
        <f t="shared" si="47"/>
        <v>0</v>
      </c>
      <c r="O78" s="138">
        <f t="shared" si="47"/>
        <v>0</v>
      </c>
      <c r="P78" s="138">
        <f t="shared" si="47"/>
        <v>0</v>
      </c>
      <c r="Q78" s="138">
        <f t="shared" si="47"/>
        <v>0</v>
      </c>
      <c r="R78" s="138">
        <f t="shared" si="47"/>
        <v>0</v>
      </c>
      <c r="S78" s="138">
        <f t="shared" si="47"/>
        <v>0</v>
      </c>
      <c r="T78" s="138">
        <f t="shared" si="47"/>
        <v>0</v>
      </c>
      <c r="U78" s="138">
        <f t="shared" si="47"/>
        <v>0</v>
      </c>
      <c r="V78" s="138">
        <f t="shared" si="47"/>
        <v>0</v>
      </c>
      <c r="W78" s="138">
        <f t="shared" si="47"/>
        <v>0</v>
      </c>
      <c r="X78" s="138">
        <f t="shared" si="47"/>
        <v>0</v>
      </c>
      <c r="Y78" s="138">
        <f t="shared" si="47"/>
        <v>0</v>
      </c>
      <c r="Z78" s="138">
        <f t="shared" si="47"/>
        <v>0</v>
      </c>
      <c r="AA78" s="138">
        <f t="shared" si="47"/>
        <v>0</v>
      </c>
      <c r="AB78" s="138">
        <f t="shared" si="47"/>
        <v>0</v>
      </c>
      <c r="AC78" s="243"/>
      <c r="AE78" s="175">
        <v>5</v>
      </c>
      <c r="AF78" s="171" t="str">
        <f>IF(ISBLANK(STUD!C42)," ",STUD!C42)</f>
        <v xml:space="preserve"> </v>
      </c>
      <c r="AG78" s="183">
        <f t="shared" si="41"/>
        <v>0</v>
      </c>
      <c r="AH78" s="183">
        <f t="shared" si="42"/>
        <v>0</v>
      </c>
      <c r="AI78" s="182" t="str">
        <f t="shared" si="43"/>
        <v xml:space="preserve"> </v>
      </c>
      <c r="AJ78" s="182" t="str">
        <f>IF(AI78="","",IFERROR(IF(VLOOKUP(AI78,Programa!$G$3:$H$18,2,0)="","",VLOOKUP(AI78,Programa!$G$3:$H$18,2,0)),""))</f>
        <v/>
      </c>
      <c r="AK78" s="182" t="str">
        <f t="shared" si="44"/>
        <v xml:space="preserve"> </v>
      </c>
      <c r="AL78" s="182" t="str">
        <f>IF(AK78="","",IFERROR(IF(VLOOKUP(AK78,Programa!$G$19:$H$34,2,0)="","",VLOOKUP(AK78,Programa!$G$19:$H$34,2,0)),""))</f>
        <v/>
      </c>
      <c r="AM78" s="182" t="str">
        <f t="shared" si="45"/>
        <v xml:space="preserve"> </v>
      </c>
      <c r="AN78" s="182" t="str">
        <f>IF(AM78="","",IFERROR(IF(VLOOKUP(AM78,Programa!$G$35:$H$50,2,0)="","",VLOOKUP(AM78,Programa!$G$35:$H$50,2,0)),""))</f>
        <v/>
      </c>
    </row>
    <row r="79" spans="1:40" ht="15.75" customHeight="1" x14ac:dyDescent="0.4">
      <c r="A79" s="242">
        <f>+A77+1</f>
        <v>4</v>
      </c>
      <c r="B79" s="243">
        <f>STUD!C38</f>
        <v>0</v>
      </c>
      <c r="C79" s="244">
        <f>SUM(D80:AB80)</f>
        <v>35.900000000000006</v>
      </c>
      <c r="D79" s="14">
        <v>10</v>
      </c>
      <c r="E79" s="14">
        <v>5</v>
      </c>
      <c r="F79" s="14">
        <v>2</v>
      </c>
      <c r="G79" s="14">
        <v>3</v>
      </c>
      <c r="H79" s="14">
        <v>7</v>
      </c>
      <c r="I79" s="14">
        <v>2</v>
      </c>
      <c r="J79" s="14">
        <v>10</v>
      </c>
      <c r="K79" s="14">
        <v>11</v>
      </c>
      <c r="L79" s="14">
        <v>3</v>
      </c>
      <c r="M79" s="14"/>
      <c r="N79" s="14"/>
      <c r="O79" s="139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243">
        <f>SUM(D80:AB80)</f>
        <v>35.900000000000006</v>
      </c>
      <c r="AE79" s="176">
        <v>6</v>
      </c>
      <c r="AF79" s="171" t="str">
        <f>IF(ISBLANK(STUD!C35)," ",STUD!C35)</f>
        <v xml:space="preserve"> </v>
      </c>
      <c r="AG79" s="183">
        <f t="shared" si="41"/>
        <v>0</v>
      </c>
      <c r="AH79" s="183">
        <f t="shared" si="42"/>
        <v>0</v>
      </c>
      <c r="AI79" s="182" t="str">
        <f t="shared" si="43"/>
        <v xml:space="preserve"> </v>
      </c>
      <c r="AJ79" s="182" t="str">
        <f>IF(AI79="","",IFERROR(IF(VLOOKUP(AI79,Programa!$G$3:$H$18,2,0)="","",VLOOKUP(AI79,Programa!$G$3:$H$18,2,0)),""))</f>
        <v/>
      </c>
      <c r="AK79" s="182" t="str">
        <f t="shared" si="44"/>
        <v xml:space="preserve"> </v>
      </c>
      <c r="AL79" s="182" t="str">
        <f>IF(AK79="","",IFERROR(IF(VLOOKUP(AK79,Programa!$G$19:$H$34,2,0)="","",VLOOKUP(AK79,Programa!$G$19:$H$34,2,0)),""))</f>
        <v/>
      </c>
      <c r="AM79" s="182" t="str">
        <f t="shared" si="45"/>
        <v xml:space="preserve"> </v>
      </c>
      <c r="AN79" s="182" t="str">
        <f>IF(AM79="","",IFERROR(IF(VLOOKUP(AM79,Programa!$G$35:$H$50,2,0)="","",VLOOKUP(AM79,Programa!$G$35:$H$50,2,0)),""))</f>
        <v/>
      </c>
    </row>
    <row r="80" spans="1:40" ht="15.75" customHeight="1" x14ac:dyDescent="0.4">
      <c r="A80" s="242"/>
      <c r="B80" s="243"/>
      <c r="C80" s="245"/>
      <c r="D80" s="138">
        <f t="shared" ref="D80:AB80" si="48">IF(IFERROR(IF(VLOOKUP(D79,D$151:D$155,1,0)&gt;=1,D$150,0),D79)=D$132,D$136,IF(IFERROR(IF(VLOOKUP(D79,D$151:D$155,1,0)&gt;=1,D$150,0),D79)=D$139,D$142,IF(IFERROR(IF(VLOOKUP(D79,D$151:D$155,1,0)&gt;=1,D$150,0),D79)=D$145,D$147,0)))</f>
        <v>6.1</v>
      </c>
      <c r="E80" s="138">
        <f t="shared" si="48"/>
        <v>0</v>
      </c>
      <c r="F80" s="138">
        <f t="shared" si="48"/>
        <v>0</v>
      </c>
      <c r="G80" s="138">
        <f t="shared" si="48"/>
        <v>16</v>
      </c>
      <c r="H80" s="138">
        <f t="shared" si="48"/>
        <v>1</v>
      </c>
      <c r="I80" s="138">
        <f t="shared" si="48"/>
        <v>4.5999999999999996</v>
      </c>
      <c r="J80" s="138">
        <f t="shared" si="48"/>
        <v>0</v>
      </c>
      <c r="K80" s="138">
        <f t="shared" si="48"/>
        <v>0</v>
      </c>
      <c r="L80" s="138">
        <f t="shared" si="48"/>
        <v>8.1999999999999993</v>
      </c>
      <c r="M80" s="138">
        <f t="shared" si="48"/>
        <v>0</v>
      </c>
      <c r="N80" s="138">
        <f t="shared" si="48"/>
        <v>0</v>
      </c>
      <c r="O80" s="138">
        <f t="shared" si="48"/>
        <v>0</v>
      </c>
      <c r="P80" s="138">
        <f t="shared" si="48"/>
        <v>0</v>
      </c>
      <c r="Q80" s="138">
        <f t="shared" si="48"/>
        <v>0</v>
      </c>
      <c r="R80" s="138">
        <f t="shared" si="48"/>
        <v>0</v>
      </c>
      <c r="S80" s="138">
        <f t="shared" si="48"/>
        <v>0</v>
      </c>
      <c r="T80" s="138">
        <f t="shared" si="48"/>
        <v>0</v>
      </c>
      <c r="U80" s="138">
        <f t="shared" si="48"/>
        <v>0</v>
      </c>
      <c r="V80" s="138">
        <f t="shared" si="48"/>
        <v>0</v>
      </c>
      <c r="W80" s="138">
        <f t="shared" si="48"/>
        <v>0</v>
      </c>
      <c r="X80" s="138">
        <f t="shared" si="48"/>
        <v>0</v>
      </c>
      <c r="Y80" s="138">
        <f t="shared" si="48"/>
        <v>0</v>
      </c>
      <c r="Z80" s="138">
        <f t="shared" si="48"/>
        <v>0</v>
      </c>
      <c r="AA80" s="138">
        <f t="shared" si="48"/>
        <v>0</v>
      </c>
      <c r="AB80" s="138">
        <f t="shared" si="48"/>
        <v>0</v>
      </c>
      <c r="AC80" s="243"/>
      <c r="AE80" s="177">
        <v>7</v>
      </c>
      <c r="AF80" s="171" t="str">
        <f>IF(ISBLANK(STUD!C36)," ",STUD!C36)</f>
        <v xml:space="preserve"> </v>
      </c>
      <c r="AG80" s="183">
        <f t="shared" si="41"/>
        <v>0</v>
      </c>
      <c r="AH80" s="183">
        <f t="shared" si="42"/>
        <v>0</v>
      </c>
      <c r="AI80" s="182" t="str">
        <f t="shared" si="43"/>
        <v xml:space="preserve"> </v>
      </c>
      <c r="AJ80" s="182" t="str">
        <f>IF(AI80="","",IFERROR(IF(VLOOKUP(AI80,Programa!$G$3:$H$18,2,0)="","",VLOOKUP(AI80,Programa!$G$3:$H$18,2,0)),""))</f>
        <v/>
      </c>
      <c r="AK80" s="182" t="str">
        <f t="shared" si="44"/>
        <v xml:space="preserve"> </v>
      </c>
      <c r="AL80" s="182" t="str">
        <f>IF(AK80="","",IFERROR(IF(VLOOKUP(AK80,Programa!$G$19:$H$34,2,0)="","",VLOOKUP(AK80,Programa!$G$19:$H$34,2,0)),""))</f>
        <v/>
      </c>
      <c r="AM80" s="182" t="str">
        <f t="shared" si="45"/>
        <v xml:space="preserve"> </v>
      </c>
      <c r="AN80" s="182" t="str">
        <f>IF(AM80="","",IFERROR(IF(VLOOKUP(AM80,Programa!$G$35:$H$50,2,0)="","",VLOOKUP(AM80,Programa!$G$35:$H$50,2,0)),""))</f>
        <v/>
      </c>
    </row>
    <row r="81" spans="1:40" ht="15.75" customHeight="1" x14ac:dyDescent="0.4">
      <c r="A81" s="242">
        <f t="shared" ref="A81:A127" si="49">+A79+1</f>
        <v>5</v>
      </c>
      <c r="B81" s="243">
        <f>STUD!C39</f>
        <v>0</v>
      </c>
      <c r="C81" s="244">
        <f>SUM(D82:AB82)</f>
        <v>46.3</v>
      </c>
      <c r="D81" s="135">
        <v>12</v>
      </c>
      <c r="E81" s="135">
        <v>7</v>
      </c>
      <c r="F81" s="135">
        <v>2</v>
      </c>
      <c r="G81" s="135">
        <v>6</v>
      </c>
      <c r="H81" s="135">
        <v>2</v>
      </c>
      <c r="I81" s="135">
        <v>2</v>
      </c>
      <c r="J81" s="135">
        <v>4</v>
      </c>
      <c r="K81" s="135">
        <v>6</v>
      </c>
      <c r="L81" s="135">
        <v>7</v>
      </c>
      <c r="M81" s="135"/>
      <c r="N81" s="135"/>
      <c r="O81" s="136"/>
      <c r="P81" s="135"/>
      <c r="Q81" s="135"/>
      <c r="R81" s="135"/>
      <c r="S81" s="135"/>
      <c r="T81" s="135"/>
      <c r="U81" s="135"/>
      <c r="V81" s="135"/>
      <c r="W81" s="135"/>
      <c r="X81" s="135"/>
      <c r="Y81" s="135"/>
      <c r="Z81" s="135"/>
      <c r="AA81" s="135"/>
      <c r="AB81" s="135"/>
      <c r="AC81" s="243">
        <f>SUM(D82:AB82)</f>
        <v>46.3</v>
      </c>
      <c r="AE81" s="178">
        <v>8</v>
      </c>
      <c r="AF81" s="171" t="str">
        <f>IF(ISBLANK(STUD!C37)," ",STUD!C37)</f>
        <v xml:space="preserve"> </v>
      </c>
      <c r="AG81" s="183">
        <f t="shared" si="41"/>
        <v>0</v>
      </c>
      <c r="AH81" s="183">
        <f t="shared" si="42"/>
        <v>0</v>
      </c>
      <c r="AI81" s="182" t="str">
        <f t="shared" si="43"/>
        <v xml:space="preserve"> </v>
      </c>
      <c r="AJ81" s="182" t="str">
        <f>IF(AI81="","",IFERROR(IF(VLOOKUP(AI81,Programa!$G$3:$H$18,2,0)="","",VLOOKUP(AI81,Programa!$G$3:$H$18,2,0)),""))</f>
        <v/>
      </c>
      <c r="AK81" s="182" t="str">
        <f t="shared" si="44"/>
        <v xml:space="preserve"> </v>
      </c>
      <c r="AL81" s="182" t="str">
        <f>IF(AK81="","",IFERROR(IF(VLOOKUP(AK81,Programa!$G$19:$H$34,2,0)="","",VLOOKUP(AK81,Programa!$G$19:$H$34,2,0)),""))</f>
        <v/>
      </c>
      <c r="AM81" s="182" t="str">
        <f t="shared" si="45"/>
        <v xml:space="preserve"> </v>
      </c>
      <c r="AN81" s="182" t="str">
        <f>IF(AM81="","",IFERROR(IF(VLOOKUP(AM81,Programa!$G$35:$H$50,2,0)="","",VLOOKUP(AM81,Programa!$G$35:$H$50,2,0)),""))</f>
        <v/>
      </c>
    </row>
    <row r="82" spans="1:40" ht="15.75" customHeight="1" x14ac:dyDescent="0.4">
      <c r="A82" s="242"/>
      <c r="B82" s="243"/>
      <c r="C82" s="245"/>
      <c r="D82" s="138">
        <f t="shared" ref="D82:AB82" si="50">IF(IFERROR(IF(VLOOKUP(D81,D$151:D$155,1,0)&gt;=1,D$150,0),D81)=D$132,D$136,IF(IFERROR(IF(VLOOKUP(D81,D$151:D$155,1,0)&gt;=1,D$150,0),D81)=D$139,D$142,IF(IFERROR(IF(VLOOKUP(D81,D$151:D$155,1,0)&gt;=1,D$150,0),D81)=D$145,D$147,0)))</f>
        <v>0</v>
      </c>
      <c r="E82" s="138">
        <f t="shared" si="50"/>
        <v>3.3</v>
      </c>
      <c r="F82" s="138">
        <f t="shared" si="50"/>
        <v>0</v>
      </c>
      <c r="G82" s="138">
        <f t="shared" si="50"/>
        <v>4.8</v>
      </c>
      <c r="H82" s="138">
        <f t="shared" si="50"/>
        <v>0</v>
      </c>
      <c r="I82" s="138">
        <f t="shared" si="50"/>
        <v>4.5999999999999996</v>
      </c>
      <c r="J82" s="138">
        <f t="shared" si="50"/>
        <v>0</v>
      </c>
      <c r="K82" s="138">
        <f t="shared" si="50"/>
        <v>0</v>
      </c>
      <c r="L82" s="138">
        <f t="shared" si="50"/>
        <v>33.6</v>
      </c>
      <c r="M82" s="138">
        <f t="shared" si="50"/>
        <v>0</v>
      </c>
      <c r="N82" s="138">
        <f t="shared" si="50"/>
        <v>0</v>
      </c>
      <c r="O82" s="138">
        <f t="shared" si="50"/>
        <v>0</v>
      </c>
      <c r="P82" s="138">
        <f t="shared" si="50"/>
        <v>0</v>
      </c>
      <c r="Q82" s="138">
        <f t="shared" si="50"/>
        <v>0</v>
      </c>
      <c r="R82" s="138">
        <f t="shared" si="50"/>
        <v>0</v>
      </c>
      <c r="S82" s="138">
        <f t="shared" si="50"/>
        <v>0</v>
      </c>
      <c r="T82" s="138">
        <f t="shared" si="50"/>
        <v>0</v>
      </c>
      <c r="U82" s="138">
        <f t="shared" si="50"/>
        <v>0</v>
      </c>
      <c r="V82" s="138">
        <f t="shared" si="50"/>
        <v>0</v>
      </c>
      <c r="W82" s="138">
        <f t="shared" si="50"/>
        <v>0</v>
      </c>
      <c r="X82" s="138">
        <f t="shared" si="50"/>
        <v>0</v>
      </c>
      <c r="Y82" s="138">
        <f t="shared" si="50"/>
        <v>0</v>
      </c>
      <c r="Z82" s="138">
        <f t="shared" si="50"/>
        <v>0</v>
      </c>
      <c r="AA82" s="138">
        <f t="shared" si="50"/>
        <v>0</v>
      </c>
      <c r="AB82" s="138">
        <f t="shared" si="50"/>
        <v>0</v>
      </c>
      <c r="AC82" s="243"/>
      <c r="AE82" s="179">
        <v>9</v>
      </c>
      <c r="AF82" s="171" t="str">
        <f>IF(ISBLANK(STUD!C43)," ",STUD!C43)</f>
        <v xml:space="preserve"> </v>
      </c>
      <c r="AG82" s="183">
        <f t="shared" si="41"/>
        <v>0</v>
      </c>
      <c r="AH82" s="183">
        <f t="shared" si="42"/>
        <v>0</v>
      </c>
      <c r="AI82" s="182" t="str">
        <f t="shared" si="43"/>
        <v xml:space="preserve"> </v>
      </c>
      <c r="AJ82" s="182" t="str">
        <f>IF(AI82="","",IFERROR(IF(VLOOKUP(AI82,Programa!$G$3:$H$18,2,0)="","",VLOOKUP(AI82,Programa!$G$3:$H$18,2,0)),""))</f>
        <v/>
      </c>
      <c r="AK82" s="182" t="str">
        <f t="shared" si="44"/>
        <v xml:space="preserve"> </v>
      </c>
      <c r="AL82" s="182" t="str">
        <f>IF(AK82="","",IFERROR(IF(VLOOKUP(AK82,Programa!$G$19:$H$34,2,0)="","",VLOOKUP(AK82,Programa!$G$19:$H$34,2,0)),""))</f>
        <v/>
      </c>
      <c r="AM82" s="182" t="str">
        <f t="shared" si="45"/>
        <v xml:space="preserve"> </v>
      </c>
      <c r="AN82" s="182" t="str">
        <f>IF(AM82="","",IFERROR(IF(VLOOKUP(AM82,Programa!$G$35:$H$50,2,0)="","",VLOOKUP(AM82,Programa!$G$35:$H$50,2,0)),""))</f>
        <v/>
      </c>
    </row>
    <row r="83" spans="1:40" ht="15.75" customHeight="1" x14ac:dyDescent="0.4">
      <c r="A83" s="242">
        <f t="shared" si="49"/>
        <v>6</v>
      </c>
      <c r="B83" s="243">
        <f>STUD!C40</f>
        <v>0</v>
      </c>
      <c r="C83" s="244">
        <f>SUM(D84:AB84)</f>
        <v>59.9</v>
      </c>
      <c r="D83" s="135">
        <v>7</v>
      </c>
      <c r="E83" s="135">
        <v>5</v>
      </c>
      <c r="F83" s="135">
        <v>3</v>
      </c>
      <c r="G83" s="135">
        <v>3</v>
      </c>
      <c r="H83" s="135">
        <v>8</v>
      </c>
      <c r="I83" s="135">
        <v>2</v>
      </c>
      <c r="J83" s="135">
        <v>3</v>
      </c>
      <c r="K83" s="135">
        <v>11</v>
      </c>
      <c r="L83" s="135">
        <v>7</v>
      </c>
      <c r="M83" s="135"/>
      <c r="N83" s="135"/>
      <c r="O83" s="136"/>
      <c r="P83" s="135"/>
      <c r="Q83" s="135"/>
      <c r="R83" s="135"/>
      <c r="S83" s="135"/>
      <c r="T83" s="135"/>
      <c r="U83" s="135"/>
      <c r="V83" s="135"/>
      <c r="W83" s="135"/>
      <c r="X83" s="135"/>
      <c r="Y83" s="135"/>
      <c r="Z83" s="135"/>
      <c r="AA83" s="135"/>
      <c r="AB83" s="135"/>
      <c r="AC83" s="243">
        <f>SUM(D84:AB84)</f>
        <v>59.9</v>
      </c>
      <c r="AE83" s="180">
        <v>10</v>
      </c>
      <c r="AF83" s="171" t="str">
        <f>IF(ISBLANK(STUD!C44)," ",STUD!C44)</f>
        <v xml:space="preserve"> </v>
      </c>
      <c r="AG83" s="183">
        <f t="shared" si="41"/>
        <v>0</v>
      </c>
      <c r="AH83" s="183">
        <f t="shared" si="42"/>
        <v>0</v>
      </c>
      <c r="AI83" s="182" t="str">
        <f t="shared" si="43"/>
        <v xml:space="preserve"> </v>
      </c>
      <c r="AJ83" s="182" t="str">
        <f>IF(AI83="","",IFERROR(IF(VLOOKUP(AI83,Programa!$G$3:$H$18,2,0)="","",VLOOKUP(AI83,Programa!$G$3:$H$18,2,0)),""))</f>
        <v/>
      </c>
      <c r="AK83" s="182" t="str">
        <f t="shared" si="44"/>
        <v xml:space="preserve"> </v>
      </c>
      <c r="AL83" s="182" t="str">
        <f>IF(AK83="","",IFERROR(IF(VLOOKUP(AK83,Programa!$G$19:$H$34,2,0)="","",VLOOKUP(AK83,Programa!$G$19:$H$34,2,0)),""))</f>
        <v/>
      </c>
      <c r="AM83" s="182" t="str">
        <f t="shared" si="45"/>
        <v xml:space="preserve"> </v>
      </c>
      <c r="AN83" s="182" t="str">
        <f>IF(AM83="","",IFERROR(IF(VLOOKUP(AM83,Programa!$G$35:$H$50,2,0)="","",VLOOKUP(AM83,Programa!$G$35:$H$50,2,0)),""))</f>
        <v/>
      </c>
    </row>
    <row r="84" spans="1:40" ht="15.75" customHeight="1" x14ac:dyDescent="0.6">
      <c r="A84" s="242"/>
      <c r="B84" s="243"/>
      <c r="C84" s="245"/>
      <c r="D84" s="138">
        <f t="shared" ref="D84:AB84" si="51">IF(IFERROR(IF(VLOOKUP(D83,D$151:D$155,1,0)&gt;=1,D$150,0),D83)=D$132,D$136,IF(IFERROR(IF(VLOOKUP(D83,D$151:D$155,1,0)&gt;=1,D$150,0),D83)=D$139,D$142,IF(IFERROR(IF(VLOOKUP(D83,D$151:D$155,1,0)&gt;=1,D$150,0),D83)=D$145,D$147,0)))</f>
        <v>2.7</v>
      </c>
      <c r="E84" s="138">
        <f t="shared" si="51"/>
        <v>0</v>
      </c>
      <c r="F84" s="138">
        <f t="shared" si="51"/>
        <v>0</v>
      </c>
      <c r="G84" s="138">
        <f t="shared" si="51"/>
        <v>16</v>
      </c>
      <c r="H84" s="138">
        <f t="shared" si="51"/>
        <v>3</v>
      </c>
      <c r="I84" s="138">
        <f t="shared" si="51"/>
        <v>4.5999999999999996</v>
      </c>
      <c r="J84" s="138">
        <f t="shared" si="51"/>
        <v>0</v>
      </c>
      <c r="K84" s="138">
        <f t="shared" si="51"/>
        <v>0</v>
      </c>
      <c r="L84" s="138">
        <f t="shared" si="51"/>
        <v>33.6</v>
      </c>
      <c r="M84" s="138">
        <f t="shared" si="51"/>
        <v>0</v>
      </c>
      <c r="N84" s="138">
        <f t="shared" si="51"/>
        <v>0</v>
      </c>
      <c r="O84" s="138">
        <f t="shared" si="51"/>
        <v>0</v>
      </c>
      <c r="P84" s="138">
        <f t="shared" si="51"/>
        <v>0</v>
      </c>
      <c r="Q84" s="138">
        <f t="shared" si="51"/>
        <v>0</v>
      </c>
      <c r="R84" s="138">
        <f t="shared" si="51"/>
        <v>0</v>
      </c>
      <c r="S84" s="138">
        <f t="shared" si="51"/>
        <v>0</v>
      </c>
      <c r="T84" s="138">
        <f t="shared" si="51"/>
        <v>0</v>
      </c>
      <c r="U84" s="138">
        <f t="shared" si="51"/>
        <v>0</v>
      </c>
      <c r="V84" s="138">
        <f t="shared" si="51"/>
        <v>0</v>
      </c>
      <c r="W84" s="138">
        <f t="shared" si="51"/>
        <v>0</v>
      </c>
      <c r="X84" s="138">
        <f t="shared" si="51"/>
        <v>0</v>
      </c>
      <c r="Y84" s="138">
        <f t="shared" si="51"/>
        <v>0</v>
      </c>
      <c r="Z84" s="138">
        <f t="shared" si="51"/>
        <v>0</v>
      </c>
      <c r="AA84" s="138">
        <f t="shared" si="51"/>
        <v>0</v>
      </c>
      <c r="AB84" s="138">
        <f t="shared" si="51"/>
        <v>0</v>
      </c>
      <c r="AC84" s="243"/>
      <c r="AE84" s="196">
        <v>11</v>
      </c>
      <c r="AF84" s="171" t="str">
        <f>IF(ISBLANK(STUD!C45)," ",STUD!C45)</f>
        <v xml:space="preserve"> </v>
      </c>
      <c r="AG84" s="184">
        <f t="shared" si="41"/>
        <v>0</v>
      </c>
      <c r="AH84" s="184">
        <f t="shared" si="42"/>
        <v>0</v>
      </c>
      <c r="AI84" s="182" t="str">
        <f t="shared" si="43"/>
        <v xml:space="preserve"> </v>
      </c>
      <c r="AJ84" s="182" t="str">
        <f>IF(AI84="","",IFERROR(IF(VLOOKUP(AI84,Programa!$G$3:$H$18,2,0)="","",VLOOKUP(AI84,Programa!$G$3:$H$18,2,0)),""))</f>
        <v/>
      </c>
      <c r="AK84" s="182" t="str">
        <f t="shared" si="44"/>
        <v xml:space="preserve"> </v>
      </c>
      <c r="AL84" s="182" t="str">
        <f>IF(AK84="","",IFERROR(IF(VLOOKUP(AK84,Programa!$G$19:$H$34,2,0)="","",VLOOKUP(AK84,Programa!$G$19:$H$34,2,0)),""))</f>
        <v/>
      </c>
      <c r="AM84" s="182" t="str">
        <f t="shared" si="45"/>
        <v xml:space="preserve"> </v>
      </c>
      <c r="AN84" s="182" t="str">
        <f>IF(AM84="","",IFERROR(IF(VLOOKUP(AM84,Programa!$G$35:$H$50,2,0)="","",VLOOKUP(AM84,Programa!$G$35:$H$50,2,0)),""))</f>
        <v/>
      </c>
    </row>
    <row r="85" spans="1:40" ht="15.75" customHeight="1" x14ac:dyDescent="0.6">
      <c r="A85" s="242">
        <f t="shared" si="49"/>
        <v>7</v>
      </c>
      <c r="B85" s="243">
        <f>STUD!C41</f>
        <v>0</v>
      </c>
      <c r="C85" s="244">
        <f>SUM(D86:AB86)</f>
        <v>46.3</v>
      </c>
      <c r="D85" s="136">
        <v>10</v>
      </c>
      <c r="E85" s="136">
        <v>7</v>
      </c>
      <c r="F85" s="136">
        <v>2</v>
      </c>
      <c r="G85" s="136">
        <v>10</v>
      </c>
      <c r="H85" s="136">
        <v>7</v>
      </c>
      <c r="I85" s="136">
        <v>9</v>
      </c>
      <c r="J85" s="136">
        <v>10</v>
      </c>
      <c r="K85" s="136">
        <v>10</v>
      </c>
      <c r="L85" s="136">
        <v>3</v>
      </c>
      <c r="M85" s="136"/>
      <c r="N85" s="135"/>
      <c r="O85" s="135"/>
      <c r="P85" s="135"/>
      <c r="Q85" s="135"/>
      <c r="R85" s="135"/>
      <c r="S85" s="135"/>
      <c r="T85" s="135"/>
      <c r="U85" s="135"/>
      <c r="V85" s="135"/>
      <c r="W85" s="135"/>
      <c r="X85" s="135"/>
      <c r="Y85" s="135"/>
      <c r="Z85" s="135"/>
      <c r="AA85" s="135"/>
      <c r="AB85" s="135"/>
      <c r="AC85" s="243">
        <f>SUM(D86:AB86)</f>
        <v>46.3</v>
      </c>
      <c r="AE85" s="197">
        <v>12</v>
      </c>
      <c r="AF85" s="171" t="str">
        <f>IF(ISBLANK(STUD!C46)," ",STUD!C46)</f>
        <v xml:space="preserve"> </v>
      </c>
      <c r="AG85" s="184">
        <f t="shared" si="41"/>
        <v>0</v>
      </c>
      <c r="AH85" s="184">
        <f t="shared" si="42"/>
        <v>0</v>
      </c>
      <c r="AI85" s="182" t="str">
        <f t="shared" si="43"/>
        <v xml:space="preserve"> </v>
      </c>
      <c r="AJ85" s="182" t="str">
        <f>IF(AI85="","",IFERROR(IF(VLOOKUP(AI85,Programa!$G$3:$H$18,2,0)="","",VLOOKUP(AI85,Programa!$G$3:$H$18,2,0)),""))</f>
        <v/>
      </c>
      <c r="AK85" s="182" t="str">
        <f t="shared" si="44"/>
        <v xml:space="preserve"> </v>
      </c>
      <c r="AL85" s="182" t="str">
        <f>IF(AK85="","",IFERROR(IF(VLOOKUP(AK85,Programa!$G$19:$H$34,2,0)="","",VLOOKUP(AK85,Programa!$G$19:$H$34,2,0)),""))</f>
        <v/>
      </c>
      <c r="AM85" s="182" t="str">
        <f t="shared" si="45"/>
        <v xml:space="preserve"> </v>
      </c>
      <c r="AN85" s="182" t="str">
        <f>IF(AM85="","",IFERROR(IF(VLOOKUP(AM85,Programa!$G$35:$H$50,2,0)="","",VLOOKUP(AM85,Programa!$G$35:$H$50,2,0)),""))</f>
        <v/>
      </c>
    </row>
    <row r="86" spans="1:40" ht="15.75" customHeight="1" x14ac:dyDescent="0.6">
      <c r="A86" s="242"/>
      <c r="B86" s="243"/>
      <c r="C86" s="245"/>
      <c r="D86" s="138">
        <f t="shared" ref="D86:AB86" si="52">IF(IFERROR(IF(VLOOKUP(D85,D$151:D$155,1,0)&gt;=1,D$150,0),D85)=D$132,D$136,IF(IFERROR(IF(VLOOKUP(D85,D$151:D$155,1,0)&gt;=1,D$150,0),D85)=D$139,D$142,IF(IFERROR(IF(VLOOKUP(D85,D$151:D$155,1,0)&gt;=1,D$150,0),D85)=D$145,D$147,0)))</f>
        <v>6.1</v>
      </c>
      <c r="E86" s="138">
        <f t="shared" si="52"/>
        <v>3.3</v>
      </c>
      <c r="F86" s="138">
        <f t="shared" si="52"/>
        <v>0</v>
      </c>
      <c r="G86" s="138">
        <f t="shared" si="52"/>
        <v>0</v>
      </c>
      <c r="H86" s="138">
        <f t="shared" si="52"/>
        <v>1</v>
      </c>
      <c r="I86" s="138">
        <f t="shared" si="52"/>
        <v>0</v>
      </c>
      <c r="J86" s="138">
        <f t="shared" si="52"/>
        <v>0</v>
      </c>
      <c r="K86" s="138">
        <f t="shared" si="52"/>
        <v>27.700000000000003</v>
      </c>
      <c r="L86" s="138">
        <f t="shared" si="52"/>
        <v>8.1999999999999993</v>
      </c>
      <c r="M86" s="138">
        <f t="shared" si="52"/>
        <v>0</v>
      </c>
      <c r="N86" s="138">
        <f t="shared" si="52"/>
        <v>0</v>
      </c>
      <c r="O86" s="138">
        <f t="shared" si="52"/>
        <v>0</v>
      </c>
      <c r="P86" s="138">
        <f t="shared" si="52"/>
        <v>0</v>
      </c>
      <c r="Q86" s="138">
        <f t="shared" si="52"/>
        <v>0</v>
      </c>
      <c r="R86" s="138">
        <f t="shared" si="52"/>
        <v>0</v>
      </c>
      <c r="S86" s="138">
        <f t="shared" si="52"/>
        <v>0</v>
      </c>
      <c r="T86" s="138">
        <f t="shared" si="52"/>
        <v>0</v>
      </c>
      <c r="U86" s="138">
        <f t="shared" si="52"/>
        <v>0</v>
      </c>
      <c r="V86" s="138">
        <f t="shared" si="52"/>
        <v>0</v>
      </c>
      <c r="W86" s="138">
        <f t="shared" si="52"/>
        <v>0</v>
      </c>
      <c r="X86" s="138">
        <f t="shared" si="52"/>
        <v>0</v>
      </c>
      <c r="Y86" s="138">
        <f t="shared" si="52"/>
        <v>0</v>
      </c>
      <c r="Z86" s="138">
        <f t="shared" si="52"/>
        <v>0</v>
      </c>
      <c r="AA86" s="138">
        <f t="shared" si="52"/>
        <v>0</v>
      </c>
      <c r="AB86" s="138">
        <f t="shared" si="52"/>
        <v>0</v>
      </c>
      <c r="AC86" s="243"/>
      <c r="AE86" s="198">
        <v>13</v>
      </c>
      <c r="AF86" s="171" t="str">
        <f>IF(ISBLANK(STUD!C48)," ",STUD!C48)</f>
        <v xml:space="preserve"> </v>
      </c>
      <c r="AG86" s="184">
        <f t="shared" si="41"/>
        <v>0</v>
      </c>
      <c r="AH86" s="184">
        <f t="shared" si="42"/>
        <v>0</v>
      </c>
      <c r="AI86" s="182" t="str">
        <f t="shared" si="43"/>
        <v xml:space="preserve"> </v>
      </c>
      <c r="AJ86" s="182" t="str">
        <f>IF(AI86="","",IFERROR(IF(VLOOKUP(AI86,Programa!$G$3:$H$18,2,0)="","",VLOOKUP(AI86,Programa!$G$3:$H$18,2,0)),""))</f>
        <v/>
      </c>
      <c r="AK86" s="182" t="str">
        <f t="shared" si="44"/>
        <v xml:space="preserve"> </v>
      </c>
      <c r="AL86" s="182" t="str">
        <f>IF(AK86="","",IFERROR(IF(VLOOKUP(AK86,Programa!$G$19:$H$34,2,0)="","",VLOOKUP(AK86,Programa!$G$19:$H$34,2,0)),""))</f>
        <v/>
      </c>
      <c r="AM86" s="182" t="str">
        <f t="shared" si="45"/>
        <v xml:space="preserve"> </v>
      </c>
      <c r="AN86" s="182" t="str">
        <f>IF(AM86="","",IFERROR(IF(VLOOKUP(AM86,Programa!$G$35:$H$50,2,0)="","",VLOOKUP(AM86,Programa!$G$35:$H$50,2,0)),""))</f>
        <v/>
      </c>
    </row>
    <row r="87" spans="1:40" ht="15.75" customHeight="1" x14ac:dyDescent="0.6">
      <c r="A87" s="242">
        <f t="shared" si="49"/>
        <v>8</v>
      </c>
      <c r="B87" s="243">
        <f>STUD!C42</f>
        <v>0</v>
      </c>
      <c r="C87" s="244">
        <f>SUM(D88:AB88)</f>
        <v>29.400000000000002</v>
      </c>
      <c r="D87" s="136">
        <v>2</v>
      </c>
      <c r="E87" s="136">
        <v>2</v>
      </c>
      <c r="F87" s="136">
        <v>2</v>
      </c>
      <c r="G87" s="136">
        <v>3</v>
      </c>
      <c r="H87" s="136">
        <v>9</v>
      </c>
      <c r="I87" s="136">
        <v>2</v>
      </c>
      <c r="J87" s="136">
        <v>7</v>
      </c>
      <c r="K87" s="136">
        <v>5</v>
      </c>
      <c r="L87" s="136">
        <v>10</v>
      </c>
      <c r="M87" s="137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243">
        <f>SUM(D88:AB88)</f>
        <v>29.400000000000002</v>
      </c>
      <c r="AE87" s="199">
        <v>14</v>
      </c>
      <c r="AF87" s="171" t="str">
        <f>IF(ISBLANK(STUD!C49)," ",STUD!C49)</f>
        <v xml:space="preserve"> </v>
      </c>
      <c r="AG87" s="184">
        <f t="shared" si="41"/>
        <v>0</v>
      </c>
      <c r="AH87" s="184">
        <f t="shared" si="42"/>
        <v>0</v>
      </c>
      <c r="AI87" s="182" t="str">
        <f t="shared" si="43"/>
        <v xml:space="preserve"> </v>
      </c>
      <c r="AJ87" s="182" t="str">
        <f>IF(AI87="","",IFERROR(IF(VLOOKUP(AI87,Programa!$G$3:$H$18,2,0)="","",VLOOKUP(AI87,Programa!$G$3:$H$18,2,0)),""))</f>
        <v/>
      </c>
      <c r="AK87" s="182" t="str">
        <f t="shared" si="44"/>
        <v xml:space="preserve"> </v>
      </c>
      <c r="AL87" s="182" t="str">
        <f>IF(AK87="","",IFERROR(IF(VLOOKUP(AK87,Programa!$G$19:$H$34,2,0)="","",VLOOKUP(AK87,Programa!$G$19:$H$34,2,0)),""))</f>
        <v/>
      </c>
      <c r="AM87" s="182" t="str">
        <f t="shared" si="45"/>
        <v xml:space="preserve"> </v>
      </c>
      <c r="AN87" s="182" t="str">
        <f>IF(AM87="","",IFERROR(IF(VLOOKUP(AM87,Programa!$G$35:$H$50,2,0)="","",VLOOKUP(AM87,Programa!$G$35:$H$50,2,0)),""))</f>
        <v/>
      </c>
    </row>
    <row r="88" spans="1:40" ht="15.75" customHeight="1" x14ac:dyDescent="0.6">
      <c r="A88" s="242"/>
      <c r="B88" s="243"/>
      <c r="C88" s="245"/>
      <c r="D88" s="138">
        <f t="shared" ref="D88:AB88" si="53">IF(IFERROR(IF(VLOOKUP(D87,D$151:D$155,1,0)&gt;=1,D$150,0),D87)=D$132,D$136,IF(IFERROR(IF(VLOOKUP(D87,D$151:D$155,1,0)&gt;=1,D$150,0),D87)=D$139,D$142,IF(IFERROR(IF(VLOOKUP(D87,D$151:D$155,1,0)&gt;=1,D$150,0),D87)=D$145,D$147,0)))</f>
        <v>0</v>
      </c>
      <c r="E88" s="138">
        <f t="shared" si="53"/>
        <v>1.5</v>
      </c>
      <c r="F88" s="138">
        <f t="shared" si="53"/>
        <v>0</v>
      </c>
      <c r="G88" s="138">
        <f t="shared" si="53"/>
        <v>16</v>
      </c>
      <c r="H88" s="138">
        <f t="shared" si="53"/>
        <v>4</v>
      </c>
      <c r="I88" s="138">
        <f t="shared" si="53"/>
        <v>4.5999999999999996</v>
      </c>
      <c r="J88" s="138">
        <f t="shared" si="53"/>
        <v>0</v>
      </c>
      <c r="K88" s="138">
        <f t="shared" si="53"/>
        <v>3.3</v>
      </c>
      <c r="L88" s="138">
        <f t="shared" si="53"/>
        <v>0</v>
      </c>
      <c r="M88" s="138">
        <f t="shared" si="53"/>
        <v>0</v>
      </c>
      <c r="N88" s="138">
        <f t="shared" si="53"/>
        <v>0</v>
      </c>
      <c r="O88" s="138">
        <f t="shared" si="53"/>
        <v>0</v>
      </c>
      <c r="P88" s="138">
        <f t="shared" si="53"/>
        <v>0</v>
      </c>
      <c r="Q88" s="138">
        <f t="shared" si="53"/>
        <v>0</v>
      </c>
      <c r="R88" s="138">
        <f t="shared" si="53"/>
        <v>0</v>
      </c>
      <c r="S88" s="138">
        <f t="shared" si="53"/>
        <v>0</v>
      </c>
      <c r="T88" s="138">
        <f t="shared" si="53"/>
        <v>0</v>
      </c>
      <c r="U88" s="138">
        <f t="shared" si="53"/>
        <v>0</v>
      </c>
      <c r="V88" s="138">
        <f t="shared" si="53"/>
        <v>0</v>
      </c>
      <c r="W88" s="138">
        <f t="shared" si="53"/>
        <v>0</v>
      </c>
      <c r="X88" s="138">
        <f t="shared" si="53"/>
        <v>0</v>
      </c>
      <c r="Y88" s="138">
        <f t="shared" si="53"/>
        <v>0</v>
      </c>
      <c r="Z88" s="138">
        <f t="shared" si="53"/>
        <v>0</v>
      </c>
      <c r="AA88" s="138">
        <f t="shared" si="53"/>
        <v>0</v>
      </c>
      <c r="AB88" s="138">
        <f t="shared" si="53"/>
        <v>0</v>
      </c>
      <c r="AC88" s="243"/>
      <c r="AE88" s="200">
        <v>15</v>
      </c>
      <c r="AF88" s="171" t="str">
        <f>IF(ISBLANK(STUD!C47)," ",STUD!C47)</f>
        <v xml:space="preserve"> </v>
      </c>
      <c r="AG88" s="184">
        <f t="shared" si="41"/>
        <v>0</v>
      </c>
      <c r="AH88" s="184">
        <f t="shared" si="42"/>
        <v>0</v>
      </c>
      <c r="AI88" s="182" t="str">
        <f t="shared" si="43"/>
        <v xml:space="preserve"> </v>
      </c>
      <c r="AJ88" s="182" t="str">
        <f>IF(AI88="","",IFERROR(IF(VLOOKUP(AI88,Programa!$G$3:$H$18,2,0)="","",VLOOKUP(AI88,Programa!$G$3:$H$18,2,0)),""))</f>
        <v/>
      </c>
      <c r="AK88" s="182" t="str">
        <f t="shared" si="44"/>
        <v xml:space="preserve"> </v>
      </c>
      <c r="AL88" s="182" t="str">
        <f>IF(AK88="","",IFERROR(IF(VLOOKUP(AK88,Programa!$G$19:$H$34,2,0)="","",VLOOKUP(AK88,Programa!$G$19:$H$34,2,0)),""))</f>
        <v/>
      </c>
      <c r="AM88" s="182" t="str">
        <f t="shared" si="45"/>
        <v xml:space="preserve"> </v>
      </c>
      <c r="AN88" s="182" t="str">
        <f>IF(AM88="","",IFERROR(IF(VLOOKUP(AM88,Programa!$G$35:$H$50,2,0)="","",VLOOKUP(AM88,Programa!$G$35:$H$50,2,0)),""))</f>
        <v/>
      </c>
    </row>
    <row r="89" spans="1:40" ht="15.75" hidden="1" customHeight="1" x14ac:dyDescent="0.6">
      <c r="A89" s="242">
        <f t="shared" si="49"/>
        <v>9</v>
      </c>
      <c r="B89" s="243">
        <f>STUD!C43</f>
        <v>0</v>
      </c>
      <c r="C89" s="244">
        <f>SUM(D90:AB90)</f>
        <v>0</v>
      </c>
      <c r="D89" s="136"/>
      <c r="E89" s="136"/>
      <c r="F89" s="136"/>
      <c r="G89" s="136"/>
      <c r="H89" s="136"/>
      <c r="I89" s="136"/>
      <c r="J89" s="136"/>
      <c r="K89" s="136"/>
      <c r="L89" s="136"/>
      <c r="M89" s="14"/>
      <c r="N89" s="14"/>
      <c r="O89" s="139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243">
        <f>SUM(D90:AB90)</f>
        <v>0</v>
      </c>
      <c r="AE89" s="201">
        <v>16</v>
      </c>
      <c r="AF89" s="171" t="str">
        <f>IF(ISBLANK(STUD!C51)," ",STUD!C51)</f>
        <v xml:space="preserve"> </v>
      </c>
      <c r="AG89" s="184">
        <f t="shared" si="41"/>
        <v>0</v>
      </c>
      <c r="AH89" s="184">
        <f t="shared" si="42"/>
        <v>0</v>
      </c>
      <c r="AI89" s="182" t="str">
        <f t="shared" si="43"/>
        <v xml:space="preserve"> </v>
      </c>
      <c r="AJ89" s="182" t="str">
        <f>IF(AI89="","",IFERROR(IF(VLOOKUP(AI89,Programa!$G$3:$H$18,2,0)="","",VLOOKUP(AI89,Programa!$G$3:$H$18,2,0)),""))</f>
        <v/>
      </c>
      <c r="AK89" s="182" t="str">
        <f t="shared" si="44"/>
        <v xml:space="preserve"> </v>
      </c>
      <c r="AL89" s="182" t="str">
        <f>IF(AK89="","",IFERROR(IF(VLOOKUP(AK89,Programa!$G$19:$H$34,2,0)="","",VLOOKUP(AK89,Programa!$G$19:$H$34,2,0)),""))</f>
        <v/>
      </c>
      <c r="AM89" s="182" t="str">
        <f t="shared" si="45"/>
        <v xml:space="preserve"> </v>
      </c>
      <c r="AN89" s="182" t="str">
        <f>IF(AM89="","",IFERROR(IF(VLOOKUP(AM89,Programa!$G$35:$H$50,2,0)="","",VLOOKUP(AM89,Programa!$G$35:$H$50,2,0)),""))</f>
        <v/>
      </c>
    </row>
    <row r="90" spans="1:40" ht="15.75" hidden="1" customHeight="1" x14ac:dyDescent="0.6">
      <c r="A90" s="242"/>
      <c r="B90" s="243"/>
      <c r="C90" s="245"/>
      <c r="D90" s="138">
        <f t="shared" ref="D90:AB90" si="54">IF(IFERROR(IF(VLOOKUP(D89,D$151:D$155,1,0)&gt;=1,D$150,0),D89)=D$132,D$136,IF(IFERROR(IF(VLOOKUP(D89,D$151:D$155,1,0)&gt;=1,D$150,0),D89)=D$139,D$142,IF(IFERROR(IF(VLOOKUP(D89,D$151:D$155,1,0)&gt;=1,D$150,0),D89)=D$145,D$147,0)))</f>
        <v>0</v>
      </c>
      <c r="E90" s="138">
        <f t="shared" si="54"/>
        <v>0</v>
      </c>
      <c r="F90" s="138">
        <f t="shared" si="54"/>
        <v>0</v>
      </c>
      <c r="G90" s="138">
        <f t="shared" si="54"/>
        <v>0</v>
      </c>
      <c r="H90" s="138">
        <f t="shared" si="54"/>
        <v>0</v>
      </c>
      <c r="I90" s="138">
        <f t="shared" si="54"/>
        <v>0</v>
      </c>
      <c r="J90" s="138">
        <f t="shared" si="54"/>
        <v>0</v>
      </c>
      <c r="K90" s="138">
        <f t="shared" si="54"/>
        <v>0</v>
      </c>
      <c r="L90" s="138">
        <f t="shared" si="54"/>
        <v>0</v>
      </c>
      <c r="M90" s="138">
        <f t="shared" si="54"/>
        <v>0</v>
      </c>
      <c r="N90" s="138">
        <f t="shared" si="54"/>
        <v>0</v>
      </c>
      <c r="O90" s="138">
        <f t="shared" si="54"/>
        <v>0</v>
      </c>
      <c r="P90" s="138">
        <f t="shared" si="54"/>
        <v>0</v>
      </c>
      <c r="Q90" s="138">
        <f t="shared" si="54"/>
        <v>0</v>
      </c>
      <c r="R90" s="138">
        <f t="shared" si="54"/>
        <v>0</v>
      </c>
      <c r="S90" s="138">
        <f t="shared" si="54"/>
        <v>0</v>
      </c>
      <c r="T90" s="138">
        <f t="shared" si="54"/>
        <v>0</v>
      </c>
      <c r="U90" s="138">
        <f t="shared" si="54"/>
        <v>0</v>
      </c>
      <c r="V90" s="138">
        <f t="shared" si="54"/>
        <v>0</v>
      </c>
      <c r="W90" s="138">
        <f t="shared" si="54"/>
        <v>0</v>
      </c>
      <c r="X90" s="138">
        <f t="shared" si="54"/>
        <v>0</v>
      </c>
      <c r="Y90" s="138">
        <f t="shared" si="54"/>
        <v>0</v>
      </c>
      <c r="Z90" s="138">
        <f t="shared" si="54"/>
        <v>0</v>
      </c>
      <c r="AA90" s="138">
        <f t="shared" si="54"/>
        <v>0</v>
      </c>
      <c r="AB90" s="138">
        <f t="shared" si="54"/>
        <v>0</v>
      </c>
      <c r="AC90" s="243"/>
      <c r="AE90" s="202">
        <v>17</v>
      </c>
      <c r="AF90" s="171" t="str">
        <f>IF(ISBLANK(STUD!C53)," ",STUD!C53)</f>
        <v xml:space="preserve"> </v>
      </c>
      <c r="AG90" s="184">
        <f t="shared" si="41"/>
        <v>0</v>
      </c>
      <c r="AH90" s="184">
        <f t="shared" si="42"/>
        <v>0</v>
      </c>
      <c r="AI90" s="182" t="str">
        <f t="shared" si="43"/>
        <v xml:space="preserve"> </v>
      </c>
      <c r="AJ90" s="182" t="str">
        <f>IF(AI90="","",IFERROR(IF(VLOOKUP(AI90,Programa!$G$3:$H$18,2,0)="","",VLOOKUP(AI90,Programa!$G$3:$H$18,2,0)),""))</f>
        <v/>
      </c>
      <c r="AK90" s="182" t="str">
        <f t="shared" si="44"/>
        <v xml:space="preserve"> </v>
      </c>
      <c r="AL90" s="182" t="str">
        <f>IF(AK90="","",IFERROR(IF(VLOOKUP(AK90,Programa!$G$19:$H$34,2,0)="","",VLOOKUP(AK90,Programa!$G$19:$H$34,2,0)),""))</f>
        <v/>
      </c>
      <c r="AM90" s="182" t="str">
        <f t="shared" si="45"/>
        <v xml:space="preserve"> </v>
      </c>
      <c r="AN90" s="182" t="str">
        <f>IF(AM90="","",IFERROR(IF(VLOOKUP(AM90,Programa!$G$35:$H$50,2,0)="","",VLOOKUP(AM90,Programa!$G$35:$H$50,2,0)),""))</f>
        <v/>
      </c>
    </row>
    <row r="91" spans="1:40" ht="15.75" hidden="1" customHeight="1" x14ac:dyDescent="0.6">
      <c r="A91" s="242">
        <f t="shared" si="49"/>
        <v>10</v>
      </c>
      <c r="B91" s="243">
        <f>STUD!C44</f>
        <v>0</v>
      </c>
      <c r="C91" s="244">
        <f>SUM(D92:AB92)</f>
        <v>0</v>
      </c>
      <c r="D91" s="135"/>
      <c r="E91" s="135"/>
      <c r="F91" s="135"/>
      <c r="G91" s="135"/>
      <c r="H91" s="135"/>
      <c r="I91" s="135"/>
      <c r="J91" s="135"/>
      <c r="K91" s="135"/>
      <c r="L91" s="135"/>
      <c r="M91" s="14"/>
      <c r="N91" s="14"/>
      <c r="O91" s="139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243">
        <f>SUM(D92:AB92)</f>
        <v>0</v>
      </c>
      <c r="AE91" s="203">
        <v>18</v>
      </c>
      <c r="AF91" s="171" t="str">
        <f>IF(ISBLANK(STUD!C50)," ",STUD!C50)</f>
        <v xml:space="preserve"> </v>
      </c>
      <c r="AG91" s="184">
        <f t="shared" si="41"/>
        <v>0</v>
      </c>
      <c r="AH91" s="184">
        <f t="shared" si="42"/>
        <v>0</v>
      </c>
      <c r="AI91" s="182" t="str">
        <f t="shared" si="43"/>
        <v xml:space="preserve"> </v>
      </c>
      <c r="AJ91" s="182" t="str">
        <f>IF(AI91="","",IFERROR(IF(VLOOKUP(AI91,Programa!$G$3:$H$18,2,0)="","",VLOOKUP(AI91,Programa!$G$3:$H$18,2,0)),""))</f>
        <v/>
      </c>
      <c r="AK91" s="182" t="str">
        <f t="shared" si="44"/>
        <v xml:space="preserve"> </v>
      </c>
      <c r="AL91" s="182" t="str">
        <f>IF(AK91="","",IFERROR(IF(VLOOKUP(AK91,Programa!$G$19:$H$34,2,0)="","",VLOOKUP(AK91,Programa!$G$19:$H$34,2,0)),""))</f>
        <v/>
      </c>
      <c r="AM91" s="182" t="str">
        <f t="shared" si="45"/>
        <v xml:space="preserve"> </v>
      </c>
      <c r="AN91" s="182" t="str">
        <f>IF(AM91="","",IFERROR(IF(VLOOKUP(AM91,Programa!$G$35:$H$50,2,0)="","",VLOOKUP(AM91,Programa!$G$35:$H$50,2,0)),""))</f>
        <v/>
      </c>
    </row>
    <row r="92" spans="1:40" ht="15.75" hidden="1" customHeight="1" x14ac:dyDescent="0.6">
      <c r="A92" s="242"/>
      <c r="B92" s="243"/>
      <c r="C92" s="245"/>
      <c r="D92" s="138">
        <f t="shared" ref="D92:AB92" si="55">IF(IFERROR(IF(VLOOKUP(D91,D$151:D$155,1,0)&gt;=1,D$150,0),D91)=D$132,D$136,IF(IFERROR(IF(VLOOKUP(D91,D$151:D$155,1,0)&gt;=1,D$150,0),D91)=D$139,D$142,IF(IFERROR(IF(VLOOKUP(D91,D$151:D$155,1,0)&gt;=1,D$150,0),D91)=D$145,D$147,0)))</f>
        <v>0</v>
      </c>
      <c r="E92" s="138">
        <f t="shared" si="55"/>
        <v>0</v>
      </c>
      <c r="F92" s="138">
        <f t="shared" si="55"/>
        <v>0</v>
      </c>
      <c r="G92" s="138">
        <f t="shared" si="55"/>
        <v>0</v>
      </c>
      <c r="H92" s="138">
        <f t="shared" si="55"/>
        <v>0</v>
      </c>
      <c r="I92" s="138">
        <f t="shared" si="55"/>
        <v>0</v>
      </c>
      <c r="J92" s="138">
        <f t="shared" si="55"/>
        <v>0</v>
      </c>
      <c r="K92" s="138">
        <f t="shared" si="55"/>
        <v>0</v>
      </c>
      <c r="L92" s="138">
        <f t="shared" si="55"/>
        <v>0</v>
      </c>
      <c r="M92" s="138">
        <f t="shared" si="55"/>
        <v>0</v>
      </c>
      <c r="N92" s="138">
        <f t="shared" si="55"/>
        <v>0</v>
      </c>
      <c r="O92" s="138">
        <f t="shared" si="55"/>
        <v>0</v>
      </c>
      <c r="P92" s="138">
        <f t="shared" si="55"/>
        <v>0</v>
      </c>
      <c r="Q92" s="138">
        <f t="shared" si="55"/>
        <v>0</v>
      </c>
      <c r="R92" s="138">
        <f t="shared" si="55"/>
        <v>0</v>
      </c>
      <c r="S92" s="138">
        <f t="shared" si="55"/>
        <v>0</v>
      </c>
      <c r="T92" s="138">
        <f t="shared" si="55"/>
        <v>0</v>
      </c>
      <c r="U92" s="138">
        <f t="shared" si="55"/>
        <v>0</v>
      </c>
      <c r="V92" s="138">
        <f t="shared" si="55"/>
        <v>0</v>
      </c>
      <c r="W92" s="138">
        <f t="shared" si="55"/>
        <v>0</v>
      </c>
      <c r="X92" s="138">
        <f t="shared" si="55"/>
        <v>0</v>
      </c>
      <c r="Y92" s="138">
        <f t="shared" si="55"/>
        <v>0</v>
      </c>
      <c r="Z92" s="138">
        <f t="shared" si="55"/>
        <v>0</v>
      </c>
      <c r="AA92" s="138">
        <f t="shared" si="55"/>
        <v>0</v>
      </c>
      <c r="AB92" s="138">
        <f t="shared" si="55"/>
        <v>0</v>
      </c>
      <c r="AC92" s="243"/>
      <c r="AE92" s="204">
        <v>19</v>
      </c>
      <c r="AF92" s="171" t="str">
        <f>IF(ISBLANK(STUD!C54)," ",STUD!C54)</f>
        <v xml:space="preserve"> </v>
      </c>
      <c r="AG92" s="184">
        <f t="shared" si="41"/>
        <v>0</v>
      </c>
      <c r="AH92" s="184">
        <f t="shared" si="42"/>
        <v>0</v>
      </c>
      <c r="AI92" s="182" t="str">
        <f t="shared" si="43"/>
        <v xml:space="preserve"> </v>
      </c>
      <c r="AJ92" s="182" t="str">
        <f>IF(AI92="","",IFERROR(IF(VLOOKUP(AI92,Programa!$G$3:$H$18,2,0)="","",VLOOKUP(AI92,Programa!$G$3:$H$18,2,0)),""))</f>
        <v/>
      </c>
      <c r="AK92" s="182" t="str">
        <f t="shared" si="44"/>
        <v xml:space="preserve"> </v>
      </c>
      <c r="AL92" s="182" t="str">
        <f>IF(AK92="","",IFERROR(IF(VLOOKUP(AK92,Programa!$G$19:$H$34,2,0)="","",VLOOKUP(AK92,Programa!$G$19:$H$34,2,0)),""))</f>
        <v/>
      </c>
      <c r="AM92" s="182" t="str">
        <f t="shared" si="45"/>
        <v xml:space="preserve"> </v>
      </c>
      <c r="AN92" s="182" t="str">
        <f>IF(AM92="","",IFERROR(IF(VLOOKUP(AM92,Programa!$G$35:$H$50,2,0)="","",VLOOKUP(AM92,Programa!$G$35:$H$50,2,0)),""))</f>
        <v/>
      </c>
    </row>
    <row r="93" spans="1:40" ht="15.75" hidden="1" customHeight="1" x14ac:dyDescent="0.6">
      <c r="A93" s="242">
        <f t="shared" si="49"/>
        <v>11</v>
      </c>
      <c r="B93" s="243">
        <f>STUD!C45</f>
        <v>0</v>
      </c>
      <c r="C93" s="244">
        <f>SUM(D94:AB94)</f>
        <v>0</v>
      </c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39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243">
        <f>SUM(D94:AB94)</f>
        <v>0</v>
      </c>
      <c r="AE93" s="205">
        <v>20</v>
      </c>
      <c r="AF93" s="171" t="str">
        <f>IF(ISBLANK(STUD!C52)," ",STUD!C52)</f>
        <v xml:space="preserve"> </v>
      </c>
      <c r="AG93" s="184">
        <f t="shared" si="41"/>
        <v>0</v>
      </c>
      <c r="AH93" s="184">
        <f t="shared" si="42"/>
        <v>0</v>
      </c>
      <c r="AI93" s="53" t="str">
        <f t="shared" si="43"/>
        <v xml:space="preserve"> </v>
      </c>
      <c r="AJ93" s="53" t="str">
        <f>IF(AI93="","",IFERROR(IF(VLOOKUP(AI93,Programa!$G$3:$H$18,2,0)="","",VLOOKUP(AI93,Programa!$G$3:$H$18,2,0)),""))</f>
        <v/>
      </c>
      <c r="AK93" s="53" t="str">
        <f t="shared" si="44"/>
        <v xml:space="preserve"> </v>
      </c>
      <c r="AL93" s="53" t="str">
        <f>IF(AK93="","",IFERROR(IF(VLOOKUP(AK93,Programa!$G$19:$H$34,2,0)="","",VLOOKUP(AK93,Programa!$G$19:$H$34,2,0)),""))</f>
        <v/>
      </c>
      <c r="AM93" s="53" t="str">
        <f t="shared" si="45"/>
        <v xml:space="preserve"> </v>
      </c>
      <c r="AN93" s="53" t="str">
        <f>IF(AM93="","",IFERROR(IF(VLOOKUP(AM93,Programa!$G$35:$H$50,2,0)="","",VLOOKUP(AM93,Programa!$G$35:$H$50,2,0)),""))</f>
        <v/>
      </c>
    </row>
    <row r="94" spans="1:40" ht="15.75" hidden="1" customHeight="1" x14ac:dyDescent="0.6">
      <c r="A94" s="242"/>
      <c r="B94" s="243"/>
      <c r="C94" s="245"/>
      <c r="D94" s="219">
        <f t="shared" ref="D94:AB94" si="56">IF(IFERROR(IF(VLOOKUP(D93,D$151:D$155,1,0)&gt;=1,D$150,0),D93)=D$132,D$136,IF(IFERROR(IF(VLOOKUP(D93,D$151:D$155,1,0)&gt;=1,D$150,0),D93)=D$139,D$142,IF(IFERROR(IF(VLOOKUP(D93,D$151:D$155,1,0)&gt;=1,D$150,0),D93)=D$145,D$147,0)))</f>
        <v>0</v>
      </c>
      <c r="E94" s="219">
        <f t="shared" si="56"/>
        <v>0</v>
      </c>
      <c r="F94" s="219">
        <f t="shared" si="56"/>
        <v>0</v>
      </c>
      <c r="G94" s="219">
        <f t="shared" si="56"/>
        <v>0</v>
      </c>
      <c r="H94" s="219">
        <f t="shared" si="56"/>
        <v>0</v>
      </c>
      <c r="I94" s="219">
        <f t="shared" si="56"/>
        <v>0</v>
      </c>
      <c r="J94" s="219">
        <f t="shared" si="56"/>
        <v>0</v>
      </c>
      <c r="K94" s="219">
        <f t="shared" si="56"/>
        <v>0</v>
      </c>
      <c r="L94" s="219">
        <f t="shared" si="56"/>
        <v>0</v>
      </c>
      <c r="M94" s="219">
        <f t="shared" si="56"/>
        <v>0</v>
      </c>
      <c r="N94" s="219">
        <f t="shared" si="56"/>
        <v>0</v>
      </c>
      <c r="O94" s="219">
        <f t="shared" si="56"/>
        <v>0</v>
      </c>
      <c r="P94" s="219">
        <f t="shared" si="56"/>
        <v>0</v>
      </c>
      <c r="Q94" s="219">
        <f t="shared" si="56"/>
        <v>0</v>
      </c>
      <c r="R94" s="219">
        <f t="shared" si="56"/>
        <v>0</v>
      </c>
      <c r="S94" s="219">
        <f t="shared" si="56"/>
        <v>0</v>
      </c>
      <c r="T94" s="219">
        <f t="shared" si="56"/>
        <v>0</v>
      </c>
      <c r="U94" s="219">
        <f t="shared" si="56"/>
        <v>0</v>
      </c>
      <c r="V94" s="219">
        <f t="shared" si="56"/>
        <v>0</v>
      </c>
      <c r="W94" s="219">
        <f t="shared" si="56"/>
        <v>0</v>
      </c>
      <c r="X94" s="219">
        <f t="shared" si="56"/>
        <v>0</v>
      </c>
      <c r="Y94" s="219">
        <f t="shared" si="56"/>
        <v>0</v>
      </c>
      <c r="Z94" s="219">
        <f t="shared" si="56"/>
        <v>0</v>
      </c>
      <c r="AA94" s="219">
        <f t="shared" si="56"/>
        <v>0</v>
      </c>
      <c r="AB94" s="219">
        <f t="shared" si="56"/>
        <v>0</v>
      </c>
      <c r="AC94" s="243"/>
      <c r="AE94" s="206">
        <v>21</v>
      </c>
      <c r="AF94" s="171" t="str">
        <f>IF(ISBLANK(STUD!B55)," ",STUD!B55)</f>
        <v>SEA COURT 1</v>
      </c>
      <c r="AG94" s="184">
        <f t="shared" si="41"/>
        <v>0</v>
      </c>
      <c r="AH94" s="184">
        <f t="shared" si="42"/>
        <v>0</v>
      </c>
      <c r="AI94" s="53" t="str">
        <f t="shared" si="43"/>
        <v xml:space="preserve"> </v>
      </c>
      <c r="AJ94" s="53" t="str">
        <f>IF(AI94="","",IFERROR(IF(VLOOKUP(AI94,Programa!$G$3:$H$18,2,0)="","",VLOOKUP(AI94,Programa!$G$3:$H$18,2,0)),""))</f>
        <v/>
      </c>
      <c r="AK94" s="53" t="str">
        <f t="shared" si="44"/>
        <v xml:space="preserve"> </v>
      </c>
      <c r="AL94" s="53" t="str">
        <f>IF(AK94="","",IFERROR(IF(VLOOKUP(AK94,Programa!$G$19:$H$34,2,0)="","",VLOOKUP(AK94,Programa!$G$19:$H$34,2,0)),""))</f>
        <v/>
      </c>
      <c r="AM94" s="53" t="str">
        <f t="shared" si="45"/>
        <v xml:space="preserve"> </v>
      </c>
      <c r="AN94" s="53" t="str">
        <f>IF(AM94="","",IFERROR(IF(VLOOKUP(AM94,Programa!$G$35:$H$50,2,0)="","",VLOOKUP(AM94,Programa!$G$35:$H$50,2,0)),""))</f>
        <v/>
      </c>
    </row>
    <row r="95" spans="1:40" ht="15.75" hidden="1" customHeight="1" x14ac:dyDescent="0.6">
      <c r="A95" s="242">
        <f t="shared" si="49"/>
        <v>12</v>
      </c>
      <c r="B95" s="243">
        <f>STUD!C46</f>
        <v>0</v>
      </c>
      <c r="C95" s="244">
        <f>SUM(D96:AB96)</f>
        <v>0</v>
      </c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39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243">
        <f>SUM(D96:AB96)</f>
        <v>0</v>
      </c>
      <c r="AE95" s="207">
        <v>22</v>
      </c>
      <c r="AF95" s="171" t="str">
        <f>IF(ISBLANK(STUD!B56)," ",STUD!B56)</f>
        <v>SEACOURT 2</v>
      </c>
      <c r="AG95" s="184">
        <f t="shared" ref="AG95:AG101" si="57">IFERROR(VLOOKUP(AF95,$B$73:$C$128,2,0),0)</f>
        <v>0</v>
      </c>
      <c r="AH95" s="184">
        <f t="shared" si="42"/>
        <v>0</v>
      </c>
      <c r="AI95" s="53" t="str">
        <f t="shared" si="43"/>
        <v xml:space="preserve"> </v>
      </c>
      <c r="AJ95" s="53" t="str">
        <f>IF(AI95="","",IFERROR(IF(VLOOKUP(AI95,Programa!$G$3:$H$18,2,0)="","",VLOOKUP(AI95,Programa!$G$3:$H$18,2,0)),""))</f>
        <v/>
      </c>
      <c r="AK95" s="53" t="str">
        <f t="shared" si="44"/>
        <v xml:space="preserve"> </v>
      </c>
      <c r="AL95" s="53" t="str">
        <f>IF(AK95="","",IFERROR(IF(VLOOKUP(AK95,Programa!$G$19:$H$34,2,0)="","",VLOOKUP(AK95,Programa!$G$19:$H$34,2,0)),""))</f>
        <v/>
      </c>
      <c r="AM95" s="53" t="str">
        <f t="shared" si="45"/>
        <v xml:space="preserve"> </v>
      </c>
      <c r="AN95" s="53" t="str">
        <f>IF(AM95="","",IFERROR(IF(VLOOKUP(AM95,Programa!$G$35:$H$50,2,0)="","",VLOOKUP(AM95,Programa!$G$35:$H$50,2,0)),""))</f>
        <v/>
      </c>
    </row>
    <row r="96" spans="1:40" ht="15.75" hidden="1" customHeight="1" x14ac:dyDescent="0.6">
      <c r="A96" s="242"/>
      <c r="B96" s="243"/>
      <c r="C96" s="245"/>
      <c r="D96" s="219">
        <f t="shared" ref="D96:AB96" si="58">IF(IFERROR(IF(VLOOKUP(D95,D$151:D$155,1,0)&gt;=1,D$150,0),D95)=D$132,D$136,IF(IFERROR(IF(VLOOKUP(D95,D$151:D$155,1,0)&gt;=1,D$150,0),D95)=D$139,D$142,IF(IFERROR(IF(VLOOKUP(D95,D$151:D$155,1,0)&gt;=1,D$150,0),D95)=D$145,D$147,0)))</f>
        <v>0</v>
      </c>
      <c r="E96" s="219">
        <f t="shared" si="58"/>
        <v>0</v>
      </c>
      <c r="F96" s="219">
        <f t="shared" si="58"/>
        <v>0</v>
      </c>
      <c r="G96" s="219">
        <f t="shared" si="58"/>
        <v>0</v>
      </c>
      <c r="H96" s="219">
        <f t="shared" si="58"/>
        <v>0</v>
      </c>
      <c r="I96" s="219">
        <f t="shared" si="58"/>
        <v>0</v>
      </c>
      <c r="J96" s="219">
        <f t="shared" si="58"/>
        <v>0</v>
      </c>
      <c r="K96" s="219">
        <f t="shared" si="58"/>
        <v>0</v>
      </c>
      <c r="L96" s="219">
        <f t="shared" si="58"/>
        <v>0</v>
      </c>
      <c r="M96" s="219">
        <f t="shared" si="58"/>
        <v>0</v>
      </c>
      <c r="N96" s="219">
        <f t="shared" si="58"/>
        <v>0</v>
      </c>
      <c r="O96" s="219">
        <f t="shared" si="58"/>
        <v>0</v>
      </c>
      <c r="P96" s="219">
        <f t="shared" si="58"/>
        <v>0</v>
      </c>
      <c r="Q96" s="219">
        <f t="shared" si="58"/>
        <v>0</v>
      </c>
      <c r="R96" s="219">
        <f t="shared" si="58"/>
        <v>0</v>
      </c>
      <c r="S96" s="219">
        <f t="shared" si="58"/>
        <v>0</v>
      </c>
      <c r="T96" s="219">
        <f t="shared" si="58"/>
        <v>0</v>
      </c>
      <c r="U96" s="219">
        <f t="shared" si="58"/>
        <v>0</v>
      </c>
      <c r="V96" s="219">
        <f t="shared" si="58"/>
        <v>0</v>
      </c>
      <c r="W96" s="219">
        <f t="shared" si="58"/>
        <v>0</v>
      </c>
      <c r="X96" s="219">
        <f t="shared" si="58"/>
        <v>0</v>
      </c>
      <c r="Y96" s="219">
        <f t="shared" si="58"/>
        <v>0</v>
      </c>
      <c r="Z96" s="219">
        <f t="shared" si="58"/>
        <v>0</v>
      </c>
      <c r="AA96" s="219">
        <f t="shared" si="58"/>
        <v>0</v>
      </c>
      <c r="AB96" s="219">
        <f t="shared" si="58"/>
        <v>0</v>
      </c>
      <c r="AC96" s="243"/>
      <c r="AE96" s="208">
        <v>23</v>
      </c>
      <c r="AF96" s="171" t="str">
        <f>IF(ISBLANK(STUD!B57)," ",STUD!B57)</f>
        <v>MANZOR</v>
      </c>
      <c r="AG96" s="184">
        <f t="shared" si="57"/>
        <v>0</v>
      </c>
      <c r="AH96" s="184">
        <f t="shared" si="42"/>
        <v>0</v>
      </c>
      <c r="AI96" s="53" t="str">
        <f t="shared" si="43"/>
        <v xml:space="preserve"> </v>
      </c>
      <c r="AJ96" s="53" t="str">
        <f>IF(AI96="","",IFERROR(IF(VLOOKUP(AI96,Programa!$G$3:$H$18,2,0)="","",VLOOKUP(AI96,Programa!$G$3:$H$18,2,0)),""))</f>
        <v/>
      </c>
      <c r="AK96" s="53" t="str">
        <f t="shared" si="44"/>
        <v xml:space="preserve"> </v>
      </c>
      <c r="AL96" s="53" t="str">
        <f>IF(AK96="","",IFERROR(IF(VLOOKUP(AK96,Programa!$G$19:$H$34,2,0)="","",VLOOKUP(AK96,Programa!$G$19:$H$34,2,0)),""))</f>
        <v/>
      </c>
      <c r="AM96" s="53" t="str">
        <f t="shared" si="45"/>
        <v xml:space="preserve"> </v>
      </c>
      <c r="AN96" s="53" t="str">
        <f>IF(AM96="","",IFERROR(IF(VLOOKUP(AM96,Programa!$G$35:$H$50,2,0)="","",VLOOKUP(AM96,Programa!$G$35:$H$50,2,0)),""))</f>
        <v/>
      </c>
    </row>
    <row r="97" spans="1:40" ht="15.75" hidden="1" customHeight="1" x14ac:dyDescent="0.6">
      <c r="A97" s="242">
        <f t="shared" si="49"/>
        <v>13</v>
      </c>
      <c r="B97" s="243">
        <f>STUD!C47</f>
        <v>0</v>
      </c>
      <c r="C97" s="244">
        <f>SUM(D98:AB98)</f>
        <v>0</v>
      </c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39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243">
        <f>SUM(D98:AB98)</f>
        <v>0</v>
      </c>
      <c r="AE97" s="209">
        <v>24</v>
      </c>
      <c r="AF97" s="171" t="str">
        <f>IF(ISBLANK(STUD!B58)," ",STUD!B58)</f>
        <v>ARRE DEMONIO</v>
      </c>
      <c r="AG97" s="184">
        <f t="shared" si="57"/>
        <v>0</v>
      </c>
      <c r="AH97" s="184">
        <f t="shared" si="42"/>
        <v>0</v>
      </c>
      <c r="AI97" s="53" t="str">
        <f t="shared" si="43"/>
        <v xml:space="preserve"> </v>
      </c>
      <c r="AJ97" s="53" t="str">
        <f>IF(AI97="","",IFERROR(IF(VLOOKUP(AI97,Programa!$G$3:$H$18,2,0)="","",VLOOKUP(AI97,Programa!$G$3:$H$18,2,0)),""))</f>
        <v/>
      </c>
      <c r="AK97" s="53" t="str">
        <f t="shared" si="44"/>
        <v xml:space="preserve"> </v>
      </c>
      <c r="AL97" s="53" t="str">
        <f>IF(AK97="","",IFERROR(IF(VLOOKUP(AK97,Programa!$G$19:$H$34,2,0)="","",VLOOKUP(AK97,Programa!$G$19:$H$34,2,0)),""))</f>
        <v/>
      </c>
      <c r="AM97" s="53" t="str">
        <f t="shared" si="45"/>
        <v xml:space="preserve"> </v>
      </c>
      <c r="AN97" s="53" t="str">
        <f>IF(AM97="","",IFERROR(IF(VLOOKUP(AM97,Programa!$G$35:$H$50,2,0)="","",VLOOKUP(AM97,Programa!$G$35:$H$50,2,0)),""))</f>
        <v/>
      </c>
    </row>
    <row r="98" spans="1:40" ht="15.75" hidden="1" customHeight="1" x14ac:dyDescent="0.6">
      <c r="A98" s="242"/>
      <c r="B98" s="243"/>
      <c r="C98" s="245"/>
      <c r="D98" s="219">
        <f t="shared" ref="D98:AB98" si="59">IF(IFERROR(IF(VLOOKUP(D97,D$151:D$155,1,0)&gt;=1,D$150,0),D97)=D$132,D$136,IF(IFERROR(IF(VLOOKUP(D97,D$151:D$155,1,0)&gt;=1,D$150,0),D97)=D$139,D$142,IF(IFERROR(IF(VLOOKUP(D97,D$151:D$155,1,0)&gt;=1,D$150,0),D97)=D$145,D$147,0)))</f>
        <v>0</v>
      </c>
      <c r="E98" s="219">
        <f t="shared" si="59"/>
        <v>0</v>
      </c>
      <c r="F98" s="219">
        <f t="shared" si="59"/>
        <v>0</v>
      </c>
      <c r="G98" s="219">
        <f t="shared" si="59"/>
        <v>0</v>
      </c>
      <c r="H98" s="219">
        <f t="shared" si="59"/>
        <v>0</v>
      </c>
      <c r="I98" s="219">
        <f t="shared" si="59"/>
        <v>0</v>
      </c>
      <c r="J98" s="219">
        <f t="shared" si="59"/>
        <v>0</v>
      </c>
      <c r="K98" s="219">
        <f t="shared" si="59"/>
        <v>0</v>
      </c>
      <c r="L98" s="219">
        <f t="shared" si="59"/>
        <v>0</v>
      </c>
      <c r="M98" s="219">
        <f t="shared" si="59"/>
        <v>0</v>
      </c>
      <c r="N98" s="219">
        <f t="shared" si="59"/>
        <v>0</v>
      </c>
      <c r="O98" s="219">
        <f t="shared" si="59"/>
        <v>0</v>
      </c>
      <c r="P98" s="219">
        <f t="shared" si="59"/>
        <v>0</v>
      </c>
      <c r="Q98" s="219">
        <f t="shared" si="59"/>
        <v>0</v>
      </c>
      <c r="R98" s="219">
        <f t="shared" si="59"/>
        <v>0</v>
      </c>
      <c r="S98" s="219">
        <f t="shared" si="59"/>
        <v>0</v>
      </c>
      <c r="T98" s="219">
        <f t="shared" si="59"/>
        <v>0</v>
      </c>
      <c r="U98" s="219">
        <f t="shared" si="59"/>
        <v>0</v>
      </c>
      <c r="V98" s="219">
        <f t="shared" si="59"/>
        <v>0</v>
      </c>
      <c r="W98" s="219">
        <f t="shared" si="59"/>
        <v>0</v>
      </c>
      <c r="X98" s="219">
        <f t="shared" si="59"/>
        <v>0</v>
      </c>
      <c r="Y98" s="219">
        <f t="shared" si="59"/>
        <v>0</v>
      </c>
      <c r="Z98" s="219">
        <f t="shared" si="59"/>
        <v>0</v>
      </c>
      <c r="AA98" s="219">
        <f t="shared" si="59"/>
        <v>0</v>
      </c>
      <c r="AB98" s="219">
        <f t="shared" si="59"/>
        <v>0</v>
      </c>
      <c r="AC98" s="243"/>
      <c r="AE98" s="210">
        <v>25</v>
      </c>
      <c r="AF98" s="171" t="str">
        <f>IF(ISBLANK(STUD!B59)," ",STUD!B59)</f>
        <v>SOSAMAFIA</v>
      </c>
      <c r="AG98" s="184">
        <f t="shared" si="57"/>
        <v>0</v>
      </c>
      <c r="AH98" s="184">
        <f t="shared" si="42"/>
        <v>0</v>
      </c>
      <c r="AI98" s="53" t="str">
        <f t="shared" si="43"/>
        <v xml:space="preserve"> </v>
      </c>
      <c r="AJ98" s="53" t="str">
        <f>IF(AI98="","",IFERROR(IF(VLOOKUP(AI98,Programa!$G$3:$H$18,2,0)="","",VLOOKUP(AI98,Programa!$G$3:$H$18,2,0)),""))</f>
        <v/>
      </c>
      <c r="AK98" s="53" t="str">
        <f t="shared" si="44"/>
        <v xml:space="preserve"> </v>
      </c>
      <c r="AL98" s="53" t="str">
        <f>IF(AK98="","",IFERROR(IF(VLOOKUP(AK98,Programa!$G$19:$H$34,2,0)="","",VLOOKUP(AK98,Programa!$G$19:$H$34,2,0)),""))</f>
        <v/>
      </c>
      <c r="AM98" s="53" t="str">
        <f t="shared" si="45"/>
        <v xml:space="preserve"> </v>
      </c>
      <c r="AN98" s="53" t="str">
        <f>IF(AM98="","",IFERROR(IF(VLOOKUP(AM98,Programa!$G$35:$H$50,2,0)="","",VLOOKUP(AM98,Programa!$G$35:$H$50,2,0)),""))</f>
        <v/>
      </c>
    </row>
    <row r="99" spans="1:40" ht="15.75" hidden="1" customHeight="1" x14ac:dyDescent="0.6">
      <c r="A99" s="242">
        <f t="shared" si="49"/>
        <v>14</v>
      </c>
      <c r="B99" s="243">
        <f>STUD!C48</f>
        <v>0</v>
      </c>
      <c r="C99" s="244">
        <f>SUM(D100:AB100)</f>
        <v>0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39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243">
        <f>SUM(D100:AB100)</f>
        <v>0</v>
      </c>
      <c r="AE99" s="211">
        <v>26</v>
      </c>
      <c r="AF99" s="171" t="str">
        <f>IF(ISBLANK(STUD!B60)," ",STUD!B60)</f>
        <v>JUAN DE LOS CABALLOS</v>
      </c>
      <c r="AG99" s="184">
        <f t="shared" si="57"/>
        <v>0</v>
      </c>
      <c r="AH99" s="184">
        <f t="shared" si="42"/>
        <v>0</v>
      </c>
      <c r="AI99" s="53" t="str">
        <f t="shared" si="43"/>
        <v xml:space="preserve"> </v>
      </c>
      <c r="AJ99" s="53" t="str">
        <f>IF(AI99="","",IFERROR(IF(VLOOKUP(AI99,Programa!$G$3:$H$18,2,0)="","",VLOOKUP(AI99,Programa!$G$3:$H$18,2,0)),""))</f>
        <v/>
      </c>
      <c r="AK99" s="53" t="str">
        <f t="shared" si="44"/>
        <v xml:space="preserve"> </v>
      </c>
      <c r="AL99" s="53" t="str">
        <f>IF(AK99="","",IFERROR(IF(VLOOKUP(AK99,Programa!$G$19:$H$34,2,0)="","",VLOOKUP(AK99,Programa!$G$19:$H$34,2,0)),""))</f>
        <v/>
      </c>
      <c r="AM99" s="53" t="str">
        <f t="shared" si="45"/>
        <v xml:space="preserve"> </v>
      </c>
      <c r="AN99" s="53" t="str">
        <f>IF(AM99="","",IFERROR(IF(VLOOKUP(AM99,Programa!$G$35:$H$50,2,0)="","",VLOOKUP(AM99,Programa!$G$35:$H$50,2,0)),""))</f>
        <v/>
      </c>
    </row>
    <row r="100" spans="1:40" ht="15.75" hidden="1" customHeight="1" x14ac:dyDescent="0.6">
      <c r="A100" s="242"/>
      <c r="B100" s="243"/>
      <c r="C100" s="245"/>
      <c r="D100" s="219">
        <f t="shared" ref="D100:AB100" si="60">IF(IFERROR(IF(VLOOKUP(D99,D$151:D$155,1,0)&gt;=1,D$150,0),D99)=D$132,D$136,IF(IFERROR(IF(VLOOKUP(D99,D$151:D$155,1,0)&gt;=1,D$150,0),D99)=D$139,D$142,IF(IFERROR(IF(VLOOKUP(D99,D$151:D$155,1,0)&gt;=1,D$150,0),D99)=D$145,D$147,0)))</f>
        <v>0</v>
      </c>
      <c r="E100" s="219">
        <f t="shared" si="60"/>
        <v>0</v>
      </c>
      <c r="F100" s="219">
        <f t="shared" si="60"/>
        <v>0</v>
      </c>
      <c r="G100" s="219">
        <f t="shared" si="60"/>
        <v>0</v>
      </c>
      <c r="H100" s="219">
        <f t="shared" si="60"/>
        <v>0</v>
      </c>
      <c r="I100" s="219">
        <f t="shared" si="60"/>
        <v>0</v>
      </c>
      <c r="J100" s="219">
        <f t="shared" si="60"/>
        <v>0</v>
      </c>
      <c r="K100" s="219">
        <f t="shared" si="60"/>
        <v>0</v>
      </c>
      <c r="L100" s="219">
        <f t="shared" si="60"/>
        <v>0</v>
      </c>
      <c r="M100" s="219">
        <f t="shared" si="60"/>
        <v>0</v>
      </c>
      <c r="N100" s="219">
        <f t="shared" si="60"/>
        <v>0</v>
      </c>
      <c r="O100" s="219">
        <f t="shared" si="60"/>
        <v>0</v>
      </c>
      <c r="P100" s="219">
        <f t="shared" si="60"/>
        <v>0</v>
      </c>
      <c r="Q100" s="219">
        <f t="shared" si="60"/>
        <v>0</v>
      </c>
      <c r="R100" s="219">
        <f t="shared" si="60"/>
        <v>0</v>
      </c>
      <c r="S100" s="219">
        <f t="shared" si="60"/>
        <v>0</v>
      </c>
      <c r="T100" s="219">
        <f t="shared" si="60"/>
        <v>0</v>
      </c>
      <c r="U100" s="219">
        <f t="shared" si="60"/>
        <v>0</v>
      </c>
      <c r="V100" s="219">
        <f t="shared" si="60"/>
        <v>0</v>
      </c>
      <c r="W100" s="219">
        <f t="shared" si="60"/>
        <v>0</v>
      </c>
      <c r="X100" s="219">
        <f t="shared" si="60"/>
        <v>0</v>
      </c>
      <c r="Y100" s="219">
        <f t="shared" si="60"/>
        <v>0</v>
      </c>
      <c r="Z100" s="219">
        <f t="shared" si="60"/>
        <v>0</v>
      </c>
      <c r="AA100" s="219">
        <f t="shared" si="60"/>
        <v>0</v>
      </c>
      <c r="AB100" s="219">
        <f t="shared" si="60"/>
        <v>0</v>
      </c>
      <c r="AC100" s="243"/>
      <c r="AE100" s="212">
        <v>27</v>
      </c>
      <c r="AF100" s="171" t="str">
        <f>IF(ISBLANK(STUD!B61)," ",STUD!B61)</f>
        <v>MIS SOBRINOS</v>
      </c>
      <c r="AG100" s="184">
        <f t="shared" si="57"/>
        <v>0</v>
      </c>
      <c r="AH100" s="184">
        <f t="shared" si="42"/>
        <v>0</v>
      </c>
      <c r="AI100" s="53" t="str">
        <f t="shared" si="43"/>
        <v xml:space="preserve"> </v>
      </c>
      <c r="AJ100" s="53" t="str">
        <f>IF(AI100="","",IFERROR(IF(VLOOKUP(AI100,Programa!$G$3:$H$18,2,0)="","",VLOOKUP(AI100,Programa!$G$3:$H$18,2,0)),""))</f>
        <v/>
      </c>
      <c r="AK100" s="53" t="str">
        <f t="shared" si="44"/>
        <v xml:space="preserve"> </v>
      </c>
      <c r="AL100" s="53" t="str">
        <f>IF(AK100="","",IFERROR(IF(VLOOKUP(AK100,Programa!$G$19:$H$34,2,0)="","",VLOOKUP(AK100,Programa!$G$19:$H$34,2,0)),""))</f>
        <v/>
      </c>
      <c r="AM100" s="53" t="str">
        <f t="shared" si="45"/>
        <v xml:space="preserve"> </v>
      </c>
      <c r="AN100" s="53" t="str">
        <f>IF(AM100="","",IFERROR(IF(VLOOKUP(AM100,Programa!$G$35:$H$50,2,0)="","",VLOOKUP(AM100,Programa!$G$35:$H$50,2,0)),""))</f>
        <v/>
      </c>
    </row>
    <row r="101" spans="1:40" ht="15.75" hidden="1" customHeight="1" x14ac:dyDescent="0.6">
      <c r="A101" s="242">
        <f t="shared" si="49"/>
        <v>15</v>
      </c>
      <c r="B101" s="243">
        <f>STUD!C49</f>
        <v>0</v>
      </c>
      <c r="C101" s="244">
        <f>SUM(D102:AB102)</f>
        <v>0</v>
      </c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39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243">
        <f>SUM(D102:AB102)</f>
        <v>0</v>
      </c>
      <c r="AE101" s="213">
        <v>28</v>
      </c>
      <c r="AF101" s="171" t="str">
        <f>IF(ISBLANK(STUD!B62)," ",STUD!B62)</f>
        <v>SANVI</v>
      </c>
      <c r="AG101" s="184">
        <f t="shared" si="57"/>
        <v>0</v>
      </c>
      <c r="AH101" s="184">
        <f t="shared" si="42"/>
        <v>0</v>
      </c>
      <c r="AI101" s="53" t="str">
        <f t="shared" si="43"/>
        <v xml:space="preserve"> </v>
      </c>
      <c r="AJ101" s="53" t="str">
        <f>IF(AI101="","",IFERROR(IF(VLOOKUP(AI101,Programa!$G$3:$H$18,2,0)="","",VLOOKUP(AI101,Programa!$G$3:$H$18,2,0)),""))</f>
        <v/>
      </c>
      <c r="AK101" s="53" t="str">
        <f t="shared" si="44"/>
        <v xml:space="preserve"> </v>
      </c>
      <c r="AL101" s="53" t="str">
        <f>IF(AK101="","",IFERROR(IF(VLOOKUP(AK101,Programa!$G$19:$H$34,2,0)="","",VLOOKUP(AK101,Programa!$G$19:$H$34,2,0)),""))</f>
        <v/>
      </c>
      <c r="AM101" s="53" t="str">
        <f t="shared" si="45"/>
        <v xml:space="preserve"> </v>
      </c>
      <c r="AN101" s="53" t="str">
        <f>IF(AM101="","",IFERROR(IF(VLOOKUP(AM101,Programa!$G$35:$H$50,2,0)="","",VLOOKUP(AM101,Programa!$G$35:$H$50,2,0)),""))</f>
        <v/>
      </c>
    </row>
    <row r="102" spans="1:40" ht="15.75" hidden="1" customHeight="1" x14ac:dyDescent="0.4">
      <c r="A102" s="242"/>
      <c r="B102" s="243"/>
      <c r="C102" s="245"/>
      <c r="D102" s="219">
        <f t="shared" ref="D102:AB102" si="61">IF(IFERROR(IF(VLOOKUP(D101,D$151:D$155,1,0)&gt;=1,D$150,0),D101)=D$132,D$136,IF(IFERROR(IF(VLOOKUP(D101,D$151:D$155,1,0)&gt;=1,D$150,0),D101)=D$139,D$142,IF(IFERROR(IF(VLOOKUP(D101,D$151:D$155,1,0)&gt;=1,D$150,0),D101)=D$145,D$147,0)))</f>
        <v>0</v>
      </c>
      <c r="E102" s="219">
        <f t="shared" si="61"/>
        <v>0</v>
      </c>
      <c r="F102" s="219">
        <f t="shared" si="61"/>
        <v>0</v>
      </c>
      <c r="G102" s="219">
        <f t="shared" si="61"/>
        <v>0</v>
      </c>
      <c r="H102" s="219">
        <f t="shared" si="61"/>
        <v>0</v>
      </c>
      <c r="I102" s="219">
        <f t="shared" si="61"/>
        <v>0</v>
      </c>
      <c r="J102" s="219">
        <f t="shared" si="61"/>
        <v>0</v>
      </c>
      <c r="K102" s="219">
        <f t="shared" si="61"/>
        <v>0</v>
      </c>
      <c r="L102" s="219">
        <f t="shared" si="61"/>
        <v>0</v>
      </c>
      <c r="M102" s="219">
        <f t="shared" si="61"/>
        <v>0</v>
      </c>
      <c r="N102" s="219">
        <f t="shared" si="61"/>
        <v>0</v>
      </c>
      <c r="O102" s="219">
        <f t="shared" si="61"/>
        <v>0</v>
      </c>
      <c r="P102" s="219">
        <f t="shared" si="61"/>
        <v>0</v>
      </c>
      <c r="Q102" s="219">
        <f t="shared" si="61"/>
        <v>0</v>
      </c>
      <c r="R102" s="219">
        <f t="shared" si="61"/>
        <v>0</v>
      </c>
      <c r="S102" s="219">
        <f t="shared" si="61"/>
        <v>0</v>
      </c>
      <c r="T102" s="219">
        <f t="shared" si="61"/>
        <v>0</v>
      </c>
      <c r="U102" s="219">
        <f t="shared" si="61"/>
        <v>0</v>
      </c>
      <c r="V102" s="219">
        <f t="shared" si="61"/>
        <v>0</v>
      </c>
      <c r="W102" s="219">
        <f t="shared" si="61"/>
        <v>0</v>
      </c>
      <c r="X102" s="219">
        <f t="shared" si="61"/>
        <v>0</v>
      </c>
      <c r="Y102" s="219">
        <f t="shared" si="61"/>
        <v>0</v>
      </c>
      <c r="Z102" s="219">
        <f t="shared" si="61"/>
        <v>0</v>
      </c>
      <c r="AA102" s="219">
        <f t="shared" si="61"/>
        <v>0</v>
      </c>
      <c r="AB102" s="219">
        <f t="shared" si="61"/>
        <v>0</v>
      </c>
      <c r="AC102" s="243"/>
      <c r="AI102" s="54"/>
      <c r="AJ102" s="54"/>
      <c r="AK102" s="54"/>
      <c r="AL102" s="54"/>
      <c r="AM102" s="54"/>
      <c r="AN102" s="54"/>
    </row>
    <row r="103" spans="1:40" ht="15.75" hidden="1" customHeight="1" x14ac:dyDescent="0.45">
      <c r="A103" s="242">
        <f t="shared" si="49"/>
        <v>16</v>
      </c>
      <c r="B103" s="243">
        <f>STUD!C50</f>
        <v>0</v>
      </c>
      <c r="C103" s="244">
        <f>SUM(D104:AB104)</f>
        <v>0</v>
      </c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39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243">
        <f>SUM(D104:AB104)</f>
        <v>0</v>
      </c>
      <c r="AE103" s="55" t="s">
        <v>51</v>
      </c>
      <c r="AF103" s="57">
        <f>COUNTA(STUD!B35:B68)</f>
        <v>34</v>
      </c>
      <c r="AG103" s="55" t="s">
        <v>16</v>
      </c>
      <c r="AH103" s="56">
        <f>(AF103-1)*5000</f>
        <v>165000</v>
      </c>
    </row>
    <row r="104" spans="1:40" ht="15.75" hidden="1" customHeight="1" x14ac:dyDescent="0.4">
      <c r="A104" s="242"/>
      <c r="B104" s="243"/>
      <c r="C104" s="245"/>
      <c r="D104" s="219">
        <f t="shared" ref="D104:AB104" si="62">IF(IFERROR(IF(VLOOKUP(D103,D$151:D$155,1,0)&gt;=1,D$150,0),D103)=D$132,D$136,IF(IFERROR(IF(VLOOKUP(D103,D$151:D$155,1,0)&gt;=1,D$150,0),D103)=D$139,D$142,IF(IFERROR(IF(VLOOKUP(D103,D$151:D$155,1,0)&gt;=1,D$150,0),D103)=D$145,D$147,0)))</f>
        <v>0</v>
      </c>
      <c r="E104" s="219">
        <f t="shared" si="62"/>
        <v>0</v>
      </c>
      <c r="F104" s="219">
        <f t="shared" si="62"/>
        <v>0</v>
      </c>
      <c r="G104" s="219">
        <f t="shared" si="62"/>
        <v>0</v>
      </c>
      <c r="H104" s="219">
        <f t="shared" si="62"/>
        <v>0</v>
      </c>
      <c r="I104" s="219">
        <f t="shared" si="62"/>
        <v>0</v>
      </c>
      <c r="J104" s="219">
        <f t="shared" si="62"/>
        <v>0</v>
      </c>
      <c r="K104" s="219">
        <f t="shared" si="62"/>
        <v>0</v>
      </c>
      <c r="L104" s="219">
        <f t="shared" si="62"/>
        <v>0</v>
      </c>
      <c r="M104" s="219">
        <f t="shared" si="62"/>
        <v>0</v>
      </c>
      <c r="N104" s="219">
        <f t="shared" si="62"/>
        <v>0</v>
      </c>
      <c r="O104" s="219">
        <f t="shared" si="62"/>
        <v>0</v>
      </c>
      <c r="P104" s="219">
        <f t="shared" si="62"/>
        <v>0</v>
      </c>
      <c r="Q104" s="219">
        <f t="shared" si="62"/>
        <v>0</v>
      </c>
      <c r="R104" s="219">
        <f t="shared" si="62"/>
        <v>0</v>
      </c>
      <c r="S104" s="219">
        <f t="shared" si="62"/>
        <v>0</v>
      </c>
      <c r="T104" s="219">
        <f t="shared" si="62"/>
        <v>0</v>
      </c>
      <c r="U104" s="219">
        <f t="shared" si="62"/>
        <v>0</v>
      </c>
      <c r="V104" s="219">
        <f t="shared" si="62"/>
        <v>0</v>
      </c>
      <c r="W104" s="219">
        <f t="shared" si="62"/>
        <v>0</v>
      </c>
      <c r="X104" s="219">
        <f t="shared" si="62"/>
        <v>0</v>
      </c>
      <c r="Y104" s="219">
        <f t="shared" si="62"/>
        <v>0</v>
      </c>
      <c r="Z104" s="219">
        <f t="shared" si="62"/>
        <v>0</v>
      </c>
      <c r="AA104" s="219">
        <f t="shared" si="62"/>
        <v>0</v>
      </c>
      <c r="AB104" s="219">
        <f t="shared" si="62"/>
        <v>0</v>
      </c>
      <c r="AC104" s="243"/>
      <c r="AE104" s="58" t="s">
        <v>38</v>
      </c>
      <c r="AF104" s="58"/>
      <c r="AG104" s="59">
        <f>($AH$103-$AG$106)*80%</f>
        <v>118800</v>
      </c>
      <c r="AH104" s="59"/>
    </row>
    <row r="105" spans="1:40" ht="15.75" hidden="1" customHeight="1" x14ac:dyDescent="0.4">
      <c r="A105" s="242">
        <f t="shared" si="49"/>
        <v>17</v>
      </c>
      <c r="B105" s="243">
        <f>STUD!C51</f>
        <v>0</v>
      </c>
      <c r="C105" s="244">
        <f>SUM(D106:AB106)</f>
        <v>0</v>
      </c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135"/>
      <c r="O105" s="135"/>
      <c r="P105" s="135"/>
      <c r="Q105" s="135"/>
      <c r="R105" s="135"/>
      <c r="S105" s="135"/>
      <c r="T105" s="135"/>
      <c r="U105" s="135"/>
      <c r="V105" s="135"/>
      <c r="W105" s="135"/>
      <c r="X105" s="135"/>
      <c r="Y105" s="135"/>
      <c r="Z105" s="135"/>
      <c r="AA105" s="135"/>
      <c r="AB105" s="135"/>
      <c r="AC105" s="243">
        <f>SUM(D106:AB106)</f>
        <v>0</v>
      </c>
      <c r="AE105" s="58" t="s">
        <v>39</v>
      </c>
      <c r="AF105" s="58"/>
      <c r="AG105" s="59">
        <f>($AH$103-$AG$106)*20%</f>
        <v>29700</v>
      </c>
      <c r="AH105" s="59"/>
    </row>
    <row r="106" spans="1:40" ht="15.75" hidden="1" customHeight="1" x14ac:dyDescent="0.4">
      <c r="A106" s="242"/>
      <c r="B106" s="243"/>
      <c r="C106" s="245"/>
      <c r="D106" s="219">
        <f t="shared" ref="D106:AB106" si="63">IF(IFERROR(IF(VLOOKUP(D105,D$151:D$155,1,0)&gt;=1,D$150,0),D105)=D$132,D$136,IF(IFERROR(IF(VLOOKUP(D105,D$151:D$155,1,0)&gt;=1,D$150,0),D105)=D$139,D$142,IF(IFERROR(IF(VLOOKUP(D105,D$151:D$155,1,0)&gt;=1,D$150,0),D105)=D$145,D$147,0)))</f>
        <v>0</v>
      </c>
      <c r="E106" s="219">
        <f t="shared" si="63"/>
        <v>0</v>
      </c>
      <c r="F106" s="219">
        <f t="shared" si="63"/>
        <v>0</v>
      </c>
      <c r="G106" s="219">
        <f t="shared" si="63"/>
        <v>0</v>
      </c>
      <c r="H106" s="219">
        <f t="shared" si="63"/>
        <v>0</v>
      </c>
      <c r="I106" s="219">
        <f t="shared" si="63"/>
        <v>0</v>
      </c>
      <c r="J106" s="219">
        <f t="shared" si="63"/>
        <v>0</v>
      </c>
      <c r="K106" s="219">
        <f t="shared" si="63"/>
        <v>0</v>
      </c>
      <c r="L106" s="219">
        <f t="shared" si="63"/>
        <v>0</v>
      </c>
      <c r="M106" s="219">
        <f t="shared" si="63"/>
        <v>0</v>
      </c>
      <c r="N106" s="219">
        <f t="shared" si="63"/>
        <v>0</v>
      </c>
      <c r="O106" s="219">
        <f t="shared" si="63"/>
        <v>0</v>
      </c>
      <c r="P106" s="219">
        <f t="shared" si="63"/>
        <v>0</v>
      </c>
      <c r="Q106" s="219">
        <f t="shared" si="63"/>
        <v>0</v>
      </c>
      <c r="R106" s="219">
        <f t="shared" si="63"/>
        <v>0</v>
      </c>
      <c r="S106" s="219">
        <f t="shared" si="63"/>
        <v>0</v>
      </c>
      <c r="T106" s="219">
        <f t="shared" si="63"/>
        <v>0</v>
      </c>
      <c r="U106" s="219">
        <f t="shared" si="63"/>
        <v>0</v>
      </c>
      <c r="V106" s="219">
        <f t="shared" si="63"/>
        <v>0</v>
      </c>
      <c r="W106" s="219">
        <f t="shared" si="63"/>
        <v>0</v>
      </c>
      <c r="X106" s="219">
        <f t="shared" si="63"/>
        <v>0</v>
      </c>
      <c r="Y106" s="219">
        <f t="shared" si="63"/>
        <v>0</v>
      </c>
      <c r="Z106" s="219">
        <f t="shared" si="63"/>
        <v>0</v>
      </c>
      <c r="AA106" s="219">
        <f t="shared" si="63"/>
        <v>0</v>
      </c>
      <c r="AB106" s="219">
        <f t="shared" si="63"/>
        <v>0</v>
      </c>
      <c r="AC106" s="243"/>
      <c r="AE106" s="58" t="s">
        <v>40</v>
      </c>
      <c r="AF106" s="58"/>
      <c r="AG106" s="60">
        <f>(AH103*10%)</f>
        <v>16500</v>
      </c>
      <c r="AH106" s="60"/>
    </row>
    <row r="107" spans="1:40" ht="15.75" hidden="1" customHeight="1" x14ac:dyDescent="0.4">
      <c r="A107" s="242">
        <f t="shared" si="49"/>
        <v>18</v>
      </c>
      <c r="B107" s="243">
        <f>STUD!C52</f>
        <v>0</v>
      </c>
      <c r="C107" s="244">
        <f>SUM(D108:AB108)</f>
        <v>0</v>
      </c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39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243">
        <f>SUM(D108:AB108)</f>
        <v>0</v>
      </c>
    </row>
    <row r="108" spans="1:40" ht="15.75" hidden="1" customHeight="1" x14ac:dyDescent="0.4">
      <c r="A108" s="242"/>
      <c r="B108" s="243"/>
      <c r="C108" s="245"/>
      <c r="D108" s="219">
        <f t="shared" ref="D108:AB108" si="64">IF(IFERROR(IF(VLOOKUP(D107,D$151:D$155,1,0)&gt;=1,D$150,0),D107)=D$132,D$136,IF(IFERROR(IF(VLOOKUP(D107,D$151:D$155,1,0)&gt;=1,D$150,0),D107)=D$139,D$142,IF(IFERROR(IF(VLOOKUP(D107,D$151:D$155,1,0)&gt;=1,D$150,0),D107)=D$145,D$147,0)))</f>
        <v>0</v>
      </c>
      <c r="E108" s="219">
        <f t="shared" si="64"/>
        <v>0</v>
      </c>
      <c r="F108" s="219">
        <f t="shared" si="64"/>
        <v>0</v>
      </c>
      <c r="G108" s="219">
        <f t="shared" si="64"/>
        <v>0</v>
      </c>
      <c r="H108" s="219">
        <f t="shared" si="64"/>
        <v>0</v>
      </c>
      <c r="I108" s="219">
        <f t="shared" si="64"/>
        <v>0</v>
      </c>
      <c r="J108" s="219">
        <f t="shared" si="64"/>
        <v>0</v>
      </c>
      <c r="K108" s="219">
        <f t="shared" si="64"/>
        <v>0</v>
      </c>
      <c r="L108" s="219">
        <f t="shared" si="64"/>
        <v>0</v>
      </c>
      <c r="M108" s="219">
        <f t="shared" si="64"/>
        <v>0</v>
      </c>
      <c r="N108" s="219">
        <f t="shared" si="64"/>
        <v>0</v>
      </c>
      <c r="O108" s="219">
        <f t="shared" si="64"/>
        <v>0</v>
      </c>
      <c r="P108" s="219">
        <f t="shared" si="64"/>
        <v>0</v>
      </c>
      <c r="Q108" s="219">
        <f t="shared" si="64"/>
        <v>0</v>
      </c>
      <c r="R108" s="219">
        <f t="shared" si="64"/>
        <v>0</v>
      </c>
      <c r="S108" s="219">
        <f t="shared" si="64"/>
        <v>0</v>
      </c>
      <c r="T108" s="219">
        <f t="shared" si="64"/>
        <v>0</v>
      </c>
      <c r="U108" s="219">
        <f t="shared" si="64"/>
        <v>0</v>
      </c>
      <c r="V108" s="219">
        <f t="shared" si="64"/>
        <v>0</v>
      </c>
      <c r="W108" s="219">
        <f t="shared" si="64"/>
        <v>0</v>
      </c>
      <c r="X108" s="219">
        <f t="shared" si="64"/>
        <v>0</v>
      </c>
      <c r="Y108" s="219">
        <f t="shared" si="64"/>
        <v>0</v>
      </c>
      <c r="Z108" s="219">
        <f t="shared" si="64"/>
        <v>0</v>
      </c>
      <c r="AA108" s="219">
        <f t="shared" si="64"/>
        <v>0</v>
      </c>
      <c r="AB108" s="219">
        <f t="shared" si="64"/>
        <v>0</v>
      </c>
      <c r="AC108" s="243"/>
    </row>
    <row r="109" spans="1:40" ht="15.75" hidden="1" customHeight="1" x14ac:dyDescent="0.4">
      <c r="A109" s="242">
        <f t="shared" si="49"/>
        <v>19</v>
      </c>
      <c r="B109" s="243">
        <f>STUD!C53</f>
        <v>0</v>
      </c>
      <c r="C109" s="244">
        <f>SUM(D110:AB110)</f>
        <v>0</v>
      </c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8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  <c r="AA109" s="117"/>
      <c r="AB109" s="117"/>
      <c r="AC109" s="243">
        <f>SUM(D110:AB110)</f>
        <v>0</v>
      </c>
    </row>
    <row r="110" spans="1:40" ht="15.75" hidden="1" customHeight="1" x14ac:dyDescent="0.4">
      <c r="A110" s="242"/>
      <c r="B110" s="243"/>
      <c r="C110" s="245"/>
      <c r="D110" s="138">
        <f t="shared" ref="D110:AB110" si="65">IF(IFERROR(IF(VLOOKUP(D109,D$151:D$155,1,0)&gt;=1,D$150,0),D109)=D$132,D$136,IF(IFERROR(IF(VLOOKUP(D109,D$151:D$155,1,0)&gt;=1,D$150,0),D109)=D$139,D$142,IF(IFERROR(IF(VLOOKUP(D109,D$151:D$155,1,0)&gt;=1,D$150,0),D109)=D$145,D$147,0)))</f>
        <v>0</v>
      </c>
      <c r="E110" s="138">
        <f t="shared" si="65"/>
        <v>0</v>
      </c>
      <c r="F110" s="138">
        <f t="shared" si="65"/>
        <v>0</v>
      </c>
      <c r="G110" s="138">
        <f t="shared" si="65"/>
        <v>0</v>
      </c>
      <c r="H110" s="138">
        <f t="shared" si="65"/>
        <v>0</v>
      </c>
      <c r="I110" s="138">
        <f t="shared" si="65"/>
        <v>0</v>
      </c>
      <c r="J110" s="138">
        <f t="shared" si="65"/>
        <v>0</v>
      </c>
      <c r="K110" s="138">
        <f t="shared" si="65"/>
        <v>0</v>
      </c>
      <c r="L110" s="138">
        <f t="shared" si="65"/>
        <v>0</v>
      </c>
      <c r="M110" s="138">
        <f t="shared" si="65"/>
        <v>0</v>
      </c>
      <c r="N110" s="138">
        <f t="shared" si="65"/>
        <v>0</v>
      </c>
      <c r="O110" s="138">
        <f t="shared" si="65"/>
        <v>0</v>
      </c>
      <c r="P110" s="138">
        <f t="shared" si="65"/>
        <v>0</v>
      </c>
      <c r="Q110" s="138">
        <f t="shared" si="65"/>
        <v>0</v>
      </c>
      <c r="R110" s="138">
        <f t="shared" si="65"/>
        <v>0</v>
      </c>
      <c r="S110" s="138">
        <f t="shared" si="65"/>
        <v>0</v>
      </c>
      <c r="T110" s="138">
        <f t="shared" si="65"/>
        <v>0</v>
      </c>
      <c r="U110" s="138">
        <f t="shared" si="65"/>
        <v>0</v>
      </c>
      <c r="V110" s="138">
        <f t="shared" si="65"/>
        <v>0</v>
      </c>
      <c r="W110" s="138">
        <f t="shared" si="65"/>
        <v>0</v>
      </c>
      <c r="X110" s="138">
        <f t="shared" si="65"/>
        <v>0</v>
      </c>
      <c r="Y110" s="138">
        <f t="shared" si="65"/>
        <v>0</v>
      </c>
      <c r="Z110" s="138">
        <f t="shared" si="65"/>
        <v>0</v>
      </c>
      <c r="AA110" s="138">
        <f t="shared" si="65"/>
        <v>0</v>
      </c>
      <c r="AB110" s="138">
        <f t="shared" si="65"/>
        <v>0</v>
      </c>
      <c r="AC110" s="243"/>
    </row>
    <row r="111" spans="1:40" ht="15.75" hidden="1" customHeight="1" x14ac:dyDescent="0.4">
      <c r="A111" s="242">
        <f t="shared" si="49"/>
        <v>20</v>
      </c>
      <c r="B111" s="243">
        <f>STUD!C54</f>
        <v>0</v>
      </c>
      <c r="C111" s="244">
        <f>SUM(D112:AB112)</f>
        <v>0</v>
      </c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8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  <c r="AA111" s="117"/>
      <c r="AB111" s="117"/>
      <c r="AC111" s="243">
        <f>SUM(D112:AB112)</f>
        <v>0</v>
      </c>
    </row>
    <row r="112" spans="1:40" ht="15.75" hidden="1" customHeight="1" x14ac:dyDescent="0.4">
      <c r="A112" s="242"/>
      <c r="B112" s="243"/>
      <c r="C112" s="245"/>
      <c r="D112" s="138">
        <f t="shared" ref="D112:AB112" si="66">IF(IFERROR(IF(VLOOKUP(D111,D$151:D$155,1,0)&gt;=1,D$150,0),D111)=D$132,D$136,IF(IFERROR(IF(VLOOKUP(D111,D$151:D$155,1,0)&gt;=1,D$150,0),D111)=D$139,D$142,IF(IFERROR(IF(VLOOKUP(D111,D$151:D$155,1,0)&gt;=1,D$150,0),D111)=D$145,D$147,0)))</f>
        <v>0</v>
      </c>
      <c r="E112" s="138">
        <f t="shared" si="66"/>
        <v>0</v>
      </c>
      <c r="F112" s="138">
        <f t="shared" si="66"/>
        <v>0</v>
      </c>
      <c r="G112" s="138">
        <f t="shared" si="66"/>
        <v>0</v>
      </c>
      <c r="H112" s="138">
        <f t="shared" si="66"/>
        <v>0</v>
      </c>
      <c r="I112" s="138">
        <f t="shared" si="66"/>
        <v>0</v>
      </c>
      <c r="J112" s="138">
        <f t="shared" si="66"/>
        <v>0</v>
      </c>
      <c r="K112" s="138">
        <f t="shared" si="66"/>
        <v>0</v>
      </c>
      <c r="L112" s="138">
        <f t="shared" si="66"/>
        <v>0</v>
      </c>
      <c r="M112" s="138">
        <f t="shared" si="66"/>
        <v>0</v>
      </c>
      <c r="N112" s="138">
        <f t="shared" si="66"/>
        <v>0</v>
      </c>
      <c r="O112" s="138">
        <f t="shared" si="66"/>
        <v>0</v>
      </c>
      <c r="P112" s="138">
        <f t="shared" si="66"/>
        <v>0</v>
      </c>
      <c r="Q112" s="138">
        <f t="shared" si="66"/>
        <v>0</v>
      </c>
      <c r="R112" s="138">
        <f t="shared" si="66"/>
        <v>0</v>
      </c>
      <c r="S112" s="138">
        <f t="shared" si="66"/>
        <v>0</v>
      </c>
      <c r="T112" s="138">
        <f t="shared" si="66"/>
        <v>0</v>
      </c>
      <c r="U112" s="138">
        <f t="shared" si="66"/>
        <v>0</v>
      </c>
      <c r="V112" s="138">
        <f t="shared" si="66"/>
        <v>0</v>
      </c>
      <c r="W112" s="138">
        <f t="shared" si="66"/>
        <v>0</v>
      </c>
      <c r="X112" s="138">
        <f t="shared" si="66"/>
        <v>0</v>
      </c>
      <c r="Y112" s="138">
        <f t="shared" si="66"/>
        <v>0</v>
      </c>
      <c r="Z112" s="138">
        <f t="shared" si="66"/>
        <v>0</v>
      </c>
      <c r="AA112" s="138">
        <f t="shared" si="66"/>
        <v>0</v>
      </c>
      <c r="AB112" s="138">
        <f t="shared" si="66"/>
        <v>0</v>
      </c>
      <c r="AC112" s="243"/>
    </row>
    <row r="113" spans="1:29" ht="15.75" hidden="1" customHeight="1" x14ac:dyDescent="0.4">
      <c r="A113" s="242">
        <f t="shared" si="49"/>
        <v>21</v>
      </c>
      <c r="B113" s="243">
        <f>STUD!C55</f>
        <v>0</v>
      </c>
      <c r="C113" s="244">
        <f>SUM(D114:AB114)</f>
        <v>0</v>
      </c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  <c r="AA113" s="117"/>
      <c r="AB113" s="117"/>
      <c r="AC113" s="243">
        <f>SUM(D114:AB114)</f>
        <v>0</v>
      </c>
    </row>
    <row r="114" spans="1:29" ht="15.75" hidden="1" customHeight="1" x14ac:dyDescent="0.4">
      <c r="A114" s="242"/>
      <c r="B114" s="243"/>
      <c r="C114" s="245"/>
      <c r="D114" s="138">
        <f t="shared" ref="D114:AB114" si="67">IF(IFERROR(IF(VLOOKUP(D113,D$151:D$155,1,0)&gt;=1,D$150,0),D113)=D$132,D$136,IF(IFERROR(IF(VLOOKUP(D113,D$151:D$155,1,0)&gt;=1,D$150,0),D113)=D$139,D$142,IF(IFERROR(IF(VLOOKUP(D113,D$151:D$155,1,0)&gt;=1,D$150,0),D113)=D$145,D$147,0)))</f>
        <v>0</v>
      </c>
      <c r="E114" s="138">
        <f t="shared" si="67"/>
        <v>0</v>
      </c>
      <c r="F114" s="138">
        <f t="shared" si="67"/>
        <v>0</v>
      </c>
      <c r="G114" s="138">
        <f t="shared" si="67"/>
        <v>0</v>
      </c>
      <c r="H114" s="138">
        <f t="shared" si="67"/>
        <v>0</v>
      </c>
      <c r="I114" s="138">
        <f t="shared" si="67"/>
        <v>0</v>
      </c>
      <c r="J114" s="138">
        <f t="shared" si="67"/>
        <v>0</v>
      </c>
      <c r="K114" s="138">
        <f t="shared" si="67"/>
        <v>0</v>
      </c>
      <c r="L114" s="138">
        <f t="shared" si="67"/>
        <v>0</v>
      </c>
      <c r="M114" s="138">
        <f t="shared" si="67"/>
        <v>0</v>
      </c>
      <c r="N114" s="138">
        <f t="shared" si="67"/>
        <v>0</v>
      </c>
      <c r="O114" s="138">
        <f t="shared" si="67"/>
        <v>0</v>
      </c>
      <c r="P114" s="138">
        <f t="shared" si="67"/>
        <v>0</v>
      </c>
      <c r="Q114" s="138">
        <f t="shared" si="67"/>
        <v>0</v>
      </c>
      <c r="R114" s="138">
        <f t="shared" si="67"/>
        <v>0</v>
      </c>
      <c r="S114" s="138">
        <f t="shared" si="67"/>
        <v>0</v>
      </c>
      <c r="T114" s="138">
        <f t="shared" si="67"/>
        <v>0</v>
      </c>
      <c r="U114" s="138">
        <f t="shared" si="67"/>
        <v>0</v>
      </c>
      <c r="V114" s="138">
        <f t="shared" si="67"/>
        <v>0</v>
      </c>
      <c r="W114" s="138">
        <f t="shared" si="67"/>
        <v>0</v>
      </c>
      <c r="X114" s="138">
        <f t="shared" si="67"/>
        <v>0</v>
      </c>
      <c r="Y114" s="138">
        <f t="shared" si="67"/>
        <v>0</v>
      </c>
      <c r="Z114" s="138">
        <f t="shared" si="67"/>
        <v>0</v>
      </c>
      <c r="AA114" s="138">
        <f t="shared" si="67"/>
        <v>0</v>
      </c>
      <c r="AB114" s="138">
        <f t="shared" si="67"/>
        <v>0</v>
      </c>
      <c r="AC114" s="243"/>
    </row>
    <row r="115" spans="1:29" ht="15.75" hidden="1" customHeight="1" x14ac:dyDescent="0.4">
      <c r="A115" s="242">
        <f t="shared" si="49"/>
        <v>22</v>
      </c>
      <c r="B115" s="243">
        <f>STUD!C56</f>
        <v>0</v>
      </c>
      <c r="C115" s="244">
        <f>SUM(D116:AB116)</f>
        <v>0</v>
      </c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  <c r="AA115" s="117"/>
      <c r="AB115" s="117"/>
      <c r="AC115" s="243">
        <f>SUM(D116:AB116)</f>
        <v>0</v>
      </c>
    </row>
    <row r="116" spans="1:29" ht="15.75" hidden="1" customHeight="1" x14ac:dyDescent="0.4">
      <c r="A116" s="242"/>
      <c r="B116" s="243"/>
      <c r="C116" s="245"/>
      <c r="D116" s="138">
        <f t="shared" ref="D116:AB116" si="68">IF(IFERROR(IF(VLOOKUP(D115,D$151:D$155,1,0)&gt;=1,D$150,0),D115)=D$132,D$136,IF(IFERROR(IF(VLOOKUP(D115,D$151:D$155,1,0)&gt;=1,D$150,0),D115)=D$139,D$142,IF(IFERROR(IF(VLOOKUP(D115,D$151:D$155,1,0)&gt;=1,D$150,0),D115)=D$145,D$147,0)))</f>
        <v>0</v>
      </c>
      <c r="E116" s="138">
        <f t="shared" si="68"/>
        <v>0</v>
      </c>
      <c r="F116" s="138">
        <f t="shared" si="68"/>
        <v>0</v>
      </c>
      <c r="G116" s="138">
        <f t="shared" si="68"/>
        <v>0</v>
      </c>
      <c r="H116" s="138">
        <f t="shared" si="68"/>
        <v>0</v>
      </c>
      <c r="I116" s="138">
        <f t="shared" si="68"/>
        <v>0</v>
      </c>
      <c r="J116" s="138">
        <f t="shared" si="68"/>
        <v>0</v>
      </c>
      <c r="K116" s="138">
        <f t="shared" si="68"/>
        <v>0</v>
      </c>
      <c r="L116" s="138">
        <f t="shared" si="68"/>
        <v>0</v>
      </c>
      <c r="M116" s="138">
        <f t="shared" si="68"/>
        <v>0</v>
      </c>
      <c r="N116" s="138">
        <f t="shared" si="68"/>
        <v>0</v>
      </c>
      <c r="O116" s="138">
        <f t="shared" si="68"/>
        <v>0</v>
      </c>
      <c r="P116" s="138">
        <f t="shared" si="68"/>
        <v>0</v>
      </c>
      <c r="Q116" s="138">
        <f t="shared" si="68"/>
        <v>0</v>
      </c>
      <c r="R116" s="138">
        <f t="shared" si="68"/>
        <v>0</v>
      </c>
      <c r="S116" s="138">
        <f t="shared" si="68"/>
        <v>0</v>
      </c>
      <c r="T116" s="138">
        <f t="shared" si="68"/>
        <v>0</v>
      </c>
      <c r="U116" s="138">
        <f t="shared" si="68"/>
        <v>0</v>
      </c>
      <c r="V116" s="138">
        <f t="shared" si="68"/>
        <v>0</v>
      </c>
      <c r="W116" s="138">
        <f t="shared" si="68"/>
        <v>0</v>
      </c>
      <c r="X116" s="138">
        <f t="shared" si="68"/>
        <v>0</v>
      </c>
      <c r="Y116" s="138">
        <f t="shared" si="68"/>
        <v>0</v>
      </c>
      <c r="Z116" s="138">
        <f t="shared" si="68"/>
        <v>0</v>
      </c>
      <c r="AA116" s="138">
        <f t="shared" si="68"/>
        <v>0</v>
      </c>
      <c r="AB116" s="138">
        <f t="shared" si="68"/>
        <v>0</v>
      </c>
      <c r="AC116" s="243"/>
    </row>
    <row r="117" spans="1:29" ht="15.75" hidden="1" customHeight="1" x14ac:dyDescent="0.4">
      <c r="A117" s="242">
        <f t="shared" si="49"/>
        <v>23</v>
      </c>
      <c r="B117" s="243">
        <f>STUD!C57</f>
        <v>0</v>
      </c>
      <c r="C117" s="244">
        <f>SUM(D118:AB118)</f>
        <v>0</v>
      </c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  <c r="AA117" s="117"/>
      <c r="AB117" s="117"/>
      <c r="AC117" s="243">
        <f>SUM(D118:AB118)</f>
        <v>0</v>
      </c>
    </row>
    <row r="118" spans="1:29" ht="15.75" hidden="1" customHeight="1" x14ac:dyDescent="0.4">
      <c r="A118" s="242"/>
      <c r="B118" s="243"/>
      <c r="C118" s="245"/>
      <c r="D118" s="138">
        <f t="shared" ref="D118:AB118" si="69">IF(IFERROR(IF(VLOOKUP(D117,D$151:D$155,1,0)&gt;=1,D$150,0),D117)=D$132,D$136,IF(IFERROR(IF(VLOOKUP(D117,D$151:D$155,1,0)&gt;=1,D$150,0),D117)=D$139,D$142,IF(IFERROR(IF(VLOOKUP(D117,D$151:D$155,1,0)&gt;=1,D$150,0),D117)=D$145,D$147,0)))</f>
        <v>0</v>
      </c>
      <c r="E118" s="138">
        <f t="shared" si="69"/>
        <v>0</v>
      </c>
      <c r="F118" s="138">
        <f t="shared" si="69"/>
        <v>0</v>
      </c>
      <c r="G118" s="138">
        <f t="shared" si="69"/>
        <v>0</v>
      </c>
      <c r="H118" s="138">
        <f t="shared" si="69"/>
        <v>0</v>
      </c>
      <c r="I118" s="138">
        <f t="shared" si="69"/>
        <v>0</v>
      </c>
      <c r="J118" s="138">
        <f t="shared" si="69"/>
        <v>0</v>
      </c>
      <c r="K118" s="138">
        <f t="shared" si="69"/>
        <v>0</v>
      </c>
      <c r="L118" s="138">
        <f t="shared" si="69"/>
        <v>0</v>
      </c>
      <c r="M118" s="138">
        <f t="shared" si="69"/>
        <v>0</v>
      </c>
      <c r="N118" s="138">
        <f t="shared" si="69"/>
        <v>0</v>
      </c>
      <c r="O118" s="138">
        <f t="shared" si="69"/>
        <v>0</v>
      </c>
      <c r="P118" s="138">
        <f t="shared" si="69"/>
        <v>0</v>
      </c>
      <c r="Q118" s="138">
        <f t="shared" si="69"/>
        <v>0</v>
      </c>
      <c r="R118" s="138">
        <f t="shared" si="69"/>
        <v>0</v>
      </c>
      <c r="S118" s="138">
        <f t="shared" si="69"/>
        <v>0</v>
      </c>
      <c r="T118" s="138">
        <f t="shared" si="69"/>
        <v>0</v>
      </c>
      <c r="U118" s="138">
        <f t="shared" si="69"/>
        <v>0</v>
      </c>
      <c r="V118" s="138">
        <f t="shared" si="69"/>
        <v>0</v>
      </c>
      <c r="W118" s="138">
        <f t="shared" si="69"/>
        <v>0</v>
      </c>
      <c r="X118" s="138">
        <f t="shared" si="69"/>
        <v>0</v>
      </c>
      <c r="Y118" s="138">
        <f t="shared" si="69"/>
        <v>0</v>
      </c>
      <c r="Z118" s="138">
        <f t="shared" si="69"/>
        <v>0</v>
      </c>
      <c r="AA118" s="138">
        <f t="shared" si="69"/>
        <v>0</v>
      </c>
      <c r="AB118" s="138">
        <f t="shared" si="69"/>
        <v>0</v>
      </c>
      <c r="AC118" s="243"/>
    </row>
    <row r="119" spans="1:29" ht="15.75" hidden="1" customHeight="1" x14ac:dyDescent="0.4">
      <c r="A119" s="242">
        <f t="shared" si="49"/>
        <v>24</v>
      </c>
      <c r="B119" s="243">
        <f>STUD!C58</f>
        <v>0</v>
      </c>
      <c r="C119" s="244">
        <f>SUM(D120:AB120)</f>
        <v>0</v>
      </c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  <c r="AA119" s="117"/>
      <c r="AB119" s="117"/>
      <c r="AC119" s="243">
        <f>SUM(D120:AB120)</f>
        <v>0</v>
      </c>
    </row>
    <row r="120" spans="1:29" ht="15.75" hidden="1" customHeight="1" x14ac:dyDescent="0.4">
      <c r="A120" s="242"/>
      <c r="B120" s="243"/>
      <c r="C120" s="245"/>
      <c r="D120" s="138">
        <f t="shared" ref="D120:AB120" si="70">IF(IFERROR(IF(VLOOKUP(D119,D$151:D$155,1,0)&gt;=1,D$150,0),D119)=D$132,D$136,IF(IFERROR(IF(VLOOKUP(D119,D$151:D$155,1,0)&gt;=1,D$150,0),D119)=D$139,D$142,IF(IFERROR(IF(VLOOKUP(D119,D$151:D$155,1,0)&gt;=1,D$150,0),D119)=D$145,D$147,0)))</f>
        <v>0</v>
      </c>
      <c r="E120" s="138">
        <f t="shared" si="70"/>
        <v>0</v>
      </c>
      <c r="F120" s="138">
        <f t="shared" si="70"/>
        <v>0</v>
      </c>
      <c r="G120" s="138">
        <f t="shared" si="70"/>
        <v>0</v>
      </c>
      <c r="H120" s="138">
        <f t="shared" si="70"/>
        <v>0</v>
      </c>
      <c r="I120" s="138">
        <f t="shared" si="70"/>
        <v>0</v>
      </c>
      <c r="J120" s="138">
        <f t="shared" si="70"/>
        <v>0</v>
      </c>
      <c r="K120" s="138">
        <f t="shared" si="70"/>
        <v>0</v>
      </c>
      <c r="L120" s="138">
        <f t="shared" si="70"/>
        <v>0</v>
      </c>
      <c r="M120" s="138">
        <f t="shared" si="70"/>
        <v>0</v>
      </c>
      <c r="N120" s="138">
        <f t="shared" si="70"/>
        <v>0</v>
      </c>
      <c r="O120" s="138">
        <f t="shared" si="70"/>
        <v>0</v>
      </c>
      <c r="P120" s="138">
        <f t="shared" si="70"/>
        <v>0</v>
      </c>
      <c r="Q120" s="138">
        <f t="shared" si="70"/>
        <v>0</v>
      </c>
      <c r="R120" s="138">
        <f t="shared" si="70"/>
        <v>0</v>
      </c>
      <c r="S120" s="138">
        <f t="shared" si="70"/>
        <v>0</v>
      </c>
      <c r="T120" s="138">
        <f t="shared" si="70"/>
        <v>0</v>
      </c>
      <c r="U120" s="138">
        <f t="shared" si="70"/>
        <v>0</v>
      </c>
      <c r="V120" s="138">
        <f t="shared" si="70"/>
        <v>0</v>
      </c>
      <c r="W120" s="138">
        <f t="shared" si="70"/>
        <v>0</v>
      </c>
      <c r="X120" s="138">
        <f t="shared" si="70"/>
        <v>0</v>
      </c>
      <c r="Y120" s="138">
        <f t="shared" si="70"/>
        <v>0</v>
      </c>
      <c r="Z120" s="138">
        <f t="shared" si="70"/>
        <v>0</v>
      </c>
      <c r="AA120" s="138">
        <f t="shared" si="70"/>
        <v>0</v>
      </c>
      <c r="AB120" s="138">
        <f t="shared" si="70"/>
        <v>0</v>
      </c>
      <c r="AC120" s="243"/>
    </row>
    <row r="121" spans="1:29" ht="15.75" hidden="1" customHeight="1" x14ac:dyDescent="0.4">
      <c r="A121" s="242">
        <f t="shared" si="49"/>
        <v>25</v>
      </c>
      <c r="B121" s="243">
        <f>STUD!C59</f>
        <v>0</v>
      </c>
      <c r="C121" s="244">
        <f>SUM(D122:AB122)</f>
        <v>0</v>
      </c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  <c r="AA121" s="117"/>
      <c r="AB121" s="117"/>
      <c r="AC121" s="243">
        <f>SUM(D122:AB122)</f>
        <v>0</v>
      </c>
    </row>
    <row r="122" spans="1:29" ht="15.75" hidden="1" customHeight="1" x14ac:dyDescent="0.4">
      <c r="A122" s="242"/>
      <c r="B122" s="243"/>
      <c r="C122" s="245"/>
      <c r="D122" s="138">
        <f t="shared" ref="D122:AB122" si="71">IF(IFERROR(IF(VLOOKUP(D121,D$151:D$155,1,0)&gt;=1,D$150,0),D121)=D$132,D$136,IF(IFERROR(IF(VLOOKUP(D121,D$151:D$155,1,0)&gt;=1,D$150,0),D121)=D$139,D$142,IF(IFERROR(IF(VLOOKUP(D121,D$151:D$155,1,0)&gt;=1,D$150,0),D121)=D$145,D$147,0)))</f>
        <v>0</v>
      </c>
      <c r="E122" s="138">
        <f t="shared" si="71"/>
        <v>0</v>
      </c>
      <c r="F122" s="138">
        <f t="shared" si="71"/>
        <v>0</v>
      </c>
      <c r="G122" s="138">
        <f t="shared" si="71"/>
        <v>0</v>
      </c>
      <c r="H122" s="138">
        <f t="shared" si="71"/>
        <v>0</v>
      </c>
      <c r="I122" s="138">
        <f t="shared" si="71"/>
        <v>0</v>
      </c>
      <c r="J122" s="138">
        <f t="shared" si="71"/>
        <v>0</v>
      </c>
      <c r="K122" s="138">
        <f t="shared" si="71"/>
        <v>0</v>
      </c>
      <c r="L122" s="138">
        <f t="shared" si="71"/>
        <v>0</v>
      </c>
      <c r="M122" s="138">
        <f t="shared" si="71"/>
        <v>0</v>
      </c>
      <c r="N122" s="138">
        <f t="shared" si="71"/>
        <v>0</v>
      </c>
      <c r="O122" s="138">
        <f t="shared" si="71"/>
        <v>0</v>
      </c>
      <c r="P122" s="138">
        <f t="shared" si="71"/>
        <v>0</v>
      </c>
      <c r="Q122" s="138">
        <f t="shared" si="71"/>
        <v>0</v>
      </c>
      <c r="R122" s="138">
        <f t="shared" si="71"/>
        <v>0</v>
      </c>
      <c r="S122" s="138">
        <f t="shared" si="71"/>
        <v>0</v>
      </c>
      <c r="T122" s="138">
        <f t="shared" si="71"/>
        <v>0</v>
      </c>
      <c r="U122" s="138">
        <f t="shared" si="71"/>
        <v>0</v>
      </c>
      <c r="V122" s="138">
        <f t="shared" si="71"/>
        <v>0</v>
      </c>
      <c r="W122" s="138">
        <f t="shared" si="71"/>
        <v>0</v>
      </c>
      <c r="X122" s="138">
        <f t="shared" si="71"/>
        <v>0</v>
      </c>
      <c r="Y122" s="138">
        <f t="shared" si="71"/>
        <v>0</v>
      </c>
      <c r="Z122" s="138">
        <f t="shared" si="71"/>
        <v>0</v>
      </c>
      <c r="AA122" s="138">
        <f t="shared" si="71"/>
        <v>0</v>
      </c>
      <c r="AB122" s="138">
        <f t="shared" si="71"/>
        <v>0</v>
      </c>
      <c r="AC122" s="243"/>
    </row>
    <row r="123" spans="1:29" ht="15.75" hidden="1" customHeight="1" x14ac:dyDescent="0.4">
      <c r="A123" s="285">
        <f t="shared" si="49"/>
        <v>26</v>
      </c>
      <c r="B123" s="243">
        <f>STUD!C60</f>
        <v>0</v>
      </c>
      <c r="C123" s="244">
        <f>SUM(D124:AB124)</f>
        <v>0</v>
      </c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9"/>
      <c r="Y123" s="119"/>
      <c r="Z123" s="119"/>
      <c r="AA123" s="119"/>
      <c r="AB123" s="119"/>
      <c r="AC123" s="243">
        <f>SUM(D124:AB124)</f>
        <v>0</v>
      </c>
    </row>
    <row r="124" spans="1:29" ht="19.5" hidden="1" x14ac:dyDescent="0.4">
      <c r="A124" s="286"/>
      <c r="B124" s="243"/>
      <c r="C124" s="245"/>
      <c r="D124" s="108">
        <f t="shared" ref="D124:AB124" si="72">IF(IFERROR(IF(VLOOKUP(D123,D$151:D$155,1,0)&gt;=1,D$150,0),D123)=D$132,D$136,IF(IFERROR(IF(VLOOKUP(D123,D$151:D$155,1,0)&gt;=1,D$150,0),D123)=D$139,D$142,IF(IFERROR(IF(VLOOKUP(D123,D$151:D$155,1,0)&gt;=1,D$150,0),D123)=D$145,D$147,0)))</f>
        <v>0</v>
      </c>
      <c r="E124" s="108">
        <f t="shared" si="72"/>
        <v>0</v>
      </c>
      <c r="F124" s="108">
        <f t="shared" si="72"/>
        <v>0</v>
      </c>
      <c r="G124" s="108">
        <f t="shared" si="72"/>
        <v>0</v>
      </c>
      <c r="H124" s="108">
        <f t="shared" si="72"/>
        <v>0</v>
      </c>
      <c r="I124" s="108">
        <f t="shared" si="72"/>
        <v>0</v>
      </c>
      <c r="J124" s="108">
        <f t="shared" si="72"/>
        <v>0</v>
      </c>
      <c r="K124" s="108">
        <f t="shared" si="72"/>
        <v>0</v>
      </c>
      <c r="L124" s="108">
        <f t="shared" si="72"/>
        <v>0</v>
      </c>
      <c r="M124" s="108">
        <f t="shared" si="72"/>
        <v>0</v>
      </c>
      <c r="N124" s="108">
        <f t="shared" si="72"/>
        <v>0</v>
      </c>
      <c r="O124" s="108">
        <f t="shared" si="72"/>
        <v>0</v>
      </c>
      <c r="P124" s="108">
        <f t="shared" si="72"/>
        <v>0</v>
      </c>
      <c r="Q124" s="108">
        <f t="shared" si="72"/>
        <v>0</v>
      </c>
      <c r="R124" s="108">
        <f t="shared" si="72"/>
        <v>0</v>
      </c>
      <c r="S124" s="108">
        <f t="shared" si="72"/>
        <v>0</v>
      </c>
      <c r="T124" s="108">
        <f t="shared" si="72"/>
        <v>0</v>
      </c>
      <c r="U124" s="108">
        <f t="shared" si="72"/>
        <v>0</v>
      </c>
      <c r="V124" s="108">
        <f t="shared" si="72"/>
        <v>0</v>
      </c>
      <c r="W124" s="108">
        <f t="shared" si="72"/>
        <v>0</v>
      </c>
      <c r="X124" s="108">
        <f t="shared" si="72"/>
        <v>0</v>
      </c>
      <c r="Y124" s="108">
        <f t="shared" si="72"/>
        <v>0</v>
      </c>
      <c r="Z124" s="108">
        <f t="shared" si="72"/>
        <v>0</v>
      </c>
      <c r="AA124" s="108">
        <f t="shared" si="72"/>
        <v>0</v>
      </c>
      <c r="AB124" s="108">
        <f t="shared" si="72"/>
        <v>0</v>
      </c>
      <c r="AC124" s="243"/>
    </row>
    <row r="125" spans="1:29" ht="15.75" hidden="1" x14ac:dyDescent="0.4">
      <c r="A125" s="281">
        <f t="shared" si="49"/>
        <v>27</v>
      </c>
      <c r="B125" s="243">
        <f>STUD!C61</f>
        <v>0</v>
      </c>
      <c r="C125" s="283">
        <f>SUM(D126:AB126)</f>
        <v>0</v>
      </c>
      <c r="D125" s="120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1"/>
      <c r="Y125" s="121"/>
      <c r="Z125" s="121"/>
      <c r="AA125" s="121"/>
      <c r="AB125" s="121"/>
      <c r="AC125" s="263">
        <f>SUM(D126:AB126)</f>
        <v>0</v>
      </c>
    </row>
    <row r="126" spans="1:29" ht="15.75" hidden="1" x14ac:dyDescent="0.4">
      <c r="A126" s="282"/>
      <c r="B126" s="243"/>
      <c r="C126" s="284"/>
      <c r="D126" s="134">
        <f t="shared" ref="D126:AB126" si="73">IF(IFERROR(IF(VLOOKUP(D125,D$151:D$155,1,0)&gt;=1,D$150,0),D125)=D$132,D$136,IF(IFERROR(IF(VLOOKUP(D125,D$151:D$155,1,0)&gt;=1,D$150,0),D125)=D$139,D$142,IF(IFERROR(IF(VLOOKUP(D125,D$151:D$155,1,0)&gt;=1,D$150,0),D125)=D$145,D$147,0)))</f>
        <v>0</v>
      </c>
      <c r="E126" s="134">
        <f t="shared" si="73"/>
        <v>0</v>
      </c>
      <c r="F126" s="134">
        <f t="shared" si="73"/>
        <v>0</v>
      </c>
      <c r="G126" s="134">
        <f t="shared" si="73"/>
        <v>0</v>
      </c>
      <c r="H126" s="134">
        <f t="shared" si="73"/>
        <v>0</v>
      </c>
      <c r="I126" s="134">
        <f t="shared" si="73"/>
        <v>0</v>
      </c>
      <c r="J126" s="134">
        <f t="shared" si="73"/>
        <v>0</v>
      </c>
      <c r="K126" s="134">
        <f t="shared" si="73"/>
        <v>0</v>
      </c>
      <c r="L126" s="134">
        <f t="shared" si="73"/>
        <v>0</v>
      </c>
      <c r="M126" s="134">
        <f t="shared" si="73"/>
        <v>0</v>
      </c>
      <c r="N126" s="134">
        <f t="shared" si="73"/>
        <v>0</v>
      </c>
      <c r="O126" s="134">
        <f t="shared" si="73"/>
        <v>0</v>
      </c>
      <c r="P126" s="134">
        <f t="shared" si="73"/>
        <v>0</v>
      </c>
      <c r="Q126" s="134">
        <f t="shared" si="73"/>
        <v>0</v>
      </c>
      <c r="R126" s="134">
        <f t="shared" si="73"/>
        <v>0</v>
      </c>
      <c r="S126" s="134">
        <f t="shared" si="73"/>
        <v>0</v>
      </c>
      <c r="T126" s="134">
        <f t="shared" si="73"/>
        <v>0</v>
      </c>
      <c r="U126" s="134">
        <f t="shared" si="73"/>
        <v>0</v>
      </c>
      <c r="V126" s="134">
        <f t="shared" si="73"/>
        <v>0</v>
      </c>
      <c r="W126" s="134">
        <f t="shared" si="73"/>
        <v>0</v>
      </c>
      <c r="X126" s="134">
        <f t="shared" si="73"/>
        <v>0</v>
      </c>
      <c r="Y126" s="134">
        <f t="shared" si="73"/>
        <v>0</v>
      </c>
      <c r="Z126" s="134">
        <f t="shared" si="73"/>
        <v>0</v>
      </c>
      <c r="AA126" s="134">
        <f t="shared" si="73"/>
        <v>0</v>
      </c>
      <c r="AB126" s="134">
        <f t="shared" si="73"/>
        <v>0</v>
      </c>
      <c r="AC126" s="263"/>
    </row>
    <row r="127" spans="1:29" ht="15.75" hidden="1" x14ac:dyDescent="0.4">
      <c r="A127" s="281">
        <f t="shared" si="49"/>
        <v>28</v>
      </c>
      <c r="B127" s="243">
        <f>STUD!C62</f>
        <v>0</v>
      </c>
      <c r="C127" s="283">
        <f>SUM(D128:AB128)</f>
        <v>0</v>
      </c>
      <c r="D127" s="120"/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120"/>
      <c r="Q127" s="120"/>
      <c r="R127" s="120"/>
      <c r="S127" s="120"/>
      <c r="T127" s="120"/>
      <c r="U127" s="120"/>
      <c r="V127" s="120"/>
      <c r="W127" s="120"/>
      <c r="X127" s="121"/>
      <c r="Y127" s="121"/>
      <c r="Z127" s="121"/>
      <c r="AA127" s="121"/>
      <c r="AB127" s="121"/>
      <c r="AC127" s="263">
        <f>SUM(D128:AB128)</f>
        <v>0</v>
      </c>
    </row>
    <row r="128" spans="1:29" ht="15.75" hidden="1" x14ac:dyDescent="0.4">
      <c r="A128" s="282"/>
      <c r="B128" s="243"/>
      <c r="C128" s="284"/>
      <c r="D128" s="134">
        <f t="shared" ref="D128:AB128" si="74">IF(IFERROR(IF(VLOOKUP(D127,D$151:D$155,1,0)&gt;=1,D$150,0),D127)=D$132,D$136,IF(IFERROR(IF(VLOOKUP(D127,D$151:D$155,1,0)&gt;=1,D$150,0),D127)=D$139,D$142,IF(IFERROR(IF(VLOOKUP(D127,D$151:D$155,1,0)&gt;=1,D$150,0),D127)=D$145,D$147,0)))</f>
        <v>0</v>
      </c>
      <c r="E128" s="134">
        <f t="shared" si="74"/>
        <v>0</v>
      </c>
      <c r="F128" s="134">
        <f t="shared" si="74"/>
        <v>0</v>
      </c>
      <c r="G128" s="134">
        <f t="shared" si="74"/>
        <v>0</v>
      </c>
      <c r="H128" s="134">
        <f t="shared" si="74"/>
        <v>0</v>
      </c>
      <c r="I128" s="134">
        <f t="shared" si="74"/>
        <v>0</v>
      </c>
      <c r="J128" s="134">
        <f t="shared" si="74"/>
        <v>0</v>
      </c>
      <c r="K128" s="134">
        <f t="shared" si="74"/>
        <v>0</v>
      </c>
      <c r="L128" s="134">
        <f t="shared" si="74"/>
        <v>0</v>
      </c>
      <c r="M128" s="134">
        <f t="shared" si="74"/>
        <v>0</v>
      </c>
      <c r="N128" s="134">
        <f t="shared" si="74"/>
        <v>0</v>
      </c>
      <c r="O128" s="134">
        <f t="shared" si="74"/>
        <v>0</v>
      </c>
      <c r="P128" s="134">
        <f t="shared" si="74"/>
        <v>0</v>
      </c>
      <c r="Q128" s="134">
        <f t="shared" si="74"/>
        <v>0</v>
      </c>
      <c r="R128" s="134">
        <f t="shared" si="74"/>
        <v>0</v>
      </c>
      <c r="S128" s="134">
        <f t="shared" si="74"/>
        <v>0</v>
      </c>
      <c r="T128" s="134">
        <f t="shared" si="74"/>
        <v>0</v>
      </c>
      <c r="U128" s="134">
        <f t="shared" si="74"/>
        <v>0</v>
      </c>
      <c r="V128" s="134">
        <f t="shared" si="74"/>
        <v>0</v>
      </c>
      <c r="W128" s="134">
        <f t="shared" si="74"/>
        <v>0</v>
      </c>
      <c r="X128" s="134">
        <f t="shared" si="74"/>
        <v>0</v>
      </c>
      <c r="Y128" s="134">
        <f t="shared" si="74"/>
        <v>0</v>
      </c>
      <c r="Z128" s="134">
        <f t="shared" si="74"/>
        <v>0</v>
      </c>
      <c r="AA128" s="134">
        <f t="shared" si="74"/>
        <v>0</v>
      </c>
      <c r="AB128" s="134">
        <f t="shared" si="74"/>
        <v>0</v>
      </c>
      <c r="AC128" s="263"/>
    </row>
    <row r="129" spans="1:29" hidden="1" x14ac:dyDescent="0.4">
      <c r="A129" s="13"/>
      <c r="B129" s="10"/>
      <c r="C129" s="10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0"/>
    </row>
    <row r="130" spans="1:29" ht="13.5" thickBot="1" x14ac:dyDescent="0.45">
      <c r="A130" s="3"/>
    </row>
    <row r="131" spans="1:29" ht="19.899999999999999" thickBot="1" x14ac:dyDescent="0.65">
      <c r="A131" s="3"/>
      <c r="C131" s="17" t="s">
        <v>21</v>
      </c>
      <c r="D131" s="18">
        <v>1</v>
      </c>
      <c r="E131" s="18">
        <v>2</v>
      </c>
      <c r="F131" s="18">
        <v>3</v>
      </c>
      <c r="G131" s="18">
        <v>4</v>
      </c>
      <c r="H131" s="18">
        <v>5</v>
      </c>
      <c r="I131" s="18">
        <v>6</v>
      </c>
      <c r="J131" s="18">
        <v>7</v>
      </c>
      <c r="K131" s="18">
        <v>8</v>
      </c>
      <c r="L131" s="18">
        <v>9</v>
      </c>
      <c r="M131" s="18">
        <v>10</v>
      </c>
      <c r="N131" s="18">
        <v>11</v>
      </c>
      <c r="O131" s="18">
        <v>12</v>
      </c>
      <c r="P131" s="18">
        <v>13</v>
      </c>
      <c r="Q131" s="18">
        <v>14</v>
      </c>
      <c r="R131" s="18">
        <v>15</v>
      </c>
      <c r="S131" s="18">
        <v>16</v>
      </c>
      <c r="T131" s="18">
        <v>17</v>
      </c>
      <c r="U131" s="18">
        <v>18</v>
      </c>
      <c r="V131" s="18">
        <v>19</v>
      </c>
      <c r="W131" s="18">
        <v>20</v>
      </c>
      <c r="X131" s="18">
        <v>21</v>
      </c>
      <c r="Y131" s="18">
        <v>22</v>
      </c>
      <c r="Z131" s="18">
        <v>23</v>
      </c>
      <c r="AA131" s="4">
        <v>24</v>
      </c>
      <c r="AB131" s="4">
        <v>25</v>
      </c>
    </row>
    <row r="132" spans="1:29" ht="19.5" x14ac:dyDescent="0.6">
      <c r="A132" s="3"/>
      <c r="C132" s="19" t="s">
        <v>22</v>
      </c>
      <c r="D132" s="20">
        <v>10</v>
      </c>
      <c r="E132" s="20">
        <v>7</v>
      </c>
      <c r="F132" s="20">
        <v>6</v>
      </c>
      <c r="G132" s="20">
        <v>3</v>
      </c>
      <c r="H132" s="20">
        <v>9</v>
      </c>
      <c r="I132" s="20">
        <v>2</v>
      </c>
      <c r="J132" s="20">
        <v>2</v>
      </c>
      <c r="K132" s="20">
        <v>10</v>
      </c>
      <c r="L132" s="20">
        <v>7</v>
      </c>
      <c r="M132" s="41"/>
      <c r="N132" s="41"/>
      <c r="O132" s="41"/>
      <c r="P132" s="20"/>
      <c r="Q132" s="20"/>
      <c r="R132" s="20"/>
      <c r="S132" s="41"/>
      <c r="T132" s="41"/>
      <c r="U132" s="41"/>
      <c r="V132" s="20"/>
      <c r="W132" s="20"/>
      <c r="X132" s="41"/>
      <c r="Y132" s="5"/>
      <c r="Z132" s="5"/>
      <c r="AA132" s="5"/>
      <c r="AB132" s="5"/>
    </row>
    <row r="133" spans="1:29" ht="19.5" x14ac:dyDescent="0.6">
      <c r="A133" s="3"/>
      <c r="C133" s="22" t="s">
        <v>23</v>
      </c>
      <c r="D133" s="37">
        <v>3.6</v>
      </c>
      <c r="E133" s="37">
        <v>2.1</v>
      </c>
      <c r="F133" s="37">
        <v>2.8</v>
      </c>
      <c r="G133" s="37">
        <v>9.9</v>
      </c>
      <c r="H133" s="37">
        <v>1.8</v>
      </c>
      <c r="I133" s="37">
        <v>2.2000000000000002</v>
      </c>
      <c r="J133" s="37">
        <v>3</v>
      </c>
      <c r="K133" s="37">
        <v>18.100000000000001</v>
      </c>
      <c r="L133" s="37">
        <v>17.399999999999999</v>
      </c>
      <c r="M133" s="42"/>
      <c r="N133" s="43"/>
      <c r="O133" s="43"/>
      <c r="P133" s="37"/>
      <c r="Q133" s="37"/>
      <c r="R133" s="37"/>
      <c r="S133" s="43"/>
      <c r="T133" s="43"/>
      <c r="U133" s="43"/>
      <c r="V133" s="37"/>
      <c r="W133" s="37"/>
      <c r="X133" s="43"/>
      <c r="Y133" s="6"/>
      <c r="Z133" s="6"/>
      <c r="AA133" s="6"/>
      <c r="AB133" s="6"/>
    </row>
    <row r="134" spans="1:29" ht="19.5" x14ac:dyDescent="0.6">
      <c r="A134" s="3"/>
      <c r="C134" s="22" t="s">
        <v>24</v>
      </c>
      <c r="D134" s="37">
        <v>1.4</v>
      </c>
      <c r="E134" s="37">
        <v>1.2</v>
      </c>
      <c r="F134" s="37">
        <v>1.2</v>
      </c>
      <c r="G134" s="37">
        <v>3.6</v>
      </c>
      <c r="H134" s="37">
        <v>1.2</v>
      </c>
      <c r="I134" s="37">
        <v>1.3</v>
      </c>
      <c r="J134" s="37">
        <v>2</v>
      </c>
      <c r="K134" s="37">
        <v>6.6</v>
      </c>
      <c r="L134" s="37">
        <v>10.6</v>
      </c>
      <c r="M134" s="43"/>
      <c r="N134" s="43"/>
      <c r="O134" s="43"/>
      <c r="P134" s="37"/>
      <c r="Q134" s="37"/>
      <c r="R134" s="37"/>
      <c r="S134" s="43"/>
      <c r="T134" s="43"/>
      <c r="U134" s="43"/>
      <c r="V134" s="37"/>
      <c r="W134" s="37"/>
      <c r="X134" s="43"/>
      <c r="Y134" s="6"/>
      <c r="Z134" s="6"/>
      <c r="AA134" s="6"/>
      <c r="AB134" s="6"/>
    </row>
    <row r="135" spans="1:29" ht="19.5" x14ac:dyDescent="0.6">
      <c r="A135" s="3"/>
      <c r="C135" s="22" t="s">
        <v>25</v>
      </c>
      <c r="D135" s="37">
        <v>1.1000000000000001</v>
      </c>
      <c r="E135" s="37"/>
      <c r="F135" s="37"/>
      <c r="G135" s="37">
        <v>2.5</v>
      </c>
      <c r="H135" s="37">
        <v>1</v>
      </c>
      <c r="I135" s="37">
        <v>1.1000000000000001</v>
      </c>
      <c r="J135" s="37">
        <v>2</v>
      </c>
      <c r="K135" s="37">
        <v>3</v>
      </c>
      <c r="L135" s="37">
        <v>5.6</v>
      </c>
      <c r="M135" s="43"/>
      <c r="N135" s="43"/>
      <c r="O135" s="43"/>
      <c r="P135" s="37"/>
      <c r="Q135" s="37"/>
      <c r="R135" s="37"/>
      <c r="S135" s="43"/>
      <c r="T135" s="43"/>
      <c r="U135" s="43"/>
      <c r="V135" s="37"/>
      <c r="W135" s="37"/>
      <c r="X135" s="43"/>
      <c r="Y135" s="6"/>
      <c r="Z135" s="6"/>
      <c r="AA135" s="6"/>
      <c r="AB135" s="6"/>
    </row>
    <row r="136" spans="1:29" ht="19.899999999999999" thickBot="1" x14ac:dyDescent="0.65">
      <c r="A136" s="3"/>
      <c r="C136" s="24" t="s">
        <v>26</v>
      </c>
      <c r="D136" s="40">
        <f>IF(D130="U",D137*2,D137)</f>
        <v>6.1</v>
      </c>
      <c r="E136" s="40">
        <f t="shared" ref="E136:AC136" si="75">IF(E130="U",E137*2,E137)</f>
        <v>3.3</v>
      </c>
      <c r="F136" s="40">
        <f t="shared" si="75"/>
        <v>4</v>
      </c>
      <c r="G136" s="40">
        <f t="shared" si="75"/>
        <v>16</v>
      </c>
      <c r="H136" s="40">
        <f t="shared" si="75"/>
        <v>4</v>
      </c>
      <c r="I136" s="40">
        <f t="shared" si="75"/>
        <v>4.5999999999999996</v>
      </c>
      <c r="J136" s="40">
        <f t="shared" si="75"/>
        <v>7</v>
      </c>
      <c r="K136" s="40">
        <f t="shared" si="75"/>
        <v>27.700000000000003</v>
      </c>
      <c r="L136" s="40">
        <f t="shared" si="75"/>
        <v>33.6</v>
      </c>
      <c r="M136" s="40">
        <f t="shared" si="75"/>
        <v>0</v>
      </c>
      <c r="N136" s="40">
        <f t="shared" si="75"/>
        <v>0</v>
      </c>
      <c r="O136" s="40">
        <f t="shared" si="75"/>
        <v>0</v>
      </c>
      <c r="P136" s="40">
        <f t="shared" si="75"/>
        <v>0</v>
      </c>
      <c r="Q136" s="40">
        <f t="shared" si="75"/>
        <v>0</v>
      </c>
      <c r="R136" s="40">
        <f t="shared" si="75"/>
        <v>0</v>
      </c>
      <c r="S136" s="40">
        <f t="shared" si="75"/>
        <v>0</v>
      </c>
      <c r="T136" s="40">
        <f t="shared" si="75"/>
        <v>0</v>
      </c>
      <c r="U136" s="40">
        <f t="shared" si="75"/>
        <v>0</v>
      </c>
      <c r="V136" s="40">
        <f t="shared" si="75"/>
        <v>0</v>
      </c>
      <c r="W136" s="40">
        <f t="shared" si="75"/>
        <v>0</v>
      </c>
      <c r="X136" s="40">
        <f t="shared" si="75"/>
        <v>0</v>
      </c>
      <c r="Y136" s="40">
        <f t="shared" si="75"/>
        <v>0</v>
      </c>
      <c r="Z136" s="40">
        <f t="shared" si="75"/>
        <v>0</v>
      </c>
      <c r="AA136" s="40">
        <f t="shared" si="75"/>
        <v>0</v>
      </c>
      <c r="AB136" s="40">
        <f t="shared" si="75"/>
        <v>0</v>
      </c>
      <c r="AC136" s="40">
        <f t="shared" si="75"/>
        <v>0</v>
      </c>
    </row>
    <row r="137" spans="1:29" ht="19.5" x14ac:dyDescent="0.6">
      <c r="A137" s="3"/>
      <c r="C137" s="26"/>
      <c r="D137" s="27">
        <f>SUM(D133:D135)</f>
        <v>6.1</v>
      </c>
      <c r="E137" s="27">
        <f t="shared" ref="E137:AC137" si="76">SUM(E133:E135)</f>
        <v>3.3</v>
      </c>
      <c r="F137" s="27">
        <f t="shared" si="76"/>
        <v>4</v>
      </c>
      <c r="G137" s="27">
        <f t="shared" si="76"/>
        <v>16</v>
      </c>
      <c r="H137" s="27">
        <f t="shared" si="76"/>
        <v>4</v>
      </c>
      <c r="I137" s="27">
        <f t="shared" si="76"/>
        <v>4.5999999999999996</v>
      </c>
      <c r="J137" s="27">
        <f t="shared" si="76"/>
        <v>7</v>
      </c>
      <c r="K137" s="27">
        <f t="shared" si="76"/>
        <v>27.700000000000003</v>
      </c>
      <c r="L137" s="27">
        <f t="shared" si="76"/>
        <v>33.6</v>
      </c>
      <c r="M137" s="27">
        <f t="shared" si="76"/>
        <v>0</v>
      </c>
      <c r="N137" s="27">
        <f t="shared" si="76"/>
        <v>0</v>
      </c>
      <c r="O137" s="27">
        <f t="shared" si="76"/>
        <v>0</v>
      </c>
      <c r="P137" s="27">
        <f t="shared" si="76"/>
        <v>0</v>
      </c>
      <c r="Q137" s="27">
        <f t="shared" si="76"/>
        <v>0</v>
      </c>
      <c r="R137" s="27">
        <f t="shared" si="76"/>
        <v>0</v>
      </c>
      <c r="S137" s="27">
        <f t="shared" si="76"/>
        <v>0</v>
      </c>
      <c r="T137" s="27">
        <f t="shared" si="76"/>
        <v>0</v>
      </c>
      <c r="U137" s="27">
        <f t="shared" si="76"/>
        <v>0</v>
      </c>
      <c r="V137" s="27">
        <f t="shared" si="76"/>
        <v>0</v>
      </c>
      <c r="W137" s="27">
        <f t="shared" si="76"/>
        <v>0</v>
      </c>
      <c r="X137" s="27">
        <f t="shared" si="76"/>
        <v>0</v>
      </c>
      <c r="Y137" s="27">
        <f t="shared" si="76"/>
        <v>0</v>
      </c>
      <c r="Z137" s="27">
        <f t="shared" si="76"/>
        <v>0</v>
      </c>
      <c r="AA137" s="27">
        <f t="shared" si="76"/>
        <v>0</v>
      </c>
      <c r="AB137" s="27">
        <f t="shared" si="76"/>
        <v>0</v>
      </c>
      <c r="AC137" s="27">
        <f t="shared" si="76"/>
        <v>0</v>
      </c>
    </row>
    <row r="138" spans="1:29" ht="19.899999999999999" thickBot="1" x14ac:dyDescent="0.65">
      <c r="A138" s="3"/>
      <c r="C138" s="28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8"/>
    </row>
    <row r="139" spans="1:29" ht="19.5" x14ac:dyDescent="0.6">
      <c r="A139" s="3"/>
      <c r="C139" s="30" t="s">
        <v>27</v>
      </c>
      <c r="D139" s="20">
        <v>7</v>
      </c>
      <c r="E139" s="20">
        <v>2</v>
      </c>
      <c r="F139" s="20">
        <v>1</v>
      </c>
      <c r="G139" s="20">
        <v>6</v>
      </c>
      <c r="H139" s="20">
        <v>8</v>
      </c>
      <c r="I139" s="20">
        <v>3</v>
      </c>
      <c r="J139" s="20">
        <v>9</v>
      </c>
      <c r="K139" s="20">
        <v>5</v>
      </c>
      <c r="L139" s="20">
        <v>3</v>
      </c>
      <c r="M139" s="41"/>
      <c r="N139" s="41"/>
      <c r="O139" s="41"/>
      <c r="P139" s="20"/>
      <c r="Q139" s="20"/>
      <c r="R139" s="20"/>
      <c r="S139" s="41"/>
      <c r="T139" s="41"/>
      <c r="U139" s="41"/>
      <c r="V139" s="20"/>
      <c r="W139" s="20"/>
      <c r="X139" s="21"/>
      <c r="Y139" s="5"/>
      <c r="Z139" s="5"/>
      <c r="AA139" s="5"/>
      <c r="AB139" s="5"/>
    </row>
    <row r="140" spans="1:29" ht="19.5" x14ac:dyDescent="0.6">
      <c r="A140" s="3"/>
      <c r="C140" s="22" t="s">
        <v>24</v>
      </c>
      <c r="D140" s="37">
        <v>1.4</v>
      </c>
      <c r="E140" s="37">
        <v>1.5</v>
      </c>
      <c r="F140" s="37">
        <v>1.8</v>
      </c>
      <c r="G140" s="37">
        <v>3</v>
      </c>
      <c r="H140" s="37">
        <v>2</v>
      </c>
      <c r="I140" s="37">
        <v>1.7</v>
      </c>
      <c r="J140" s="37">
        <v>2.9</v>
      </c>
      <c r="K140" s="37">
        <v>2</v>
      </c>
      <c r="L140" s="37">
        <v>5.4</v>
      </c>
      <c r="M140" s="43"/>
      <c r="N140" s="43"/>
      <c r="O140" s="43"/>
      <c r="P140" s="37"/>
      <c r="Q140" s="37"/>
      <c r="R140" s="37"/>
      <c r="S140" s="43"/>
      <c r="T140" s="43"/>
      <c r="U140" s="43"/>
      <c r="V140" s="37"/>
      <c r="W140" s="37"/>
      <c r="X140" s="38"/>
      <c r="Y140" s="6"/>
      <c r="Z140" s="6"/>
      <c r="AA140" s="6"/>
      <c r="AB140" s="6"/>
    </row>
    <row r="141" spans="1:29" ht="19.5" x14ac:dyDescent="0.6">
      <c r="A141" s="3"/>
      <c r="C141" s="22" t="s">
        <v>25</v>
      </c>
      <c r="D141" s="37">
        <v>1.3</v>
      </c>
      <c r="E141" s="37"/>
      <c r="F141" s="37"/>
      <c r="G141" s="37">
        <v>1.8</v>
      </c>
      <c r="H141" s="37">
        <v>1</v>
      </c>
      <c r="I141" s="37">
        <v>1.6</v>
      </c>
      <c r="J141" s="37">
        <v>2.7</v>
      </c>
      <c r="K141" s="37">
        <v>1.3</v>
      </c>
      <c r="L141" s="37">
        <v>2.8</v>
      </c>
      <c r="M141" s="43"/>
      <c r="N141" s="43"/>
      <c r="O141" s="43"/>
      <c r="P141" s="37"/>
      <c r="Q141" s="37"/>
      <c r="R141" s="37"/>
      <c r="S141" s="43"/>
      <c r="T141" s="43"/>
      <c r="U141" s="43"/>
      <c r="V141" s="37"/>
      <c r="W141" s="37"/>
      <c r="X141" s="38"/>
      <c r="Y141" s="6"/>
      <c r="Z141" s="6"/>
      <c r="AA141" s="6"/>
      <c r="AB141" s="6"/>
    </row>
    <row r="142" spans="1:29" ht="19.899999999999999" thickBot="1" x14ac:dyDescent="0.65">
      <c r="A142" s="3"/>
      <c r="C142" s="24" t="s">
        <v>28</v>
      </c>
      <c r="D142" s="40">
        <f>IF(D130="U",D143*2,D143)</f>
        <v>2.7</v>
      </c>
      <c r="E142" s="40">
        <f t="shared" ref="E142:Z142" si="77">IF(E130="U",E143*2,E143)</f>
        <v>1.5</v>
      </c>
      <c r="F142" s="40">
        <f t="shared" si="77"/>
        <v>1.8</v>
      </c>
      <c r="G142" s="40">
        <f t="shared" si="77"/>
        <v>4.8</v>
      </c>
      <c r="H142" s="40">
        <f t="shared" si="77"/>
        <v>3</v>
      </c>
      <c r="I142" s="40">
        <f t="shared" si="77"/>
        <v>3.3</v>
      </c>
      <c r="J142" s="40">
        <f t="shared" si="77"/>
        <v>5.6</v>
      </c>
      <c r="K142" s="40">
        <f t="shared" si="77"/>
        <v>3.3</v>
      </c>
      <c r="L142" s="40">
        <f t="shared" si="77"/>
        <v>8.1999999999999993</v>
      </c>
      <c r="M142" s="40">
        <f t="shared" si="77"/>
        <v>0</v>
      </c>
      <c r="N142" s="40">
        <f t="shared" si="77"/>
        <v>0</v>
      </c>
      <c r="O142" s="40">
        <f t="shared" si="77"/>
        <v>0</v>
      </c>
      <c r="P142" s="40">
        <f t="shared" si="77"/>
        <v>0</v>
      </c>
      <c r="Q142" s="40">
        <f t="shared" si="77"/>
        <v>0</v>
      </c>
      <c r="R142" s="40">
        <f t="shared" si="77"/>
        <v>0</v>
      </c>
      <c r="S142" s="40">
        <f t="shared" si="77"/>
        <v>0</v>
      </c>
      <c r="T142" s="40">
        <f t="shared" si="77"/>
        <v>0</v>
      </c>
      <c r="U142" s="40">
        <f t="shared" si="77"/>
        <v>0</v>
      </c>
      <c r="V142" s="40">
        <f t="shared" si="77"/>
        <v>0</v>
      </c>
      <c r="W142" s="40">
        <f t="shared" si="77"/>
        <v>0</v>
      </c>
      <c r="X142" s="40">
        <f t="shared" si="77"/>
        <v>0</v>
      </c>
      <c r="Y142" s="40">
        <f t="shared" si="77"/>
        <v>0</v>
      </c>
      <c r="Z142" s="40">
        <f t="shared" si="77"/>
        <v>0</v>
      </c>
      <c r="AA142" s="7">
        <f>+SUM(AA140:AA141)</f>
        <v>0</v>
      </c>
      <c r="AB142" s="7">
        <f>+SUM(AB140:AB141)</f>
        <v>0</v>
      </c>
    </row>
    <row r="143" spans="1:29" ht="19.5" x14ac:dyDescent="0.6">
      <c r="A143" s="3"/>
      <c r="C143" s="26"/>
      <c r="D143" s="27">
        <f>SUM(D140:D141)</f>
        <v>2.7</v>
      </c>
      <c r="E143" s="27">
        <f t="shared" ref="E143:Z143" si="78">SUM(E140:E141)</f>
        <v>1.5</v>
      </c>
      <c r="F143" s="27">
        <f t="shared" si="78"/>
        <v>1.8</v>
      </c>
      <c r="G143" s="27">
        <f t="shared" si="78"/>
        <v>4.8</v>
      </c>
      <c r="H143" s="27">
        <f t="shared" si="78"/>
        <v>3</v>
      </c>
      <c r="I143" s="27">
        <f t="shared" si="78"/>
        <v>3.3</v>
      </c>
      <c r="J143" s="27">
        <f t="shared" si="78"/>
        <v>5.6</v>
      </c>
      <c r="K143" s="27">
        <f t="shared" si="78"/>
        <v>3.3</v>
      </c>
      <c r="L143" s="27">
        <f t="shared" si="78"/>
        <v>8.1999999999999993</v>
      </c>
      <c r="M143" s="27">
        <f t="shared" si="78"/>
        <v>0</v>
      </c>
      <c r="N143" s="27">
        <f t="shared" si="78"/>
        <v>0</v>
      </c>
      <c r="O143" s="27">
        <f t="shared" si="78"/>
        <v>0</v>
      </c>
      <c r="P143" s="27">
        <f t="shared" si="78"/>
        <v>0</v>
      </c>
      <c r="Q143" s="27">
        <f t="shared" si="78"/>
        <v>0</v>
      </c>
      <c r="R143" s="27">
        <f t="shared" si="78"/>
        <v>0</v>
      </c>
      <c r="S143" s="27">
        <f t="shared" si="78"/>
        <v>0</v>
      </c>
      <c r="T143" s="27">
        <f t="shared" si="78"/>
        <v>0</v>
      </c>
      <c r="U143" s="27">
        <f t="shared" si="78"/>
        <v>0</v>
      </c>
      <c r="V143" s="27">
        <f t="shared" si="78"/>
        <v>0</v>
      </c>
      <c r="W143" s="27">
        <f t="shared" si="78"/>
        <v>0</v>
      </c>
      <c r="X143" s="27">
        <f t="shared" si="78"/>
        <v>0</v>
      </c>
      <c r="Y143" s="27">
        <f t="shared" si="78"/>
        <v>0</v>
      </c>
      <c r="Z143" s="27">
        <f t="shared" si="78"/>
        <v>0</v>
      </c>
      <c r="AA143" s="12"/>
      <c r="AB143" s="12"/>
    </row>
    <row r="144" spans="1:29" ht="19.899999999999999" thickBot="1" x14ac:dyDescent="0.65">
      <c r="A144" s="3"/>
      <c r="C144" s="28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8"/>
    </row>
    <row r="145" spans="1:28" ht="19.5" x14ac:dyDescent="0.6">
      <c r="A145" s="3"/>
      <c r="C145" s="30" t="s">
        <v>29</v>
      </c>
      <c r="D145" s="20">
        <v>4</v>
      </c>
      <c r="E145" s="20">
        <v>4</v>
      </c>
      <c r="F145" s="20">
        <v>4</v>
      </c>
      <c r="G145" s="20">
        <v>4</v>
      </c>
      <c r="H145" s="20">
        <v>7</v>
      </c>
      <c r="I145" s="20">
        <v>7</v>
      </c>
      <c r="J145" s="20">
        <v>5</v>
      </c>
      <c r="K145" s="20">
        <v>12</v>
      </c>
      <c r="L145" s="20">
        <v>6</v>
      </c>
      <c r="M145" s="41"/>
      <c r="N145" s="20"/>
      <c r="O145" s="20"/>
      <c r="P145" s="20"/>
      <c r="Q145" s="20"/>
      <c r="R145" s="20"/>
      <c r="S145" s="41"/>
      <c r="T145" s="41"/>
      <c r="U145" s="41"/>
      <c r="V145" s="20"/>
      <c r="W145" s="20"/>
      <c r="X145" s="21"/>
      <c r="Y145" s="5"/>
      <c r="Z145" s="5"/>
      <c r="AA145" s="5"/>
      <c r="AB145" s="5"/>
    </row>
    <row r="146" spans="1:28" ht="19.5" x14ac:dyDescent="0.6">
      <c r="A146" s="3"/>
      <c r="C146" s="22" t="s">
        <v>25</v>
      </c>
      <c r="D146" s="39">
        <v>1.5</v>
      </c>
      <c r="E146" s="39"/>
      <c r="F146" s="39"/>
      <c r="G146" s="39">
        <v>1.6</v>
      </c>
      <c r="H146" s="39">
        <v>1</v>
      </c>
      <c r="I146" s="39">
        <v>1.4</v>
      </c>
      <c r="J146" s="39">
        <v>5</v>
      </c>
      <c r="K146" s="39">
        <v>2.2000000000000002</v>
      </c>
      <c r="L146" s="39">
        <v>3.6</v>
      </c>
      <c r="M146" s="44"/>
      <c r="N146" s="39"/>
      <c r="O146" s="39"/>
      <c r="P146" s="39"/>
      <c r="Q146" s="39"/>
      <c r="R146" s="39"/>
      <c r="S146" s="44"/>
      <c r="T146" s="44"/>
      <c r="U146" s="44"/>
      <c r="V146" s="39"/>
      <c r="W146" s="39"/>
      <c r="X146" s="38"/>
      <c r="Y146" s="6"/>
      <c r="Z146" s="6"/>
      <c r="AA146" s="6"/>
      <c r="AB146" s="6"/>
    </row>
    <row r="147" spans="1:28" ht="19.899999999999999" thickBot="1" x14ac:dyDescent="0.65">
      <c r="A147" s="3"/>
      <c r="C147" s="24" t="s">
        <v>30</v>
      </c>
      <c r="D147" s="40">
        <f>IF(D130="U",D148*2,D148)</f>
        <v>1.5</v>
      </c>
      <c r="E147" s="40">
        <f t="shared" ref="E147:Z147" si="79">IF(E130="U",E148*2,E148)</f>
        <v>0</v>
      </c>
      <c r="F147" s="40">
        <f t="shared" si="79"/>
        <v>0</v>
      </c>
      <c r="G147" s="40">
        <f t="shared" si="79"/>
        <v>1.6</v>
      </c>
      <c r="H147" s="40">
        <f t="shared" si="79"/>
        <v>1</v>
      </c>
      <c r="I147" s="40">
        <f t="shared" si="79"/>
        <v>1.4</v>
      </c>
      <c r="J147" s="40">
        <f t="shared" si="79"/>
        <v>5</v>
      </c>
      <c r="K147" s="40">
        <f t="shared" si="79"/>
        <v>2.2000000000000002</v>
      </c>
      <c r="L147" s="40">
        <f t="shared" si="79"/>
        <v>3.6</v>
      </c>
      <c r="M147" s="40">
        <f t="shared" si="79"/>
        <v>0</v>
      </c>
      <c r="N147" s="40">
        <f t="shared" si="79"/>
        <v>0</v>
      </c>
      <c r="O147" s="40">
        <f t="shared" si="79"/>
        <v>0</v>
      </c>
      <c r="P147" s="40">
        <f t="shared" si="79"/>
        <v>0</v>
      </c>
      <c r="Q147" s="40">
        <f t="shared" si="79"/>
        <v>0</v>
      </c>
      <c r="R147" s="40">
        <f t="shared" si="79"/>
        <v>0</v>
      </c>
      <c r="S147" s="40">
        <f t="shared" si="79"/>
        <v>0</v>
      </c>
      <c r="T147" s="40">
        <f t="shared" si="79"/>
        <v>0</v>
      </c>
      <c r="U147" s="40">
        <f t="shared" si="79"/>
        <v>0</v>
      </c>
      <c r="V147" s="40">
        <f t="shared" si="79"/>
        <v>0</v>
      </c>
      <c r="W147" s="40">
        <f t="shared" si="79"/>
        <v>0</v>
      </c>
      <c r="X147" s="40">
        <f t="shared" si="79"/>
        <v>0</v>
      </c>
      <c r="Y147" s="40">
        <f t="shared" si="79"/>
        <v>0</v>
      </c>
      <c r="Z147" s="40">
        <f t="shared" si="79"/>
        <v>0</v>
      </c>
      <c r="AA147" s="7">
        <f>+SUM(AA146)</f>
        <v>0</v>
      </c>
      <c r="AB147" s="7">
        <f>+SUM(AB146)</f>
        <v>0</v>
      </c>
    </row>
    <row r="148" spans="1:28" ht="19.5" x14ac:dyDescent="0.6">
      <c r="A148" s="3"/>
      <c r="C148" s="26"/>
      <c r="D148" s="27">
        <f>D146</f>
        <v>1.5</v>
      </c>
      <c r="E148" s="27">
        <f t="shared" ref="E148:Z148" si="80">E146</f>
        <v>0</v>
      </c>
      <c r="F148" s="27">
        <f t="shared" si="80"/>
        <v>0</v>
      </c>
      <c r="G148" s="27">
        <f t="shared" si="80"/>
        <v>1.6</v>
      </c>
      <c r="H148" s="27">
        <f t="shared" si="80"/>
        <v>1</v>
      </c>
      <c r="I148" s="27">
        <f t="shared" si="80"/>
        <v>1.4</v>
      </c>
      <c r="J148" s="27">
        <f t="shared" si="80"/>
        <v>5</v>
      </c>
      <c r="K148" s="27">
        <f t="shared" si="80"/>
        <v>2.2000000000000002</v>
      </c>
      <c r="L148" s="27">
        <f t="shared" si="80"/>
        <v>3.6</v>
      </c>
      <c r="M148" s="27">
        <f t="shared" si="80"/>
        <v>0</v>
      </c>
      <c r="N148" s="27">
        <f t="shared" si="80"/>
        <v>0</v>
      </c>
      <c r="O148" s="27">
        <f t="shared" si="80"/>
        <v>0</v>
      </c>
      <c r="P148" s="27">
        <f t="shared" si="80"/>
        <v>0</v>
      </c>
      <c r="Q148" s="27">
        <f t="shared" si="80"/>
        <v>0</v>
      </c>
      <c r="R148" s="27">
        <f t="shared" si="80"/>
        <v>0</v>
      </c>
      <c r="S148" s="27">
        <f t="shared" si="80"/>
        <v>0</v>
      </c>
      <c r="T148" s="27">
        <f t="shared" si="80"/>
        <v>0</v>
      </c>
      <c r="U148" s="27">
        <f t="shared" si="80"/>
        <v>0</v>
      </c>
      <c r="V148" s="27">
        <f t="shared" si="80"/>
        <v>0</v>
      </c>
      <c r="W148" s="27">
        <f t="shared" si="80"/>
        <v>0</v>
      </c>
      <c r="X148" s="27">
        <f t="shared" si="80"/>
        <v>0</v>
      </c>
      <c r="Y148" s="27">
        <f t="shared" si="80"/>
        <v>0</v>
      </c>
      <c r="Z148" s="27">
        <f t="shared" si="80"/>
        <v>0</v>
      </c>
      <c r="AA148" s="12"/>
      <c r="AB148" s="12"/>
    </row>
    <row r="149" spans="1:28" ht="19.899999999999999" thickBot="1" x14ac:dyDescent="0.65">
      <c r="A149" s="3"/>
      <c r="C149" s="28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8"/>
    </row>
    <row r="150" spans="1:28" ht="19.5" x14ac:dyDescent="0.6">
      <c r="A150" s="3"/>
      <c r="C150" s="31" t="s">
        <v>31</v>
      </c>
      <c r="D150" s="32">
        <v>12</v>
      </c>
      <c r="E150" s="32">
        <v>7</v>
      </c>
      <c r="F150" s="32">
        <v>5</v>
      </c>
      <c r="G150" s="32">
        <v>7</v>
      </c>
      <c r="H150" s="32">
        <v>9</v>
      </c>
      <c r="I150" s="32">
        <v>2</v>
      </c>
      <c r="J150" s="32">
        <v>2</v>
      </c>
      <c r="K150" s="32">
        <v>5</v>
      </c>
      <c r="L150" s="32">
        <v>4</v>
      </c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3"/>
      <c r="Y150" s="5"/>
      <c r="Z150" s="5"/>
      <c r="AA150" s="5"/>
      <c r="AB150" s="5"/>
    </row>
    <row r="151" spans="1:28" ht="19.5" x14ac:dyDescent="0.6">
      <c r="A151" s="3"/>
      <c r="C151" s="34" t="s">
        <v>32</v>
      </c>
      <c r="D151" s="35">
        <v>6</v>
      </c>
      <c r="E151" s="35">
        <v>3</v>
      </c>
      <c r="F151" s="35"/>
      <c r="G151" s="35"/>
      <c r="H151" s="35">
        <v>6</v>
      </c>
      <c r="I151" s="35"/>
      <c r="J151" s="35">
        <v>6</v>
      </c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23"/>
      <c r="Y151" s="6"/>
      <c r="Z151" s="6"/>
      <c r="AA151" s="6"/>
      <c r="AB151" s="6"/>
    </row>
    <row r="152" spans="1:28" ht="19.5" x14ac:dyDescent="0.6">
      <c r="A152" s="3"/>
      <c r="C152" s="34" t="s">
        <v>33</v>
      </c>
      <c r="D152" s="36">
        <v>8</v>
      </c>
      <c r="E152" s="36">
        <v>6</v>
      </c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25"/>
      <c r="R152" s="36"/>
      <c r="S152" s="23"/>
      <c r="T152" s="36"/>
      <c r="U152" s="36"/>
      <c r="V152" s="36"/>
      <c r="W152" s="36"/>
      <c r="X152" s="23"/>
      <c r="Y152" s="6"/>
      <c r="Z152" s="6"/>
      <c r="AA152" s="6"/>
      <c r="AB152" s="6"/>
    </row>
    <row r="153" spans="1:28" ht="19.5" x14ac:dyDescent="0.6">
      <c r="A153" s="3"/>
      <c r="C153" s="34" t="s">
        <v>34</v>
      </c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8"/>
      <c r="Z153" s="8"/>
      <c r="AA153" s="8"/>
      <c r="AB153" s="8"/>
    </row>
    <row r="154" spans="1:28" ht="19.5" x14ac:dyDescent="0.6">
      <c r="A154" s="3"/>
      <c r="C154" s="34" t="s">
        <v>35</v>
      </c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8"/>
      <c r="Z154" s="8"/>
      <c r="AA154" s="8"/>
      <c r="AB154" s="8"/>
    </row>
    <row r="155" spans="1:28" ht="19.5" x14ac:dyDescent="0.6">
      <c r="A155" s="3"/>
      <c r="C155" s="34" t="s">
        <v>36</v>
      </c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8"/>
      <c r="Z155" s="8"/>
      <c r="AA155" s="8"/>
      <c r="AB155" s="8"/>
    </row>
    <row r="156" spans="1:28" x14ac:dyDescent="0.4">
      <c r="A156" s="3"/>
    </row>
  </sheetData>
  <sortState xmlns:xlrd2="http://schemas.microsoft.com/office/spreadsheetml/2017/richdata2" ref="AQ4:AT31">
    <sortCondition descending="1" ref="AT3"/>
    <sortCondition descending="1" ref="AQ3"/>
  </sortState>
  <mergeCells count="245">
    <mergeCell ref="AP2:AU2"/>
    <mergeCell ref="A125:A126"/>
    <mergeCell ref="B125:B126"/>
    <mergeCell ref="C125:C126"/>
    <mergeCell ref="AC125:AC126"/>
    <mergeCell ref="A127:A128"/>
    <mergeCell ref="B127:B128"/>
    <mergeCell ref="C127:C128"/>
    <mergeCell ref="AC127:AC128"/>
    <mergeCell ref="A121:A122"/>
    <mergeCell ref="B121:B122"/>
    <mergeCell ref="C121:C122"/>
    <mergeCell ref="AC121:AC122"/>
    <mergeCell ref="A123:A124"/>
    <mergeCell ref="B123:B124"/>
    <mergeCell ref="C123:C124"/>
    <mergeCell ref="AC123:AC124"/>
    <mergeCell ref="A117:A118"/>
    <mergeCell ref="B117:B118"/>
    <mergeCell ref="C117:C118"/>
    <mergeCell ref="AC117:AC118"/>
    <mergeCell ref="A119:A120"/>
    <mergeCell ref="B119:B120"/>
    <mergeCell ref="C119:C120"/>
    <mergeCell ref="AC119:AC120"/>
    <mergeCell ref="A113:A114"/>
    <mergeCell ref="B113:B114"/>
    <mergeCell ref="C113:C114"/>
    <mergeCell ref="AC113:AC114"/>
    <mergeCell ref="A115:A116"/>
    <mergeCell ref="B115:B116"/>
    <mergeCell ref="C115:C116"/>
    <mergeCell ref="AC115:AC116"/>
    <mergeCell ref="A109:A110"/>
    <mergeCell ref="B109:B110"/>
    <mergeCell ref="C109:C110"/>
    <mergeCell ref="AC109:AC110"/>
    <mergeCell ref="A111:A112"/>
    <mergeCell ref="B111:B112"/>
    <mergeCell ref="C111:C112"/>
    <mergeCell ref="AC111:AC112"/>
    <mergeCell ref="A105:A106"/>
    <mergeCell ref="B105:B106"/>
    <mergeCell ref="C105:C106"/>
    <mergeCell ref="AC105:AC106"/>
    <mergeCell ref="A107:A108"/>
    <mergeCell ref="B107:B108"/>
    <mergeCell ref="C107:C108"/>
    <mergeCell ref="AC107:AC108"/>
    <mergeCell ref="A101:A102"/>
    <mergeCell ref="B101:B102"/>
    <mergeCell ref="C101:C102"/>
    <mergeCell ref="AC101:AC102"/>
    <mergeCell ref="A103:A104"/>
    <mergeCell ref="B103:B104"/>
    <mergeCell ref="C103:C104"/>
    <mergeCell ref="AC103:AC104"/>
    <mergeCell ref="A97:A98"/>
    <mergeCell ref="B97:B98"/>
    <mergeCell ref="C97:C98"/>
    <mergeCell ref="AC97:AC98"/>
    <mergeCell ref="A99:A100"/>
    <mergeCell ref="B99:B100"/>
    <mergeCell ref="C99:C100"/>
    <mergeCell ref="AC99:AC100"/>
    <mergeCell ref="A93:A94"/>
    <mergeCell ref="B93:B94"/>
    <mergeCell ref="C93:C94"/>
    <mergeCell ref="AC93:AC94"/>
    <mergeCell ref="A95:A96"/>
    <mergeCell ref="B95:B96"/>
    <mergeCell ref="C95:C96"/>
    <mergeCell ref="AC95:AC96"/>
    <mergeCell ref="A89:A90"/>
    <mergeCell ref="B89:B90"/>
    <mergeCell ref="C89:C90"/>
    <mergeCell ref="AC89:AC90"/>
    <mergeCell ref="A91:A92"/>
    <mergeCell ref="B91:B92"/>
    <mergeCell ref="C91:C92"/>
    <mergeCell ref="AC91:AC92"/>
    <mergeCell ref="A85:A86"/>
    <mergeCell ref="B85:B86"/>
    <mergeCell ref="C85:C86"/>
    <mergeCell ref="AC85:AC86"/>
    <mergeCell ref="A87:A88"/>
    <mergeCell ref="B87:B88"/>
    <mergeCell ref="C87:C88"/>
    <mergeCell ref="AC87:AC88"/>
    <mergeCell ref="A81:A82"/>
    <mergeCell ref="B81:B82"/>
    <mergeCell ref="C81:C82"/>
    <mergeCell ref="AC81:AC82"/>
    <mergeCell ref="A83:A84"/>
    <mergeCell ref="B83:B84"/>
    <mergeCell ref="C83:C84"/>
    <mergeCell ref="AC83:AC84"/>
    <mergeCell ref="A77:A78"/>
    <mergeCell ref="B77:B78"/>
    <mergeCell ref="C77:C78"/>
    <mergeCell ref="AC77:AC78"/>
    <mergeCell ref="A79:A80"/>
    <mergeCell ref="B79:B80"/>
    <mergeCell ref="C79:C80"/>
    <mergeCell ref="AC79:AC80"/>
    <mergeCell ref="A73:A74"/>
    <mergeCell ref="B73:B74"/>
    <mergeCell ref="C73:C74"/>
    <mergeCell ref="AC73:AC74"/>
    <mergeCell ref="A75:A76"/>
    <mergeCell ref="B75:B76"/>
    <mergeCell ref="C75:C76"/>
    <mergeCell ref="AC75:AC76"/>
    <mergeCell ref="A67:A68"/>
    <mergeCell ref="B67:B68"/>
    <mergeCell ref="C67:C68"/>
    <mergeCell ref="AC67:AC68"/>
    <mergeCell ref="A69:AC71"/>
    <mergeCell ref="AE72:AH72"/>
    <mergeCell ref="A63:A64"/>
    <mergeCell ref="B63:B64"/>
    <mergeCell ref="C63:C64"/>
    <mergeCell ref="AC63:AC64"/>
    <mergeCell ref="A65:A66"/>
    <mergeCell ref="B65:B66"/>
    <mergeCell ref="C65:C66"/>
    <mergeCell ref="AC65:AC66"/>
    <mergeCell ref="A59:A60"/>
    <mergeCell ref="B59:B60"/>
    <mergeCell ref="C59:C60"/>
    <mergeCell ref="AC59:AC60"/>
    <mergeCell ref="A61:A62"/>
    <mergeCell ref="B61:B62"/>
    <mergeCell ref="C61:C62"/>
    <mergeCell ref="AC61:AC62"/>
    <mergeCell ref="A55:A56"/>
    <mergeCell ref="B55:B56"/>
    <mergeCell ref="C55:C56"/>
    <mergeCell ref="AC55:AC56"/>
    <mergeCell ref="A57:A58"/>
    <mergeCell ref="B57:B58"/>
    <mergeCell ref="C57:C58"/>
    <mergeCell ref="AC57:AC58"/>
    <mergeCell ref="A51:A52"/>
    <mergeCell ref="B51:B52"/>
    <mergeCell ref="C51:C52"/>
    <mergeCell ref="AC51:AC52"/>
    <mergeCell ref="A53:A54"/>
    <mergeCell ref="B53:B54"/>
    <mergeCell ref="C53:C54"/>
    <mergeCell ref="AC53:AC54"/>
    <mergeCell ref="A47:A48"/>
    <mergeCell ref="B47:B48"/>
    <mergeCell ref="C47:C48"/>
    <mergeCell ref="AC47:AC48"/>
    <mergeCell ref="A49:A50"/>
    <mergeCell ref="B49:B50"/>
    <mergeCell ref="C49:C50"/>
    <mergeCell ref="AC49:AC50"/>
    <mergeCell ref="A43:A44"/>
    <mergeCell ref="B43:B44"/>
    <mergeCell ref="C43:C44"/>
    <mergeCell ref="AC43:AC44"/>
    <mergeCell ref="A45:A46"/>
    <mergeCell ref="B45:B46"/>
    <mergeCell ref="C45:C46"/>
    <mergeCell ref="AC45:AC46"/>
    <mergeCell ref="A39:A40"/>
    <mergeCell ref="B39:B40"/>
    <mergeCell ref="C39:C40"/>
    <mergeCell ref="AC39:AC40"/>
    <mergeCell ref="A41:A42"/>
    <mergeCell ref="B41:B42"/>
    <mergeCell ref="C41:C42"/>
    <mergeCell ref="AC41:AC42"/>
    <mergeCell ref="A35:A36"/>
    <mergeCell ref="B35:B36"/>
    <mergeCell ref="C35:C36"/>
    <mergeCell ref="AC35:AC36"/>
    <mergeCell ref="A37:A38"/>
    <mergeCell ref="B37:B38"/>
    <mergeCell ref="C37:C38"/>
    <mergeCell ref="AC37:AC38"/>
    <mergeCell ref="A31:A32"/>
    <mergeCell ref="B31:B32"/>
    <mergeCell ref="C31:C32"/>
    <mergeCell ref="AC31:AC32"/>
    <mergeCell ref="A33:A34"/>
    <mergeCell ref="B33:B34"/>
    <mergeCell ref="C33:C34"/>
    <mergeCell ref="AC33:AC34"/>
    <mergeCell ref="A27:A28"/>
    <mergeCell ref="B27:B28"/>
    <mergeCell ref="C27:C28"/>
    <mergeCell ref="AC27:AC28"/>
    <mergeCell ref="A29:A30"/>
    <mergeCell ref="B29:B30"/>
    <mergeCell ref="C29:C30"/>
    <mergeCell ref="AC29:AC30"/>
    <mergeCell ref="A23:A24"/>
    <mergeCell ref="B23:B24"/>
    <mergeCell ref="C23:C24"/>
    <mergeCell ref="AC23:AC24"/>
    <mergeCell ref="A25:A26"/>
    <mergeCell ref="B25:B26"/>
    <mergeCell ref="C25:C26"/>
    <mergeCell ref="AC25:AC26"/>
    <mergeCell ref="A19:A20"/>
    <mergeCell ref="B19:B20"/>
    <mergeCell ref="C19:C20"/>
    <mergeCell ref="AC19:AC20"/>
    <mergeCell ref="A21:A22"/>
    <mergeCell ref="B21:B22"/>
    <mergeCell ref="C21:C22"/>
    <mergeCell ref="AC21:AC22"/>
    <mergeCell ref="A15:A16"/>
    <mergeCell ref="B15:B16"/>
    <mergeCell ref="C15:C16"/>
    <mergeCell ref="AC15:AC16"/>
    <mergeCell ref="A17:A18"/>
    <mergeCell ref="B17:B18"/>
    <mergeCell ref="C17:C18"/>
    <mergeCell ref="AC17:AC18"/>
    <mergeCell ref="A13:A14"/>
    <mergeCell ref="B13:B14"/>
    <mergeCell ref="C13:C14"/>
    <mergeCell ref="AC13:AC14"/>
    <mergeCell ref="A7:A8"/>
    <mergeCell ref="B7:B8"/>
    <mergeCell ref="C7:C8"/>
    <mergeCell ref="AC7:AC8"/>
    <mergeCell ref="A9:A10"/>
    <mergeCell ref="B9:B10"/>
    <mergeCell ref="C9:C10"/>
    <mergeCell ref="AC9:AC10"/>
    <mergeCell ref="A1:AC3"/>
    <mergeCell ref="AE2:AH2"/>
    <mergeCell ref="A5:A6"/>
    <mergeCell ref="B5:B6"/>
    <mergeCell ref="C5:C6"/>
    <mergeCell ref="AC5:AC6"/>
    <mergeCell ref="A11:A12"/>
    <mergeCell ref="B11:B12"/>
    <mergeCell ref="C11:C12"/>
    <mergeCell ref="AC11:AC12"/>
  </mergeCells>
  <conditionalFormatting sqref="D6:AB6 D8:AB8 D10:AB10 D12:AB12 D14:AB14 D16:AB16 D18:AB18 D20:AB20 D22:AB22 D24:AB24 D26:AB26 D28:AB28 D30:AB30 D32:AB32 D34:AB34 D36:AB36 D38:AB38 D40:AB40 D42:AB42 D44:AB44 D46:AB46 D48:AB48 D50:AB50 D52:AB52 D58:AB58 D60:AB60 D62:AB62 D64:AB64 D66:AB66 D68:AB68 D74:AB74 D76:AB76 D78:AB78 D80:AB80 D82:AB82 D84:AB84 D86:AB86 D88:AB88 D90:AB90 D92:AB92 D94:AB94 D96:AB96 D98:AB98 D100:AB100 D102:AB102 D104:AB104 D106:AB106 D108:AB108 D110:AB110 D112:AB112 D114:AB114 D116:AB116 D118:AB118 D120:AB120 D122:AB122 D124:AB124 D126:AB126 D128:AB129">
    <cfRule type="cellIs" dxfId="41" priority="7" operator="greaterThan">
      <formula>0</formula>
    </cfRule>
  </conditionalFormatting>
  <conditionalFormatting sqref="AF4:AH31 AQ4:AU31">
    <cfRule type="expression" dxfId="40" priority="5">
      <formula>AND(ROW()&gt;=4,ROW()&lt;=5)</formula>
    </cfRule>
    <cfRule type="expression" dxfId="39" priority="6">
      <formula>TRUE</formula>
    </cfRule>
  </conditionalFormatting>
  <conditionalFormatting sqref="AF74:AH101">
    <cfRule type="expression" dxfId="38" priority="3">
      <formula>AND(ROW()&gt;=74,ROW()&lt;=75)</formula>
    </cfRule>
    <cfRule type="expression" dxfId="37" priority="4">
      <formula>TRUE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rdenar_Tres_Tablas">
                <anchor moveWithCells="1" sizeWithCells="1">
                  <from>
                    <xdr:col>17</xdr:col>
                    <xdr:colOff>447675</xdr:colOff>
                    <xdr:row>0</xdr:row>
                    <xdr:rowOff>57150</xdr:rowOff>
                  </from>
                  <to>
                    <xdr:col>19</xdr:col>
                    <xdr:colOff>180975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Limpiar_Por_Rangos">
                <anchor moveWithCells="1" sizeWithCells="1">
                  <from>
                    <xdr:col>21</xdr:col>
                    <xdr:colOff>76200</xdr:colOff>
                    <xdr:row>0</xdr:row>
                    <xdr:rowOff>85725</xdr:rowOff>
                  </from>
                  <to>
                    <xdr:col>22</xdr:col>
                    <xdr:colOff>409575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AV156"/>
  <sheetViews>
    <sheetView showGridLines="0" zoomScaleNormal="100" workbookViewId="0">
      <selection activeCell="A69" sqref="A69:AC71"/>
    </sheetView>
  </sheetViews>
  <sheetFormatPr baseColWidth="10" defaultColWidth="14.3984375" defaultRowHeight="13.15" x14ac:dyDescent="0.4"/>
  <cols>
    <col min="1" max="1" width="4.59765625" style="1" bestFit="1" customWidth="1"/>
    <col min="2" max="2" width="30.1328125" style="2" bestFit="1" customWidth="1"/>
    <col min="3" max="3" width="13.73046875" style="2" bestFit="1" customWidth="1"/>
    <col min="4" max="6" width="6.3984375" style="2" bestFit="1" customWidth="1"/>
    <col min="7" max="8" width="7.86328125" style="2" bestFit="1" customWidth="1"/>
    <col min="9" max="9" width="6.3984375" style="2" bestFit="1" customWidth="1"/>
    <col min="10" max="12" width="7.86328125" style="2" bestFit="1" customWidth="1"/>
    <col min="13" max="13" width="7" style="2" bestFit="1" customWidth="1"/>
    <col min="14" max="14" width="6.3984375" style="2" bestFit="1" customWidth="1"/>
    <col min="15" max="16" width="7.86328125" style="2" bestFit="1" customWidth="1"/>
    <col min="17" max="17" width="6.3984375" style="2" bestFit="1" customWidth="1"/>
    <col min="18" max="18" width="7.86328125" style="2" bestFit="1" customWidth="1"/>
    <col min="19" max="19" width="7.1328125" style="2" customWidth="1"/>
    <col min="20" max="20" width="6.59765625" style="2" customWidth="1"/>
    <col min="21" max="21" width="6.86328125" style="2" customWidth="1"/>
    <col min="22" max="23" width="7.1328125" style="2" customWidth="1"/>
    <col min="24" max="24" width="6.86328125" style="2" customWidth="1"/>
    <col min="25" max="25" width="6.73046875" style="2" customWidth="1"/>
    <col min="26" max="28" width="4.86328125" style="2" customWidth="1"/>
    <col min="29" max="29" width="9.73046875" style="2" customWidth="1"/>
    <col min="30" max="30" width="3.265625" style="2" customWidth="1"/>
    <col min="31" max="31" width="7.86328125" style="2" customWidth="1"/>
    <col min="32" max="32" width="30.1328125" style="2" bestFit="1" customWidth="1"/>
    <col min="33" max="33" width="11.73046875" style="2" bestFit="1" customWidth="1"/>
    <col min="34" max="34" width="9" style="2" bestFit="1" customWidth="1"/>
    <col min="35" max="35" width="20.3984375" style="2" bestFit="1" customWidth="1"/>
    <col min="36" max="36" width="30" style="2" bestFit="1" customWidth="1"/>
    <col min="37" max="37" width="22" style="2" bestFit="1" customWidth="1"/>
    <col min="38" max="38" width="28.73046875" style="2" bestFit="1" customWidth="1"/>
    <col min="39" max="39" width="22" style="2" bestFit="1" customWidth="1"/>
    <col min="40" max="40" width="24.3984375" style="2" bestFit="1" customWidth="1"/>
    <col min="41" max="41" width="14.3984375" style="2"/>
    <col min="42" max="42" width="7.73046875" style="2" customWidth="1"/>
    <col min="43" max="43" width="30.1328125" style="2" bestFit="1" customWidth="1"/>
    <col min="44" max="16384" width="14.3984375" style="2"/>
  </cols>
  <sheetData>
    <row r="1" spans="1:48" s="46" customFormat="1" ht="11.25" customHeight="1" x14ac:dyDescent="0.4">
      <c r="A1" s="267" t="s">
        <v>17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</row>
    <row r="2" spans="1:48" ht="22.5" customHeight="1" x14ac:dyDescent="0.6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E2" s="264" t="s">
        <v>54</v>
      </c>
      <c r="AF2" s="265"/>
      <c r="AG2" s="265"/>
      <c r="AH2" s="266"/>
      <c r="AI2" s="187">
        <v>9</v>
      </c>
      <c r="AJ2" s="187"/>
      <c r="AK2" s="187">
        <v>10</v>
      </c>
      <c r="AL2" s="187"/>
      <c r="AM2" s="187">
        <v>11</v>
      </c>
      <c r="AN2" s="187"/>
      <c r="AP2" s="264" t="s">
        <v>55</v>
      </c>
      <c r="AQ2" s="265"/>
      <c r="AR2" s="265"/>
      <c r="AS2" s="265"/>
      <c r="AT2" s="265"/>
      <c r="AU2" s="265"/>
      <c r="AV2" s="266"/>
    </row>
    <row r="3" spans="1:48" ht="19.5" x14ac:dyDescent="0.6">
      <c r="A3" s="268"/>
      <c r="B3" s="268"/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E3" s="141" t="s">
        <v>37</v>
      </c>
      <c r="AF3" s="142" t="s">
        <v>14</v>
      </c>
      <c r="AG3" s="143" t="s">
        <v>15</v>
      </c>
      <c r="AH3" s="143" t="s">
        <v>52</v>
      </c>
      <c r="AI3" s="181" t="str">
        <f>"Prono Carrera "&amp;AI2</f>
        <v>Prono Carrera 9</v>
      </c>
      <c r="AJ3" s="181" t="s">
        <v>42</v>
      </c>
      <c r="AK3" s="181" t="str">
        <f>"Prono Carrera "&amp;AK2</f>
        <v>Prono Carrera 10</v>
      </c>
      <c r="AL3" s="181" t="s">
        <v>42</v>
      </c>
      <c r="AM3" s="181" t="str">
        <f>"Prono Carrera "&amp;AM2</f>
        <v>Prono Carrera 11</v>
      </c>
      <c r="AN3" s="181" t="s">
        <v>42</v>
      </c>
      <c r="AP3" s="141" t="s">
        <v>37</v>
      </c>
      <c r="AQ3" s="142" t="s">
        <v>14</v>
      </c>
      <c r="AR3" s="143" t="s">
        <v>44</v>
      </c>
      <c r="AS3" s="143" t="s">
        <v>45</v>
      </c>
      <c r="AT3" s="143" t="s">
        <v>46</v>
      </c>
      <c r="AU3" s="143" t="s">
        <v>15</v>
      </c>
      <c r="AV3" s="143" t="s">
        <v>52</v>
      </c>
    </row>
    <row r="4" spans="1:48" ht="15" customHeight="1" x14ac:dyDescent="0.4">
      <c r="A4" s="115" t="s">
        <v>0</v>
      </c>
      <c r="B4" s="115" t="s">
        <v>14</v>
      </c>
      <c r="C4" s="115" t="s">
        <v>18</v>
      </c>
      <c r="D4" s="115">
        <v>1</v>
      </c>
      <c r="E4" s="115">
        <v>2</v>
      </c>
      <c r="F4" s="115">
        <v>3</v>
      </c>
      <c r="G4" s="115">
        <v>4</v>
      </c>
      <c r="H4" s="115">
        <v>5</v>
      </c>
      <c r="I4" s="115">
        <v>6</v>
      </c>
      <c r="J4" s="115">
        <v>7</v>
      </c>
      <c r="K4" s="115">
        <v>8</v>
      </c>
      <c r="L4" s="115">
        <v>9</v>
      </c>
      <c r="M4" s="115">
        <v>10</v>
      </c>
      <c r="N4" s="115">
        <v>11</v>
      </c>
      <c r="O4" s="115">
        <v>12</v>
      </c>
      <c r="P4" s="115">
        <v>13</v>
      </c>
      <c r="Q4" s="115">
        <v>14</v>
      </c>
      <c r="R4" s="115">
        <v>15</v>
      </c>
      <c r="S4" s="115">
        <v>16</v>
      </c>
      <c r="T4" s="115">
        <v>17</v>
      </c>
      <c r="U4" s="115">
        <v>18</v>
      </c>
      <c r="V4" s="115">
        <v>19</v>
      </c>
      <c r="W4" s="115">
        <v>20</v>
      </c>
      <c r="X4" s="115">
        <v>21</v>
      </c>
      <c r="Y4" s="115">
        <v>22</v>
      </c>
      <c r="Z4" s="115">
        <v>23</v>
      </c>
      <c r="AA4" s="115">
        <v>24</v>
      </c>
      <c r="AB4" s="115">
        <v>25</v>
      </c>
      <c r="AC4" s="14" t="s">
        <v>19</v>
      </c>
      <c r="AE4" s="144">
        <v>1</v>
      </c>
      <c r="AF4" s="145" t="str">
        <f>IF(ISBLANK(STUD!B4)," ",STUD!B4)</f>
        <v>PAP</v>
      </c>
      <c r="AG4" s="185">
        <f t="shared" ref="AG4:AG31" si="0">IFERROR(VLOOKUP(AF4,$B$5:$C$68,2,0),0)</f>
        <v>79.199999999999989</v>
      </c>
      <c r="AH4" s="185"/>
      <c r="AI4" s="188">
        <f t="shared" ref="AI4:AI31" si="1">IFERROR(
   VLOOKUP(AF4, $B$5:$Y$68, CHOOSE($AI$2, 3, 4, 5, 6, 7, 8, 9, 10, 11, 12, 13, 14, 15, 16, 17, 18, 19, 20, 21, 22, 23, 24, 25, 26, 27, 28, 29), 0),
   " "
)</f>
        <v>8</v>
      </c>
      <c r="AJ4" s="182" t="str">
        <f>IF(AI4="","",IFERROR(IF(VLOOKUP(AI4,Programa!$L$3:$M$18,2,0)="","",VLOOKUP(AI4,Programa!$L$3:$M$18,2,0)),""))</f>
        <v>EL ESPIA</v>
      </c>
      <c r="AK4" s="182">
        <f t="shared" ref="AK4:AK31" si="2">IFERROR(
   VLOOKUP(AF4, $B$5:$Y$68, CHOOSE($AK$2, 3, 4, 5, 6, 7, 8, 9, 10, 11, 12, 13, 14, 15, 16, 17, 18, 19, 20, 21, 22, 23, 24, 25, 26, 27, 28, 29), 0),
   " "
)</f>
        <v>9</v>
      </c>
      <c r="AL4" s="182" t="str">
        <f>IF(AK4="","",IFERROR(IF(VLOOKUP(AK4,Programa!$L$19:$M$34,2,0)="","",VLOOKUP(AK4,Programa!$L$19:$M$34,2,0)),""))</f>
        <v>LUCKY BOSS</v>
      </c>
      <c r="AM4" s="182">
        <f t="shared" ref="AM4:AM31" si="3">IFERROR(
   VLOOKUP(AF4, $B$5:$Y$68, CHOOSE($AM$2, 3, 4, 5, 6, 7, 8, 9, 10, 11, 12, 13, 14, 15, 16, 17, 18, 19, 20, 21, 22, 23, 24, 25, 26, 27, 28, 29), 0),
   " "
)</f>
        <v>5</v>
      </c>
      <c r="AN4" s="182" t="str">
        <f>IF(AM4="","",IFERROR(IF(VLOOKUP(AM4,Programa!$L$35:$M$50,2,0)="","",VLOOKUP(AM4,Programa!$L$35:$M$50,2,0)),""))</f>
        <v>IL VENTO</v>
      </c>
      <c r="AP4" s="228">
        <v>1</v>
      </c>
      <c r="AQ4" s="145" t="str">
        <f>IF(ISBLANK(STUD!B11)," ",STUD!B11)</f>
        <v>PASASTE BANDIDO</v>
      </c>
      <c r="AR4" s="185">
        <f>IFERROR(VLOOKUP(AQ4,Lunes!$AF$4:$AG$31,2,0),0)</f>
        <v>4</v>
      </c>
      <c r="AS4" s="185">
        <f>IFERROR(VLOOKUP(AQ4,Martes!$AF$4:$AH$31,2,0),0)</f>
        <v>59.9</v>
      </c>
      <c r="AT4" s="185">
        <f t="shared" ref="AT4:AT31" si="4">IFERROR(VLOOKUP(AQ4,$B$5:$C$68,2,0),0)</f>
        <v>12.899999999999999</v>
      </c>
      <c r="AU4" s="185">
        <f t="shared" ref="AU4:AU31" si="5">SUM(AR4:AT4)</f>
        <v>76.8</v>
      </c>
      <c r="AV4" s="185"/>
    </row>
    <row r="5" spans="1:48" ht="15.75" customHeight="1" x14ac:dyDescent="0.4">
      <c r="A5" s="252">
        <v>1</v>
      </c>
      <c r="B5" s="253" t="str">
        <f>+STUD!B2</f>
        <v>SOSAMAFIA</v>
      </c>
      <c r="C5" s="244">
        <f>SUM(D6:AB6)</f>
        <v>39.200000000000003</v>
      </c>
      <c r="D5" s="109">
        <v>2</v>
      </c>
      <c r="E5" s="109">
        <v>9</v>
      </c>
      <c r="F5" s="109">
        <v>6</v>
      </c>
      <c r="G5" s="109">
        <v>1</v>
      </c>
      <c r="H5" s="109">
        <v>7</v>
      </c>
      <c r="I5" s="109">
        <v>9</v>
      </c>
      <c r="J5" s="109">
        <v>10</v>
      </c>
      <c r="K5" s="109">
        <v>2</v>
      </c>
      <c r="L5" s="109">
        <v>8</v>
      </c>
      <c r="M5" s="109">
        <v>5</v>
      </c>
      <c r="N5" s="109">
        <v>5</v>
      </c>
      <c r="O5" s="112">
        <v>2</v>
      </c>
      <c r="P5" s="109">
        <v>11</v>
      </c>
      <c r="Q5" s="109">
        <v>6</v>
      </c>
      <c r="R5" s="109">
        <v>8</v>
      </c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243">
        <f>SUM(D6:AB6)</f>
        <v>39.200000000000003</v>
      </c>
      <c r="AE5" s="155">
        <v>2</v>
      </c>
      <c r="AF5" s="145" t="str">
        <f>IF(ISBLANK(STUD!B14)," ",STUD!B14)</f>
        <v xml:space="preserve"> </v>
      </c>
      <c r="AG5" s="185">
        <f t="shared" si="0"/>
        <v>0</v>
      </c>
      <c r="AH5" s="185">
        <f t="shared" ref="AH5:AH31" si="6">$AG$4-AG5</f>
        <v>79.199999999999989</v>
      </c>
      <c r="AI5" s="188" t="str">
        <f t="shared" si="1"/>
        <v xml:space="preserve"> </v>
      </c>
      <c r="AJ5" s="182" t="str">
        <f>IF(AI5="","",IFERROR(IF(VLOOKUP(AI5,Programa!$L$3:$M$18,2,0)="","",VLOOKUP(AI5,Programa!$L$3:$M$18,2,0)),""))</f>
        <v/>
      </c>
      <c r="AK5" s="182" t="str">
        <f t="shared" si="2"/>
        <v xml:space="preserve"> </v>
      </c>
      <c r="AL5" s="182" t="str">
        <f>IF(AK5="","",IFERROR(IF(VLOOKUP(AK5,Programa!$L$19:$M$34,2,0)="","",VLOOKUP(AK5,Programa!$L$19:$M$34,2,0)),""))</f>
        <v/>
      </c>
      <c r="AM5" s="182" t="str">
        <f t="shared" si="3"/>
        <v xml:space="preserve"> </v>
      </c>
      <c r="AN5" s="182" t="str">
        <f>IF(AM5="","",IFERROR(IF(VLOOKUP(AM5,Programa!$L$35:$M$50,2,0)="","",VLOOKUP(AM5,Programa!$L$35:$M$50,2,0)),""))</f>
        <v/>
      </c>
      <c r="AP5" s="228">
        <v>2</v>
      </c>
      <c r="AQ5" s="145" t="str">
        <f>IF(ISBLANK(STUD!B4)," ",STUD!B4)</f>
        <v>PAP</v>
      </c>
      <c r="AR5" s="185">
        <f>IFERROR(VLOOKUP(AQ5,Lunes!$AF$4:$AG$31,2,0),0)</f>
        <v>0</v>
      </c>
      <c r="AS5" s="185">
        <f>IFERROR(VLOOKUP(AQ5,Martes!$AF$4:$AH$31,2,0),0)</f>
        <v>26.8</v>
      </c>
      <c r="AT5" s="185">
        <f t="shared" si="4"/>
        <v>79.199999999999989</v>
      </c>
      <c r="AU5" s="185">
        <f t="shared" si="5"/>
        <v>105.99999999999999</v>
      </c>
      <c r="AV5" s="185">
        <f>$AU$4-AU5</f>
        <v>-29.199999999999989</v>
      </c>
    </row>
    <row r="6" spans="1:48" ht="15" customHeight="1" x14ac:dyDescent="0.4">
      <c r="A6" s="242"/>
      <c r="B6" s="253"/>
      <c r="C6" s="245"/>
      <c r="D6" s="138">
        <f t="shared" ref="D6:AB6" si="7">IF(IFERROR(IF(VLOOKUP(D5,D$151:D$155,1,0)&gt;=1,D$150,0),D5)=D$132,D$136,IF(IFERROR(IF(VLOOKUP(D5,D$151:D$155,1,0)&gt;=1,D$150,0),D5)=D$139,D$142,IF(IFERROR(IF(VLOOKUP(D5,D$151:D$155,1,0)&gt;=1,D$150,0),D5)=D$145,D$147,0)))</f>
        <v>5.3000000000000007</v>
      </c>
      <c r="E6" s="138">
        <f t="shared" si="7"/>
        <v>0</v>
      </c>
      <c r="F6" s="138">
        <f t="shared" si="7"/>
        <v>0</v>
      </c>
      <c r="G6" s="138">
        <f t="shared" si="7"/>
        <v>5.6</v>
      </c>
      <c r="H6" s="138">
        <f t="shared" si="7"/>
        <v>0</v>
      </c>
      <c r="I6" s="138">
        <f t="shared" si="7"/>
        <v>0</v>
      </c>
      <c r="J6" s="138">
        <f t="shared" si="7"/>
        <v>1.8</v>
      </c>
      <c r="K6" s="138">
        <f t="shared" si="7"/>
        <v>0</v>
      </c>
      <c r="L6" s="138">
        <f t="shared" si="7"/>
        <v>11.5</v>
      </c>
      <c r="M6" s="138">
        <f t="shared" si="7"/>
        <v>3</v>
      </c>
      <c r="N6" s="138">
        <f t="shared" si="7"/>
        <v>0</v>
      </c>
      <c r="O6" s="138">
        <f t="shared" si="7"/>
        <v>7.9</v>
      </c>
      <c r="P6" s="138">
        <f t="shared" si="7"/>
        <v>0</v>
      </c>
      <c r="Q6" s="138">
        <f t="shared" si="7"/>
        <v>4.0999999999999996</v>
      </c>
      <c r="R6" s="138">
        <f t="shared" si="7"/>
        <v>0</v>
      </c>
      <c r="S6" s="138">
        <f t="shared" si="7"/>
        <v>0</v>
      </c>
      <c r="T6" s="138">
        <f t="shared" si="7"/>
        <v>0</v>
      </c>
      <c r="U6" s="138">
        <f t="shared" si="7"/>
        <v>0</v>
      </c>
      <c r="V6" s="138">
        <f t="shared" si="7"/>
        <v>0</v>
      </c>
      <c r="W6" s="138">
        <f t="shared" si="7"/>
        <v>0</v>
      </c>
      <c r="X6" s="138">
        <f t="shared" si="7"/>
        <v>0</v>
      </c>
      <c r="Y6" s="138">
        <f t="shared" si="7"/>
        <v>0</v>
      </c>
      <c r="Z6" s="138">
        <f t="shared" si="7"/>
        <v>0</v>
      </c>
      <c r="AA6" s="138">
        <f t="shared" si="7"/>
        <v>0</v>
      </c>
      <c r="AB6" s="138">
        <f t="shared" si="7"/>
        <v>0</v>
      </c>
      <c r="AC6" s="243"/>
      <c r="AE6" s="152">
        <v>3</v>
      </c>
      <c r="AF6" s="145" t="str">
        <f>IF(ISBLANK(STUD!B13)," ",STUD!B13)</f>
        <v xml:space="preserve"> </v>
      </c>
      <c r="AG6" s="185">
        <f t="shared" si="0"/>
        <v>0</v>
      </c>
      <c r="AH6" s="185">
        <f t="shared" si="6"/>
        <v>79.199999999999989</v>
      </c>
      <c r="AI6" s="188" t="str">
        <f t="shared" si="1"/>
        <v xml:space="preserve"> </v>
      </c>
      <c r="AJ6" s="182" t="str">
        <f>IF(AI6="","",IFERROR(IF(VLOOKUP(AI6,Programa!$L$3:$M$18,2,0)="","",VLOOKUP(AI6,Programa!$L$3:$M$18,2,0)),""))</f>
        <v/>
      </c>
      <c r="AK6" s="182" t="str">
        <f t="shared" si="2"/>
        <v xml:space="preserve"> </v>
      </c>
      <c r="AL6" s="182" t="str">
        <f>IF(AK6="","",IFERROR(IF(VLOOKUP(AK6,Programa!$L$19:$M$34,2,0)="","",VLOOKUP(AK6,Programa!$L$19:$M$34,2,0)),""))</f>
        <v/>
      </c>
      <c r="AM6" s="182" t="str">
        <f t="shared" si="3"/>
        <v xml:space="preserve"> </v>
      </c>
      <c r="AN6" s="182" t="str">
        <f>IF(AM6="","",IFERROR(IF(VLOOKUP(AM6,Programa!$L$35:$M$50,2,0)="","",VLOOKUP(AM6,Programa!$L$35:$M$50,2,0)),""))</f>
        <v/>
      </c>
      <c r="AP6" s="228">
        <v>3</v>
      </c>
      <c r="AQ6" s="145" t="str">
        <f>IF(ISBLANK(STUD!B15)," ",STUD!B15)</f>
        <v xml:space="preserve"> </v>
      </c>
      <c r="AR6" s="185">
        <f>IFERROR(VLOOKUP(AQ6,Lunes!$AF$4:$AG$31,2,0),0)</f>
        <v>0</v>
      </c>
      <c r="AS6" s="185">
        <f>IFERROR(VLOOKUP(AQ6,Martes!$AF$4:$AH$31,2,0),0)</f>
        <v>0</v>
      </c>
      <c r="AT6" s="185">
        <f t="shared" si="4"/>
        <v>0</v>
      </c>
      <c r="AU6" s="185">
        <f t="shared" si="5"/>
        <v>0</v>
      </c>
      <c r="AV6" s="185">
        <f t="shared" ref="AV6:AV31" si="8">$AU$4-AU6</f>
        <v>76.8</v>
      </c>
    </row>
    <row r="7" spans="1:48" ht="15.75" customHeight="1" x14ac:dyDescent="0.4">
      <c r="A7" s="252">
        <f>+A5+1</f>
        <v>2</v>
      </c>
      <c r="B7" s="253" t="str">
        <f>+STUD!B3</f>
        <v>EL JOYERO</v>
      </c>
      <c r="C7" s="244">
        <f>SUM(D8:AB8)</f>
        <v>18.799999999999997</v>
      </c>
      <c r="D7" s="112">
        <v>6</v>
      </c>
      <c r="E7" s="112">
        <v>9</v>
      </c>
      <c r="F7" s="112">
        <v>5</v>
      </c>
      <c r="G7" s="112">
        <v>6</v>
      </c>
      <c r="H7" s="112">
        <v>12</v>
      </c>
      <c r="I7" s="112">
        <v>6</v>
      </c>
      <c r="J7" s="112">
        <v>3</v>
      </c>
      <c r="K7" s="112">
        <v>9</v>
      </c>
      <c r="L7" s="112">
        <v>6</v>
      </c>
      <c r="M7" s="112">
        <v>5</v>
      </c>
      <c r="N7" s="109">
        <v>8</v>
      </c>
      <c r="O7" s="109">
        <v>2</v>
      </c>
      <c r="P7" s="109">
        <v>12</v>
      </c>
      <c r="Q7" s="109">
        <v>2</v>
      </c>
      <c r="R7" s="109">
        <v>14</v>
      </c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243">
        <f>SUM(D8:AB8)</f>
        <v>18.799999999999997</v>
      </c>
      <c r="AE7" s="148">
        <v>4</v>
      </c>
      <c r="AF7" s="145" t="str">
        <f>IF(ISBLANK(STUD!B15)," ",STUD!B15)</f>
        <v xml:space="preserve"> </v>
      </c>
      <c r="AG7" s="185">
        <f t="shared" si="0"/>
        <v>0</v>
      </c>
      <c r="AH7" s="186">
        <f t="shared" si="6"/>
        <v>79.199999999999989</v>
      </c>
      <c r="AI7" s="188" t="str">
        <f t="shared" si="1"/>
        <v xml:space="preserve"> </v>
      </c>
      <c r="AJ7" s="182" t="str">
        <f>IF(AI7="","",IFERROR(IF(VLOOKUP(AI7,Programa!$L$3:$M$18,2,0)="","",VLOOKUP(AI7,Programa!$L$3:$M$18,2,0)),""))</f>
        <v/>
      </c>
      <c r="AK7" s="182" t="str">
        <f t="shared" si="2"/>
        <v xml:space="preserve"> </v>
      </c>
      <c r="AL7" s="182" t="str">
        <f>IF(AK7="","",IFERROR(IF(VLOOKUP(AK7,Programa!$L$19:$M$34,2,0)="","",VLOOKUP(AK7,Programa!$L$19:$M$34,2,0)),""))</f>
        <v/>
      </c>
      <c r="AM7" s="182" t="str">
        <f t="shared" si="3"/>
        <v xml:space="preserve"> </v>
      </c>
      <c r="AN7" s="182" t="str">
        <f>IF(AM7="","",IFERROR(IF(VLOOKUP(AM7,Programa!$L$35:$M$50,2,0)="","",VLOOKUP(AM7,Programa!$L$35:$M$50,2,0)),""))</f>
        <v/>
      </c>
      <c r="AP7" s="228">
        <v>4</v>
      </c>
      <c r="AQ7" s="145" t="str">
        <f>IF(ISBLANK(STUD!B12)," ",STUD!B12)</f>
        <v xml:space="preserve"> </v>
      </c>
      <c r="AR7" s="185">
        <f>IFERROR(VLOOKUP(AQ7,Lunes!$AF$4:$AG$31,2,0),0)</f>
        <v>0</v>
      </c>
      <c r="AS7" s="185">
        <f>IFERROR(VLOOKUP(AQ7,Martes!$AF$4:$AH$31,2,0),0)</f>
        <v>0</v>
      </c>
      <c r="AT7" s="185">
        <f t="shared" si="4"/>
        <v>0</v>
      </c>
      <c r="AU7" s="185">
        <f t="shared" si="5"/>
        <v>0</v>
      </c>
      <c r="AV7" s="185">
        <f t="shared" si="8"/>
        <v>76.8</v>
      </c>
    </row>
    <row r="8" spans="1:48" ht="15" customHeight="1" x14ac:dyDescent="0.4">
      <c r="A8" s="242"/>
      <c r="B8" s="253"/>
      <c r="C8" s="245"/>
      <c r="D8" s="138">
        <f t="shared" ref="D8:AB8" si="9">IF(IFERROR(IF(VLOOKUP(D7,D$151:D$155,1,0)&gt;=1,D$150,0),D7)=D$132,D$136,IF(IFERROR(IF(VLOOKUP(D7,D$151:D$155,1,0)&gt;=1,D$150,0),D7)=D$139,D$142,IF(IFERROR(IF(VLOOKUP(D7,D$151:D$155,1,0)&gt;=1,D$150,0),D7)=D$145,D$147,0)))</f>
        <v>4.5999999999999996</v>
      </c>
      <c r="E8" s="138">
        <f t="shared" si="9"/>
        <v>0</v>
      </c>
      <c r="F8" s="138">
        <f t="shared" si="9"/>
        <v>0</v>
      </c>
      <c r="G8" s="138">
        <f t="shared" si="9"/>
        <v>0</v>
      </c>
      <c r="H8" s="138">
        <f t="shared" si="9"/>
        <v>1.8</v>
      </c>
      <c r="I8" s="138">
        <f t="shared" si="9"/>
        <v>0</v>
      </c>
      <c r="J8" s="138">
        <f t="shared" si="9"/>
        <v>0</v>
      </c>
      <c r="K8" s="138">
        <f t="shared" si="9"/>
        <v>0</v>
      </c>
      <c r="L8" s="138">
        <f t="shared" si="9"/>
        <v>1.5</v>
      </c>
      <c r="M8" s="138">
        <f t="shared" si="9"/>
        <v>3</v>
      </c>
      <c r="N8" s="138">
        <f t="shared" si="9"/>
        <v>0</v>
      </c>
      <c r="O8" s="138">
        <f t="shared" si="9"/>
        <v>7.9</v>
      </c>
      <c r="P8" s="138">
        <f t="shared" si="9"/>
        <v>0</v>
      </c>
      <c r="Q8" s="138">
        <f t="shared" si="9"/>
        <v>0</v>
      </c>
      <c r="R8" s="138">
        <f t="shared" si="9"/>
        <v>0</v>
      </c>
      <c r="S8" s="138">
        <f t="shared" si="9"/>
        <v>0</v>
      </c>
      <c r="T8" s="138">
        <f t="shared" si="9"/>
        <v>0</v>
      </c>
      <c r="U8" s="138">
        <f t="shared" si="9"/>
        <v>0</v>
      </c>
      <c r="V8" s="138">
        <f t="shared" si="9"/>
        <v>0</v>
      </c>
      <c r="W8" s="138">
        <f t="shared" si="9"/>
        <v>0</v>
      </c>
      <c r="X8" s="138">
        <f t="shared" si="9"/>
        <v>0</v>
      </c>
      <c r="Y8" s="138">
        <f t="shared" si="9"/>
        <v>0</v>
      </c>
      <c r="Z8" s="138">
        <f t="shared" si="9"/>
        <v>0</v>
      </c>
      <c r="AA8" s="138">
        <f t="shared" si="9"/>
        <v>0</v>
      </c>
      <c r="AB8" s="138">
        <f t="shared" si="9"/>
        <v>0</v>
      </c>
      <c r="AC8" s="243"/>
      <c r="AE8" s="146">
        <v>5</v>
      </c>
      <c r="AF8" s="145" t="str">
        <f>IF(ISBLANK(STUD!B2)," ",STUD!B2)</f>
        <v>SOSAMAFIA</v>
      </c>
      <c r="AG8" s="185">
        <f t="shared" si="0"/>
        <v>39.200000000000003</v>
      </c>
      <c r="AH8" s="186">
        <f t="shared" si="6"/>
        <v>39.999999999999986</v>
      </c>
      <c r="AI8" s="188">
        <f t="shared" si="1"/>
        <v>8</v>
      </c>
      <c r="AJ8" s="182" t="str">
        <f>IF(AI8="","",IFERROR(IF(VLOOKUP(AI8,Programa!$L$3:$M$18,2,0)="","",VLOOKUP(AI8,Programa!$L$3:$M$18,2,0)),""))</f>
        <v>EL ESPIA</v>
      </c>
      <c r="AK8" s="182">
        <f t="shared" si="2"/>
        <v>5</v>
      </c>
      <c r="AL8" s="182" t="str">
        <f>IF(AK8="","",IFERROR(IF(VLOOKUP(AK8,Programa!$L$19:$M$34,2,0)="","",VLOOKUP(AK8,Programa!$L$19:$M$34,2,0)),""))</f>
        <v>ROYAL FIERCE</v>
      </c>
      <c r="AM8" s="182">
        <f t="shared" si="3"/>
        <v>5</v>
      </c>
      <c r="AN8" s="182" t="str">
        <f>IF(AM8="","",IFERROR(IF(VLOOKUP(AM8,Programa!$L$35:$M$50,2,0)="","",VLOOKUP(AM8,Programa!$L$35:$M$50,2,0)),""))</f>
        <v>IL VENTO</v>
      </c>
      <c r="AP8" s="228">
        <v>5</v>
      </c>
      <c r="AQ8" s="145" t="str">
        <f>IF(ISBLANK(STUD!B2)," ",STUD!B2)</f>
        <v>SOSAMAFIA</v>
      </c>
      <c r="AR8" s="185">
        <f>IFERROR(VLOOKUP(AQ8,Lunes!$AF$4:$AG$31,2,0),0)</f>
        <v>4</v>
      </c>
      <c r="AS8" s="185">
        <f>IFERROR(VLOOKUP(AQ8,Martes!$AF$4:$AH$31,2,0),0)</f>
        <v>14.9</v>
      </c>
      <c r="AT8" s="185">
        <f t="shared" si="4"/>
        <v>39.200000000000003</v>
      </c>
      <c r="AU8" s="185">
        <f t="shared" si="5"/>
        <v>58.1</v>
      </c>
      <c r="AV8" s="185">
        <f t="shared" si="8"/>
        <v>18.699999999999996</v>
      </c>
    </row>
    <row r="9" spans="1:48" ht="15.75" customHeight="1" x14ac:dyDescent="0.4">
      <c r="A9" s="252">
        <f>+A7+1</f>
        <v>3</v>
      </c>
      <c r="B9" s="253" t="str">
        <f>+STUD!B4</f>
        <v>PAP</v>
      </c>
      <c r="C9" s="244">
        <f>SUM(D10:AB10)</f>
        <v>79.199999999999989</v>
      </c>
      <c r="D9" s="109">
        <v>6</v>
      </c>
      <c r="E9" s="109">
        <v>4</v>
      </c>
      <c r="F9" s="109">
        <v>8</v>
      </c>
      <c r="G9" s="109">
        <v>6</v>
      </c>
      <c r="H9" s="109">
        <v>12</v>
      </c>
      <c r="I9" s="109">
        <v>6</v>
      </c>
      <c r="J9" s="109">
        <v>11</v>
      </c>
      <c r="K9" s="109">
        <v>4</v>
      </c>
      <c r="L9" s="109">
        <v>8</v>
      </c>
      <c r="M9" s="109">
        <v>9</v>
      </c>
      <c r="N9" s="109">
        <v>5</v>
      </c>
      <c r="O9" s="112">
        <v>8</v>
      </c>
      <c r="P9" s="109">
        <v>4</v>
      </c>
      <c r="Q9" s="109">
        <v>12</v>
      </c>
      <c r="R9" s="109">
        <v>12</v>
      </c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243">
        <f>SUM(D10:AB10)</f>
        <v>79.199999999999989</v>
      </c>
      <c r="AE9" s="156">
        <v>6</v>
      </c>
      <c r="AF9" s="145" t="str">
        <f>IF(ISBLANK(STUD!B9)," ",STUD!B9)</f>
        <v>SERVIFRENOS</v>
      </c>
      <c r="AG9" s="185">
        <f t="shared" si="0"/>
        <v>34.699999999999996</v>
      </c>
      <c r="AH9" s="186">
        <f t="shared" si="6"/>
        <v>44.499999999999993</v>
      </c>
      <c r="AI9" s="188">
        <f t="shared" si="1"/>
        <v>1</v>
      </c>
      <c r="AJ9" s="182" t="str">
        <f>IF(AI9="","",IFERROR(IF(VLOOKUP(AI9,Programa!$L$3:$M$18,2,0)="","",VLOOKUP(AI9,Programa!$L$3:$M$18,2,0)),""))</f>
        <v>PRIMO HAPPY</v>
      </c>
      <c r="AK9" s="182">
        <f t="shared" si="2"/>
        <v>11</v>
      </c>
      <c r="AL9" s="182" t="str">
        <f>IF(AK9="","",IFERROR(IF(VLOOKUP(AK9,Programa!$L$19:$M$34,2,0)="","",VLOOKUP(AK9,Programa!$L$19:$M$34,2,0)),""))</f>
        <v/>
      </c>
      <c r="AM9" s="182">
        <f t="shared" si="3"/>
        <v>7</v>
      </c>
      <c r="AN9" s="182" t="str">
        <f>IF(AM9="","",IFERROR(IF(VLOOKUP(AM9,Programa!$L$35:$M$50,2,0)="","",VLOOKUP(AM9,Programa!$L$35:$M$50,2,0)),""))</f>
        <v>HENDRICKS</v>
      </c>
      <c r="AP9" s="228">
        <v>6</v>
      </c>
      <c r="AQ9" s="145" t="str">
        <f>IF(ISBLANK(STUD!B16)," ",STUD!B16)</f>
        <v xml:space="preserve"> </v>
      </c>
      <c r="AR9" s="185">
        <f>IFERROR(VLOOKUP(AQ9,Lunes!$AF$4:$AG$31,2,0),0)</f>
        <v>0</v>
      </c>
      <c r="AS9" s="185">
        <f>IFERROR(VLOOKUP(AQ9,Martes!$AF$4:$AH$31,2,0),0)</f>
        <v>0</v>
      </c>
      <c r="AT9" s="185">
        <f t="shared" si="4"/>
        <v>0</v>
      </c>
      <c r="AU9" s="185">
        <f t="shared" si="5"/>
        <v>0</v>
      </c>
      <c r="AV9" s="185">
        <f t="shared" si="8"/>
        <v>76.8</v>
      </c>
    </row>
    <row r="10" spans="1:48" ht="15" customHeight="1" x14ac:dyDescent="0.4">
      <c r="A10" s="242"/>
      <c r="B10" s="253"/>
      <c r="C10" s="245"/>
      <c r="D10" s="138">
        <f t="shared" ref="D10:AB10" si="10">IF(IFERROR(IF(VLOOKUP(D9,D$151:D$155,1,0)&gt;=1,D$150,0),D9)=D$132,D$136,IF(IFERROR(IF(VLOOKUP(D9,D$151:D$155,1,0)&gt;=1,D$150,0),D9)=D$139,D$142,IF(IFERROR(IF(VLOOKUP(D9,D$151:D$155,1,0)&gt;=1,D$150,0),D9)=D$145,D$147,0)))</f>
        <v>4.5999999999999996</v>
      </c>
      <c r="E10" s="138">
        <f t="shared" si="10"/>
        <v>6.4</v>
      </c>
      <c r="F10" s="138">
        <f t="shared" si="10"/>
        <v>2.7</v>
      </c>
      <c r="G10" s="138">
        <f t="shared" si="10"/>
        <v>0</v>
      </c>
      <c r="H10" s="138">
        <f t="shared" si="10"/>
        <v>1.8</v>
      </c>
      <c r="I10" s="138">
        <f t="shared" si="10"/>
        <v>0</v>
      </c>
      <c r="J10" s="138">
        <f t="shared" si="10"/>
        <v>1.8</v>
      </c>
      <c r="K10" s="138">
        <f t="shared" si="10"/>
        <v>4.3</v>
      </c>
      <c r="L10" s="138">
        <f t="shared" si="10"/>
        <v>11.5</v>
      </c>
      <c r="M10" s="138">
        <f t="shared" si="10"/>
        <v>0</v>
      </c>
      <c r="N10" s="138">
        <f t="shared" si="10"/>
        <v>0</v>
      </c>
      <c r="O10" s="138">
        <f t="shared" si="10"/>
        <v>0</v>
      </c>
      <c r="P10" s="138">
        <f t="shared" si="10"/>
        <v>0</v>
      </c>
      <c r="Q10" s="138">
        <f t="shared" si="10"/>
        <v>8.2999999999999989</v>
      </c>
      <c r="R10" s="138">
        <f t="shared" si="10"/>
        <v>37.799999999999997</v>
      </c>
      <c r="S10" s="138">
        <f t="shared" si="10"/>
        <v>0</v>
      </c>
      <c r="T10" s="138">
        <f t="shared" si="10"/>
        <v>0</v>
      </c>
      <c r="U10" s="138">
        <f t="shared" si="10"/>
        <v>0</v>
      </c>
      <c r="V10" s="138">
        <f t="shared" si="10"/>
        <v>0</v>
      </c>
      <c r="W10" s="138">
        <f t="shared" si="10"/>
        <v>0</v>
      </c>
      <c r="X10" s="138">
        <f t="shared" si="10"/>
        <v>0</v>
      </c>
      <c r="Y10" s="138">
        <f t="shared" si="10"/>
        <v>0</v>
      </c>
      <c r="Z10" s="138">
        <f t="shared" si="10"/>
        <v>0</v>
      </c>
      <c r="AA10" s="138">
        <f t="shared" si="10"/>
        <v>0</v>
      </c>
      <c r="AB10" s="138">
        <f t="shared" si="10"/>
        <v>0</v>
      </c>
      <c r="AC10" s="243"/>
      <c r="AE10" s="150">
        <v>7</v>
      </c>
      <c r="AF10" s="145" t="str">
        <f>IF(ISBLANK(STUD!B16)," ",STUD!B16)</f>
        <v xml:space="preserve"> </v>
      </c>
      <c r="AG10" s="185">
        <f t="shared" si="0"/>
        <v>0</v>
      </c>
      <c r="AH10" s="186">
        <f t="shared" si="6"/>
        <v>79.199999999999989</v>
      </c>
      <c r="AI10" s="188" t="str">
        <f t="shared" si="1"/>
        <v xml:space="preserve"> </v>
      </c>
      <c r="AJ10" s="182" t="str">
        <f>IF(AI10="","",IFERROR(IF(VLOOKUP(AI10,Programa!$L$3:$M$18,2,0)="","",VLOOKUP(AI10,Programa!$L$3:$M$18,2,0)),""))</f>
        <v/>
      </c>
      <c r="AK10" s="182" t="str">
        <f t="shared" si="2"/>
        <v xml:space="preserve"> </v>
      </c>
      <c r="AL10" s="182" t="str">
        <f>IF(AK10="","",IFERROR(IF(VLOOKUP(AK10,Programa!$L$19:$M$34,2,0)="","",VLOOKUP(AK10,Programa!$L$19:$M$34,2,0)),""))</f>
        <v/>
      </c>
      <c r="AM10" s="182" t="str">
        <f t="shared" si="3"/>
        <v xml:space="preserve"> </v>
      </c>
      <c r="AN10" s="182" t="str">
        <f>IF(AM10="","",IFERROR(IF(VLOOKUP(AM10,Programa!$L$35:$M$50,2,0)="","",VLOOKUP(AM10,Programa!$L$35:$M$50,2,0)),""))</f>
        <v/>
      </c>
      <c r="AP10" s="228">
        <v>7</v>
      </c>
      <c r="AQ10" s="145" t="str">
        <f>IF(ISBLANK(STUD!B9)," ",STUD!B9)</f>
        <v>SERVIFRENOS</v>
      </c>
      <c r="AR10" s="185">
        <f>IFERROR(VLOOKUP(AQ10,Lunes!$AF$4:$AG$31,2,0),0)</f>
        <v>13.700000000000001</v>
      </c>
      <c r="AS10" s="185">
        <f>IFERROR(VLOOKUP(AQ10,Martes!$AF$4:$AH$31,2,0),0)</f>
        <v>35.900000000000006</v>
      </c>
      <c r="AT10" s="185">
        <f t="shared" si="4"/>
        <v>34.699999999999996</v>
      </c>
      <c r="AU10" s="185">
        <f t="shared" si="5"/>
        <v>84.300000000000011</v>
      </c>
      <c r="AV10" s="185">
        <f t="shared" si="8"/>
        <v>-7.5000000000000142</v>
      </c>
    </row>
    <row r="11" spans="1:48" ht="15.75" customHeight="1" x14ac:dyDescent="0.4">
      <c r="A11" s="252">
        <f>+A9+1</f>
        <v>4</v>
      </c>
      <c r="B11" s="253" t="str">
        <f>+STUD!B5</f>
        <v>KUME</v>
      </c>
      <c r="C11" s="244">
        <f>SUM(D12:AB12)</f>
        <v>5.9</v>
      </c>
      <c r="D11" s="112">
        <v>5</v>
      </c>
      <c r="E11" s="112">
        <v>6</v>
      </c>
      <c r="F11" s="112">
        <v>6</v>
      </c>
      <c r="G11" s="112">
        <v>6</v>
      </c>
      <c r="H11" s="112">
        <v>6</v>
      </c>
      <c r="I11" s="112">
        <v>8</v>
      </c>
      <c r="J11" s="112">
        <v>9</v>
      </c>
      <c r="K11" s="112">
        <v>9</v>
      </c>
      <c r="L11" s="112">
        <v>1</v>
      </c>
      <c r="M11" s="112">
        <v>6</v>
      </c>
      <c r="N11" s="109">
        <v>9</v>
      </c>
      <c r="O11" s="109">
        <v>3</v>
      </c>
      <c r="P11" s="109">
        <v>4</v>
      </c>
      <c r="Q11" s="109">
        <v>8</v>
      </c>
      <c r="R11" s="109">
        <v>1</v>
      </c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243">
        <f>SUM(D12:AB12)</f>
        <v>5.9</v>
      </c>
      <c r="AE11" s="151">
        <v>8</v>
      </c>
      <c r="AF11" s="145" t="str">
        <f>IF(ISBLANK(STUD!B8)," ",STUD!B8)</f>
        <v>MIS SOBRINOS</v>
      </c>
      <c r="AG11" s="185">
        <f t="shared" si="0"/>
        <v>32.9</v>
      </c>
      <c r="AH11" s="186">
        <f t="shared" si="6"/>
        <v>46.29999999999999</v>
      </c>
      <c r="AI11" s="188">
        <f t="shared" si="1"/>
        <v>3</v>
      </c>
      <c r="AJ11" s="182" t="str">
        <f>IF(AI11="","",IFERROR(IF(VLOOKUP(AI11,Programa!$L$3:$M$18,2,0)="","",VLOOKUP(AI11,Programa!$L$3:$M$18,2,0)),""))</f>
        <v>MALA MEMORIA</v>
      </c>
      <c r="AK11" s="182">
        <f t="shared" si="2"/>
        <v>6</v>
      </c>
      <c r="AL11" s="182" t="str">
        <f>IF(AK11="","",IFERROR(IF(VLOOKUP(AK11,Programa!$L$19:$M$34,2,0)="","",VLOOKUP(AK11,Programa!$L$19:$M$34,2,0)),""))</f>
        <v>TINES MI SONRISA</v>
      </c>
      <c r="AM11" s="182">
        <f t="shared" si="3"/>
        <v>5</v>
      </c>
      <c r="AN11" s="182" t="str">
        <f>IF(AM11="","",IFERROR(IF(VLOOKUP(AM11,Programa!$L$35:$M$50,2,0)="","",VLOOKUP(AM11,Programa!$L$35:$M$50,2,0)),""))</f>
        <v>IL VENTO</v>
      </c>
      <c r="AP11" s="228">
        <v>8</v>
      </c>
      <c r="AQ11" s="145" t="str">
        <f>IF(ISBLANK(STUD!B8)," ",STUD!B8)</f>
        <v>MIS SOBRINOS</v>
      </c>
      <c r="AR11" s="185">
        <f>IFERROR(VLOOKUP(AQ11,Lunes!$AF$4:$AG$31,2,0),0)</f>
        <v>7.9</v>
      </c>
      <c r="AS11" s="185">
        <f>IFERROR(VLOOKUP(AQ11,Martes!$AF$4:$AH$31,2,0),0)</f>
        <v>11.5</v>
      </c>
      <c r="AT11" s="185">
        <f t="shared" si="4"/>
        <v>32.9</v>
      </c>
      <c r="AU11" s="185">
        <f t="shared" si="5"/>
        <v>52.3</v>
      </c>
      <c r="AV11" s="185">
        <f t="shared" si="8"/>
        <v>24.5</v>
      </c>
    </row>
    <row r="12" spans="1:48" ht="15" customHeight="1" x14ac:dyDescent="0.4">
      <c r="A12" s="242"/>
      <c r="B12" s="253"/>
      <c r="C12" s="245"/>
      <c r="D12" s="138">
        <f t="shared" ref="D12:AB12" si="11">IF(IFERROR(IF(VLOOKUP(D11,D$151:D$155,1,0)&gt;=1,D$150,0),D11)=D$132,D$136,IF(IFERROR(IF(VLOOKUP(D11,D$151:D$155,1,0)&gt;=1,D$150,0),D11)=D$139,D$142,IF(IFERROR(IF(VLOOKUP(D11,D$151:D$155,1,0)&gt;=1,D$150,0),D11)=D$145,D$147,0)))</f>
        <v>0</v>
      </c>
      <c r="E12" s="138">
        <f t="shared" si="11"/>
        <v>0</v>
      </c>
      <c r="F12" s="138">
        <f t="shared" si="11"/>
        <v>0</v>
      </c>
      <c r="G12" s="138">
        <f t="shared" si="11"/>
        <v>0</v>
      </c>
      <c r="H12" s="138">
        <f t="shared" si="11"/>
        <v>0</v>
      </c>
      <c r="I12" s="138">
        <f t="shared" si="11"/>
        <v>1.6</v>
      </c>
      <c r="J12" s="138">
        <f t="shared" si="11"/>
        <v>0</v>
      </c>
      <c r="K12" s="138">
        <f t="shared" si="11"/>
        <v>0</v>
      </c>
      <c r="L12" s="138">
        <f t="shared" si="11"/>
        <v>2.7</v>
      </c>
      <c r="M12" s="138">
        <f t="shared" si="11"/>
        <v>0</v>
      </c>
      <c r="N12" s="138">
        <f t="shared" si="11"/>
        <v>0</v>
      </c>
      <c r="O12" s="138">
        <f t="shared" si="11"/>
        <v>0</v>
      </c>
      <c r="P12" s="138">
        <f t="shared" si="11"/>
        <v>0</v>
      </c>
      <c r="Q12" s="138">
        <f t="shared" si="11"/>
        <v>1.6</v>
      </c>
      <c r="R12" s="138">
        <f t="shared" si="11"/>
        <v>0</v>
      </c>
      <c r="S12" s="138">
        <f t="shared" si="11"/>
        <v>0</v>
      </c>
      <c r="T12" s="138">
        <f t="shared" si="11"/>
        <v>0</v>
      </c>
      <c r="U12" s="138">
        <f t="shared" si="11"/>
        <v>0</v>
      </c>
      <c r="V12" s="138">
        <f t="shared" si="11"/>
        <v>0</v>
      </c>
      <c r="W12" s="138">
        <f t="shared" si="11"/>
        <v>0</v>
      </c>
      <c r="X12" s="138">
        <f t="shared" si="11"/>
        <v>0</v>
      </c>
      <c r="Y12" s="138">
        <f t="shared" si="11"/>
        <v>0</v>
      </c>
      <c r="Z12" s="138">
        <f t="shared" si="11"/>
        <v>0</v>
      </c>
      <c r="AA12" s="138">
        <f t="shared" si="11"/>
        <v>0</v>
      </c>
      <c r="AB12" s="138">
        <f t="shared" si="11"/>
        <v>0</v>
      </c>
      <c r="AC12" s="243"/>
      <c r="AE12" s="154">
        <v>9</v>
      </c>
      <c r="AF12" s="145" t="str">
        <f>IF(ISBLANK(STUD!B6)," ",STUD!B6)</f>
        <v>TRES COPAS</v>
      </c>
      <c r="AG12" s="185">
        <f t="shared" si="0"/>
        <v>30</v>
      </c>
      <c r="AH12" s="186">
        <f t="shared" si="6"/>
        <v>49.199999999999989</v>
      </c>
      <c r="AI12" s="188">
        <f t="shared" si="1"/>
        <v>1</v>
      </c>
      <c r="AJ12" s="182" t="str">
        <f>IF(AI12="","",IFERROR(IF(VLOOKUP(AI12,Programa!$L$3:$M$18,2,0)="","",VLOOKUP(AI12,Programa!$L$3:$M$18,2,0)),""))</f>
        <v>PRIMO HAPPY</v>
      </c>
      <c r="AK12" s="182">
        <f t="shared" si="2"/>
        <v>9</v>
      </c>
      <c r="AL12" s="182" t="str">
        <f>IF(AK12="","",IFERROR(IF(VLOOKUP(AK12,Programa!$L$19:$M$34,2,0)="","",VLOOKUP(AK12,Programa!$L$19:$M$34,2,0)),""))</f>
        <v>LUCKY BOSS</v>
      </c>
      <c r="AM12" s="182">
        <f t="shared" si="3"/>
        <v>5</v>
      </c>
      <c r="AN12" s="182" t="str">
        <f>IF(AM12="","",IFERROR(IF(VLOOKUP(AM12,Programa!$L$35:$M$50,2,0)="","",VLOOKUP(AM12,Programa!$L$35:$M$50,2,0)),""))</f>
        <v>IL VENTO</v>
      </c>
      <c r="AP12" s="229">
        <v>9</v>
      </c>
      <c r="AQ12" s="145" t="str">
        <f>IF(ISBLANK(STUD!B13)," ",STUD!B13)</f>
        <v xml:space="preserve"> </v>
      </c>
      <c r="AR12" s="185">
        <f>IFERROR(VLOOKUP(AQ12,Lunes!$AF$4:$AG$31,2,0),0)</f>
        <v>0</v>
      </c>
      <c r="AS12" s="185">
        <f>IFERROR(VLOOKUP(AQ12,Martes!$AF$4:$AH$31,2,0),0)</f>
        <v>0</v>
      </c>
      <c r="AT12" s="185">
        <f t="shared" si="4"/>
        <v>0</v>
      </c>
      <c r="AU12" s="185">
        <f t="shared" si="5"/>
        <v>0</v>
      </c>
      <c r="AV12" s="185">
        <f t="shared" si="8"/>
        <v>76.8</v>
      </c>
    </row>
    <row r="13" spans="1:48" ht="15.75" customHeight="1" x14ac:dyDescent="0.4">
      <c r="A13" s="252">
        <f>+A11+1</f>
        <v>5</v>
      </c>
      <c r="B13" s="253" t="str">
        <f>+STUD!B6</f>
        <v>TRES COPAS</v>
      </c>
      <c r="C13" s="244">
        <f>SUM(D14:AB14)</f>
        <v>30</v>
      </c>
      <c r="D13" s="112">
        <v>5</v>
      </c>
      <c r="E13" s="112">
        <v>6</v>
      </c>
      <c r="F13" s="112">
        <v>8</v>
      </c>
      <c r="G13" s="112">
        <v>6</v>
      </c>
      <c r="H13" s="112">
        <v>1</v>
      </c>
      <c r="I13" s="112">
        <v>6</v>
      </c>
      <c r="J13" s="112">
        <v>3</v>
      </c>
      <c r="K13" s="112">
        <v>9</v>
      </c>
      <c r="L13" s="112">
        <v>1</v>
      </c>
      <c r="M13" s="112">
        <v>9</v>
      </c>
      <c r="N13" s="109">
        <v>5</v>
      </c>
      <c r="O13" s="109">
        <v>1</v>
      </c>
      <c r="P13" s="109">
        <v>5</v>
      </c>
      <c r="Q13" s="109">
        <v>7</v>
      </c>
      <c r="R13" s="109">
        <v>2</v>
      </c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243">
        <f>SUM(D14:AB14)</f>
        <v>30</v>
      </c>
      <c r="AE13" s="149">
        <v>10</v>
      </c>
      <c r="AF13" s="145" t="str">
        <f>IF(ISBLANK(STUD!B10)," ",STUD!B10)</f>
        <v>AUMENTA MEDINA</v>
      </c>
      <c r="AG13" s="185">
        <f t="shared" si="0"/>
        <v>29.4</v>
      </c>
      <c r="AH13" s="186">
        <f t="shared" si="6"/>
        <v>49.79999999999999</v>
      </c>
      <c r="AI13" s="188">
        <f t="shared" si="1"/>
        <v>2</v>
      </c>
      <c r="AJ13" s="182" t="str">
        <f>IF(AI13="","",IFERROR(IF(VLOOKUP(AI13,Programa!$L$3:$M$18,2,0)="","",VLOOKUP(AI13,Programa!$L$3:$M$18,2,0)),""))</f>
        <v>COSTAMIA</v>
      </c>
      <c r="AK13" s="182">
        <f t="shared" si="2"/>
        <v>4</v>
      </c>
      <c r="AL13" s="182" t="str">
        <f>IF(AK13="","",IFERROR(IF(VLOOKUP(AK13,Programa!$L$19:$M$34,2,0)="","",VLOOKUP(AK13,Programa!$L$19:$M$34,2,0)),""))</f>
        <v>THUNDERMAN</v>
      </c>
      <c r="AM13" s="182">
        <f t="shared" si="3"/>
        <v>11</v>
      </c>
      <c r="AN13" s="182" t="str">
        <f>IF(AM13="","",IFERROR(IF(VLOOKUP(AM13,Programa!$L$35:$M$50,2,0)="","",VLOOKUP(AM13,Programa!$L$35:$M$50,2,0)),""))</f>
        <v/>
      </c>
      <c r="AP13" s="229">
        <v>10</v>
      </c>
      <c r="AQ13" s="145" t="str">
        <f>IF(ISBLANK(STUD!B5)," ",STUD!B5)</f>
        <v>KUME</v>
      </c>
      <c r="AR13" s="185">
        <f>IFERROR(VLOOKUP(AQ13,Lunes!$AF$4:$AG$31,2,0),0)</f>
        <v>9.7000000000000011</v>
      </c>
      <c r="AS13" s="185">
        <f>IFERROR(VLOOKUP(AQ13,Martes!$AF$4:$AH$31,2,0),0)</f>
        <v>38.200000000000003</v>
      </c>
      <c r="AT13" s="185">
        <f t="shared" si="4"/>
        <v>5.9</v>
      </c>
      <c r="AU13" s="185">
        <f t="shared" si="5"/>
        <v>53.800000000000004</v>
      </c>
      <c r="AV13" s="185">
        <f t="shared" si="8"/>
        <v>22.999999999999993</v>
      </c>
    </row>
    <row r="14" spans="1:48" ht="15" customHeight="1" x14ac:dyDescent="0.4">
      <c r="A14" s="242"/>
      <c r="B14" s="253"/>
      <c r="C14" s="245"/>
      <c r="D14" s="138">
        <f t="shared" ref="D14:AB14" si="12">IF(IFERROR(IF(VLOOKUP(D13,D$151:D$155,1,0)&gt;=1,D$150,0),D13)=D$132,D$136,IF(IFERROR(IF(VLOOKUP(D13,D$151:D$155,1,0)&gt;=1,D$150,0),D13)=D$139,D$142,IF(IFERROR(IF(VLOOKUP(D13,D$151:D$155,1,0)&gt;=1,D$150,0),D13)=D$145,D$147,0)))</f>
        <v>0</v>
      </c>
      <c r="E14" s="138">
        <f t="shared" si="12"/>
        <v>0</v>
      </c>
      <c r="F14" s="138">
        <f t="shared" si="12"/>
        <v>2.7</v>
      </c>
      <c r="G14" s="138">
        <f t="shared" si="12"/>
        <v>0</v>
      </c>
      <c r="H14" s="138">
        <f t="shared" si="12"/>
        <v>0</v>
      </c>
      <c r="I14" s="138">
        <f t="shared" si="12"/>
        <v>0</v>
      </c>
      <c r="J14" s="138">
        <f t="shared" si="12"/>
        <v>0</v>
      </c>
      <c r="K14" s="138">
        <f t="shared" si="12"/>
        <v>0</v>
      </c>
      <c r="L14" s="138">
        <f t="shared" si="12"/>
        <v>2.7</v>
      </c>
      <c r="M14" s="138">
        <f t="shared" si="12"/>
        <v>0</v>
      </c>
      <c r="N14" s="138">
        <f t="shared" si="12"/>
        <v>0</v>
      </c>
      <c r="O14" s="138">
        <f t="shared" si="12"/>
        <v>0</v>
      </c>
      <c r="P14" s="138">
        <f t="shared" si="12"/>
        <v>0</v>
      </c>
      <c r="Q14" s="138">
        <f t="shared" si="12"/>
        <v>0</v>
      </c>
      <c r="R14" s="138">
        <f t="shared" si="12"/>
        <v>24.6</v>
      </c>
      <c r="S14" s="138">
        <f t="shared" si="12"/>
        <v>0</v>
      </c>
      <c r="T14" s="138">
        <f t="shared" si="12"/>
        <v>0</v>
      </c>
      <c r="U14" s="138">
        <f t="shared" si="12"/>
        <v>0</v>
      </c>
      <c r="V14" s="138">
        <f t="shared" si="12"/>
        <v>0</v>
      </c>
      <c r="W14" s="138">
        <f t="shared" si="12"/>
        <v>0</v>
      </c>
      <c r="X14" s="138">
        <f t="shared" si="12"/>
        <v>0</v>
      </c>
      <c r="Y14" s="138">
        <f t="shared" si="12"/>
        <v>0</v>
      </c>
      <c r="Z14" s="138">
        <f t="shared" si="12"/>
        <v>0</v>
      </c>
      <c r="AA14" s="138">
        <f t="shared" si="12"/>
        <v>0</v>
      </c>
      <c r="AB14" s="138">
        <f t="shared" si="12"/>
        <v>0</v>
      </c>
      <c r="AC14" s="243"/>
      <c r="AE14" s="153">
        <v>11</v>
      </c>
      <c r="AF14" s="145" t="str">
        <f>IF(ISBLANK(STUD!B3)," ",STUD!B3)</f>
        <v>EL JOYERO</v>
      </c>
      <c r="AG14" s="185">
        <f t="shared" si="0"/>
        <v>18.799999999999997</v>
      </c>
      <c r="AH14" s="186">
        <f t="shared" si="6"/>
        <v>60.399999999999991</v>
      </c>
      <c r="AI14" s="188">
        <f t="shared" si="1"/>
        <v>6</v>
      </c>
      <c r="AJ14" s="182" t="str">
        <f>IF(AI14="","",IFERROR(IF(VLOOKUP(AI14,Programa!$L$3:$M$18,2,0)="","",VLOOKUP(AI14,Programa!$L$3:$M$18,2,0)),""))</f>
        <v>ZALENSKI</v>
      </c>
      <c r="AK14" s="182">
        <f t="shared" si="2"/>
        <v>5</v>
      </c>
      <c r="AL14" s="182" t="str">
        <f>IF(AK14="","",IFERROR(IF(VLOOKUP(AK14,Programa!$L$19:$M$34,2,0)="","",VLOOKUP(AK14,Programa!$L$19:$M$34,2,0)),""))</f>
        <v>ROYAL FIERCE</v>
      </c>
      <c r="AM14" s="182">
        <f t="shared" si="3"/>
        <v>8</v>
      </c>
      <c r="AN14" s="182" t="str">
        <f>IF(AM14="","",IFERROR(IF(VLOOKUP(AM14,Programa!$L$35:$M$50,2,0)="","",VLOOKUP(AM14,Programa!$L$35:$M$50,2,0)),""))</f>
        <v>SOUL QUEEN</v>
      </c>
      <c r="AP14" s="229">
        <v>11</v>
      </c>
      <c r="AQ14" s="145" t="str">
        <f>IF(ISBLANK(STUD!B14)," ",STUD!B14)</f>
        <v xml:space="preserve"> </v>
      </c>
      <c r="AR14" s="185">
        <f>IFERROR(VLOOKUP(AQ14,Lunes!$AF$4:$AG$31,2,0),0)</f>
        <v>0</v>
      </c>
      <c r="AS14" s="185">
        <f>IFERROR(VLOOKUP(AQ14,Martes!$AF$4:$AH$31,2,0),0)</f>
        <v>0</v>
      </c>
      <c r="AT14" s="185">
        <f t="shared" si="4"/>
        <v>0</v>
      </c>
      <c r="AU14" s="185">
        <f t="shared" si="5"/>
        <v>0</v>
      </c>
      <c r="AV14" s="185">
        <f t="shared" si="8"/>
        <v>76.8</v>
      </c>
    </row>
    <row r="15" spans="1:48" ht="15.75" customHeight="1" x14ac:dyDescent="0.4">
      <c r="A15" s="252">
        <f>+A13+1</f>
        <v>6</v>
      </c>
      <c r="B15" s="253" t="str">
        <f>+STUD!B7</f>
        <v>ALF</v>
      </c>
      <c r="C15" s="244">
        <f>SUM(D16:AB16)</f>
        <v>5.4</v>
      </c>
      <c r="D15" s="109">
        <v>5</v>
      </c>
      <c r="E15" s="109">
        <v>6</v>
      </c>
      <c r="F15" s="109">
        <v>8</v>
      </c>
      <c r="G15" s="109">
        <v>6</v>
      </c>
      <c r="H15" s="109">
        <v>1</v>
      </c>
      <c r="I15" s="109">
        <v>6</v>
      </c>
      <c r="J15" s="109">
        <v>3</v>
      </c>
      <c r="K15" s="109">
        <v>9</v>
      </c>
      <c r="L15" s="109">
        <v>1</v>
      </c>
      <c r="M15" s="109">
        <v>9</v>
      </c>
      <c r="N15" s="109">
        <v>5</v>
      </c>
      <c r="O15" s="112">
        <v>1</v>
      </c>
      <c r="P15" s="109">
        <v>5</v>
      </c>
      <c r="Q15" s="109">
        <v>7</v>
      </c>
      <c r="R15" s="109">
        <v>3</v>
      </c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243">
        <f>SUM(D16:AB16)</f>
        <v>5.4</v>
      </c>
      <c r="AE15" s="157">
        <v>12</v>
      </c>
      <c r="AF15" s="145" t="str">
        <f>IF(ISBLANK(STUD!B12)," ",STUD!B12)</f>
        <v xml:space="preserve"> </v>
      </c>
      <c r="AG15" s="185">
        <f t="shared" si="0"/>
        <v>0</v>
      </c>
      <c r="AH15" s="186">
        <f t="shared" si="6"/>
        <v>79.199999999999989</v>
      </c>
      <c r="AI15" s="188" t="str">
        <f t="shared" si="1"/>
        <v xml:space="preserve"> </v>
      </c>
      <c r="AJ15" s="182" t="str">
        <f>IF(AI15="","",IFERROR(IF(VLOOKUP(AI15,Programa!$L$3:$M$18,2,0)="","",VLOOKUP(AI15,Programa!$L$3:$M$18,2,0)),""))</f>
        <v/>
      </c>
      <c r="AK15" s="182" t="str">
        <f t="shared" si="2"/>
        <v xml:space="preserve"> </v>
      </c>
      <c r="AL15" s="182" t="str">
        <f>IF(AK15="","",IFERROR(IF(VLOOKUP(AK15,Programa!$L$19:$M$34,2,0)="","",VLOOKUP(AK15,Programa!$L$19:$M$34,2,0)),""))</f>
        <v/>
      </c>
      <c r="AM15" s="182" t="str">
        <f t="shared" si="3"/>
        <v xml:space="preserve"> </v>
      </c>
      <c r="AN15" s="182" t="str">
        <f>IF(AM15="","",IFERROR(IF(VLOOKUP(AM15,Programa!$L$35:$M$50,2,0)="","",VLOOKUP(AM15,Programa!$L$35:$M$50,2,0)),""))</f>
        <v/>
      </c>
      <c r="AP15" s="229">
        <v>12</v>
      </c>
      <c r="AQ15" s="145" t="str">
        <f>IF(ISBLANK(STUD!B10)," ",STUD!B10)</f>
        <v>AUMENTA MEDINA</v>
      </c>
      <c r="AR15" s="185">
        <f>IFERROR(VLOOKUP(AQ15,Lunes!$AF$4:$AG$31,2,0),0)</f>
        <v>5.0999999999999996</v>
      </c>
      <c r="AS15" s="185">
        <f>IFERROR(VLOOKUP(AQ15,Martes!$AF$4:$AH$31,2,0),0)</f>
        <v>22.7</v>
      </c>
      <c r="AT15" s="185">
        <f t="shared" si="4"/>
        <v>29.4</v>
      </c>
      <c r="AU15" s="185">
        <f t="shared" si="5"/>
        <v>57.199999999999996</v>
      </c>
      <c r="AV15" s="185">
        <f t="shared" si="8"/>
        <v>19.600000000000001</v>
      </c>
    </row>
    <row r="16" spans="1:48" ht="15" customHeight="1" x14ac:dyDescent="0.4">
      <c r="A16" s="242"/>
      <c r="B16" s="253"/>
      <c r="C16" s="245"/>
      <c r="D16" s="138">
        <f t="shared" ref="D16:AB16" si="13">IF(IFERROR(IF(VLOOKUP(D15,D$151:D$155,1,0)&gt;=1,D$150,0),D15)=D$132,D$136,IF(IFERROR(IF(VLOOKUP(D15,D$151:D$155,1,0)&gt;=1,D$150,0),D15)=D$139,D$142,IF(IFERROR(IF(VLOOKUP(D15,D$151:D$155,1,0)&gt;=1,D$150,0),D15)=D$145,D$147,0)))</f>
        <v>0</v>
      </c>
      <c r="E16" s="138">
        <f t="shared" si="13"/>
        <v>0</v>
      </c>
      <c r="F16" s="138">
        <f t="shared" si="13"/>
        <v>2.7</v>
      </c>
      <c r="G16" s="138">
        <f t="shared" si="13"/>
        <v>0</v>
      </c>
      <c r="H16" s="138">
        <f t="shared" si="13"/>
        <v>0</v>
      </c>
      <c r="I16" s="138">
        <f t="shared" si="13"/>
        <v>0</v>
      </c>
      <c r="J16" s="138">
        <f t="shared" si="13"/>
        <v>0</v>
      </c>
      <c r="K16" s="138">
        <f t="shared" si="13"/>
        <v>0</v>
      </c>
      <c r="L16" s="138">
        <f t="shared" si="13"/>
        <v>2.7</v>
      </c>
      <c r="M16" s="138">
        <f t="shared" si="13"/>
        <v>0</v>
      </c>
      <c r="N16" s="138">
        <f t="shared" si="13"/>
        <v>0</v>
      </c>
      <c r="O16" s="138">
        <f t="shared" si="13"/>
        <v>0</v>
      </c>
      <c r="P16" s="138">
        <f t="shared" si="13"/>
        <v>0</v>
      </c>
      <c r="Q16" s="138">
        <f t="shared" si="13"/>
        <v>0</v>
      </c>
      <c r="R16" s="138">
        <f t="shared" si="13"/>
        <v>0</v>
      </c>
      <c r="S16" s="138">
        <f t="shared" si="13"/>
        <v>0</v>
      </c>
      <c r="T16" s="138">
        <f t="shared" si="13"/>
        <v>0</v>
      </c>
      <c r="U16" s="138">
        <f t="shared" si="13"/>
        <v>0</v>
      </c>
      <c r="V16" s="138">
        <f t="shared" si="13"/>
        <v>0</v>
      </c>
      <c r="W16" s="138">
        <f t="shared" si="13"/>
        <v>0</v>
      </c>
      <c r="X16" s="138">
        <f t="shared" si="13"/>
        <v>0</v>
      </c>
      <c r="Y16" s="138">
        <f t="shared" si="13"/>
        <v>0</v>
      </c>
      <c r="Z16" s="138">
        <f t="shared" si="13"/>
        <v>0</v>
      </c>
      <c r="AA16" s="138">
        <f t="shared" si="13"/>
        <v>0</v>
      </c>
      <c r="AB16" s="138">
        <f t="shared" si="13"/>
        <v>0</v>
      </c>
      <c r="AC16" s="243"/>
      <c r="AE16" s="158">
        <v>13</v>
      </c>
      <c r="AF16" s="145" t="str">
        <f>IF(ISBLANK(STUD!B11)," ",STUD!B11)</f>
        <v>PASASTE BANDIDO</v>
      </c>
      <c r="AG16" s="185">
        <f t="shared" si="0"/>
        <v>12.899999999999999</v>
      </c>
      <c r="AH16" s="186">
        <f t="shared" si="6"/>
        <v>66.299999999999983</v>
      </c>
      <c r="AI16" s="188">
        <f t="shared" si="1"/>
        <v>4</v>
      </c>
      <c r="AJ16" s="182" t="str">
        <f>IF(AI16="","",IFERROR(IF(VLOOKUP(AI16,Programa!$L$3:$M$18,2,0)="","",VLOOKUP(AI16,Programa!$L$3:$M$18,2,0)),""))</f>
        <v>YA TE CONTE</v>
      </c>
      <c r="AK16" s="182">
        <f t="shared" si="2"/>
        <v>5</v>
      </c>
      <c r="AL16" s="182" t="str">
        <f>IF(AK16="","",IFERROR(IF(VLOOKUP(AK16,Programa!$L$19:$M$34,2,0)="","",VLOOKUP(AK16,Programa!$L$19:$M$34,2,0)),""))</f>
        <v>ROYAL FIERCE</v>
      </c>
      <c r="AM16" s="182">
        <f t="shared" si="3"/>
        <v>5</v>
      </c>
      <c r="AN16" s="182" t="str">
        <f>IF(AM16="","",IFERROR(IF(VLOOKUP(AM16,Programa!$L$35:$M$50,2,0)="","",VLOOKUP(AM16,Programa!$L$35:$M$50,2,0)),""))</f>
        <v>IL VENTO</v>
      </c>
      <c r="AP16" s="229">
        <v>13</v>
      </c>
      <c r="AQ16" s="145" t="str">
        <f>IF(ISBLANK(STUD!B6)," ",STUD!B6)</f>
        <v>TRES COPAS</v>
      </c>
      <c r="AR16" s="185">
        <f>IFERROR(VLOOKUP(AQ16,Lunes!$AF$4:$AG$31,2,0),0)</f>
        <v>1.1000000000000001</v>
      </c>
      <c r="AS16" s="185">
        <f>IFERROR(VLOOKUP(AQ16,Martes!$AF$4:$AH$31,2,0),0)</f>
        <v>27</v>
      </c>
      <c r="AT16" s="185">
        <f t="shared" si="4"/>
        <v>30</v>
      </c>
      <c r="AU16" s="185">
        <f t="shared" si="5"/>
        <v>58.1</v>
      </c>
      <c r="AV16" s="185">
        <f t="shared" si="8"/>
        <v>18.699999999999996</v>
      </c>
    </row>
    <row r="17" spans="1:48" ht="15.75" customHeight="1" x14ac:dyDescent="0.4">
      <c r="A17" s="252">
        <f>+A15+1</f>
        <v>7</v>
      </c>
      <c r="B17" s="253" t="str">
        <f>+STUD!B8</f>
        <v>MIS SOBRINOS</v>
      </c>
      <c r="C17" s="244">
        <f>SUM(D18:AB18)</f>
        <v>32.9</v>
      </c>
      <c r="D17" s="109">
        <v>6</v>
      </c>
      <c r="E17" s="109">
        <v>2</v>
      </c>
      <c r="F17" s="109">
        <v>1</v>
      </c>
      <c r="G17" s="109">
        <v>3</v>
      </c>
      <c r="H17" s="109">
        <v>1</v>
      </c>
      <c r="I17" s="109">
        <v>1</v>
      </c>
      <c r="J17" s="109">
        <v>11</v>
      </c>
      <c r="K17" s="109">
        <v>4</v>
      </c>
      <c r="L17" s="109">
        <v>3</v>
      </c>
      <c r="M17" s="109">
        <v>6</v>
      </c>
      <c r="N17" s="109">
        <v>5</v>
      </c>
      <c r="O17" s="109">
        <v>7</v>
      </c>
      <c r="P17" s="109">
        <v>14</v>
      </c>
      <c r="Q17" s="109">
        <v>7</v>
      </c>
      <c r="R17" s="109">
        <v>13</v>
      </c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243">
        <f>SUM(D18:AB18)</f>
        <v>32.9</v>
      </c>
      <c r="AE17" s="159">
        <v>14</v>
      </c>
      <c r="AF17" s="145" t="str">
        <f>IF(ISBLANK(STUD!B5)," ",STUD!B5)</f>
        <v>KUME</v>
      </c>
      <c r="AG17" s="185">
        <f t="shared" si="0"/>
        <v>5.9</v>
      </c>
      <c r="AH17" s="186">
        <f t="shared" si="6"/>
        <v>73.299999999999983</v>
      </c>
      <c r="AI17" s="188">
        <f t="shared" si="1"/>
        <v>1</v>
      </c>
      <c r="AJ17" s="182" t="str">
        <f>IF(AI17="","",IFERROR(IF(VLOOKUP(AI17,Programa!$L$3:$M$18,2,0)="","",VLOOKUP(AI17,Programa!$L$3:$M$18,2,0)),""))</f>
        <v>PRIMO HAPPY</v>
      </c>
      <c r="AK17" s="182">
        <f t="shared" si="2"/>
        <v>6</v>
      </c>
      <c r="AL17" s="182" t="str">
        <f>IF(AK17="","",IFERROR(IF(VLOOKUP(AK17,Programa!$L$19:$M$34,2,0)="","",VLOOKUP(AK17,Programa!$L$19:$M$34,2,0)),""))</f>
        <v>TINES MI SONRISA</v>
      </c>
      <c r="AM17" s="182">
        <f t="shared" si="3"/>
        <v>9</v>
      </c>
      <c r="AN17" s="182" t="str">
        <f>IF(AM17="","",IFERROR(IF(VLOOKUP(AM17,Programa!$L$35:$M$50,2,0)="","",VLOOKUP(AM17,Programa!$L$35:$M$50,2,0)),""))</f>
        <v>NO PAIN NO GAIN</v>
      </c>
      <c r="AP17" s="229">
        <v>14</v>
      </c>
      <c r="AQ17" s="145" t="str">
        <f>IF(ISBLANK(STUD!B3)," ",STUD!B3)</f>
        <v>EL JOYERO</v>
      </c>
      <c r="AR17" s="185">
        <f>IFERROR(VLOOKUP(AQ17,Lunes!$AF$4:$AG$31,2,0),0)</f>
        <v>4</v>
      </c>
      <c r="AS17" s="185">
        <f>IFERROR(VLOOKUP(AQ17,Martes!$AF$4:$AH$31,2,0),0)</f>
        <v>25.4</v>
      </c>
      <c r="AT17" s="185">
        <f t="shared" si="4"/>
        <v>18.799999999999997</v>
      </c>
      <c r="AU17" s="185">
        <f t="shared" si="5"/>
        <v>48.199999999999996</v>
      </c>
      <c r="AV17" s="185">
        <f t="shared" si="8"/>
        <v>28.6</v>
      </c>
    </row>
    <row r="18" spans="1:48" ht="15.75" customHeight="1" x14ac:dyDescent="0.4">
      <c r="A18" s="242"/>
      <c r="B18" s="253"/>
      <c r="C18" s="245"/>
      <c r="D18" s="138">
        <f t="shared" ref="D18:AB18" si="14">IF(IFERROR(IF(VLOOKUP(D17,D$151:D$155,1,0)&gt;=1,D$150,0),D17)=D$132,D$136,IF(IFERROR(IF(VLOOKUP(D17,D$151:D$155,1,0)&gt;=1,D$150,0),D17)=D$139,D$142,IF(IFERROR(IF(VLOOKUP(D17,D$151:D$155,1,0)&gt;=1,D$150,0),D17)=D$145,D$147,0)))</f>
        <v>4.5999999999999996</v>
      </c>
      <c r="E18" s="138">
        <f t="shared" si="14"/>
        <v>3.3</v>
      </c>
      <c r="F18" s="138">
        <f t="shared" si="14"/>
        <v>9.8000000000000007</v>
      </c>
      <c r="G18" s="138">
        <f t="shared" si="14"/>
        <v>0</v>
      </c>
      <c r="H18" s="138">
        <f t="shared" si="14"/>
        <v>0</v>
      </c>
      <c r="I18" s="138">
        <f t="shared" si="14"/>
        <v>5.6</v>
      </c>
      <c r="J18" s="138">
        <f t="shared" si="14"/>
        <v>1.8</v>
      </c>
      <c r="K18" s="138">
        <f t="shared" si="14"/>
        <v>4.3</v>
      </c>
      <c r="L18" s="138">
        <f t="shared" si="14"/>
        <v>0</v>
      </c>
      <c r="M18" s="138">
        <f t="shared" si="14"/>
        <v>0</v>
      </c>
      <c r="N18" s="138">
        <f t="shared" si="14"/>
        <v>0</v>
      </c>
      <c r="O18" s="138">
        <f t="shared" si="14"/>
        <v>0</v>
      </c>
      <c r="P18" s="138">
        <f t="shared" si="14"/>
        <v>3.5</v>
      </c>
      <c r="Q18" s="138">
        <f t="shared" si="14"/>
        <v>0</v>
      </c>
      <c r="R18" s="138">
        <f t="shared" si="14"/>
        <v>0</v>
      </c>
      <c r="S18" s="138">
        <f t="shared" si="14"/>
        <v>0</v>
      </c>
      <c r="T18" s="138">
        <f t="shared" si="14"/>
        <v>0</v>
      </c>
      <c r="U18" s="138">
        <f t="shared" si="14"/>
        <v>0</v>
      </c>
      <c r="V18" s="138">
        <f t="shared" si="14"/>
        <v>0</v>
      </c>
      <c r="W18" s="138">
        <f t="shared" si="14"/>
        <v>0</v>
      </c>
      <c r="X18" s="138">
        <f t="shared" si="14"/>
        <v>0</v>
      </c>
      <c r="Y18" s="138">
        <f t="shared" si="14"/>
        <v>0</v>
      </c>
      <c r="Z18" s="138">
        <f t="shared" si="14"/>
        <v>0</v>
      </c>
      <c r="AA18" s="138">
        <f t="shared" si="14"/>
        <v>0</v>
      </c>
      <c r="AB18" s="138">
        <f t="shared" si="14"/>
        <v>0</v>
      </c>
      <c r="AC18" s="243"/>
      <c r="AE18" s="160">
        <v>15</v>
      </c>
      <c r="AF18" s="145" t="str">
        <f>IF(ISBLANK(STUD!B7)," ",STUD!B7)</f>
        <v>ALF</v>
      </c>
      <c r="AG18" s="185">
        <f t="shared" si="0"/>
        <v>5.4</v>
      </c>
      <c r="AH18" s="186">
        <f t="shared" si="6"/>
        <v>73.799999999999983</v>
      </c>
      <c r="AI18" s="188">
        <f t="shared" si="1"/>
        <v>1</v>
      </c>
      <c r="AJ18" s="182" t="str">
        <f>IF(AI18="","",IFERROR(IF(VLOOKUP(AI18,Programa!$L$3:$M$18,2,0)="","",VLOOKUP(AI18,Programa!$L$3:$M$18,2,0)),""))</f>
        <v>PRIMO HAPPY</v>
      </c>
      <c r="AK18" s="182">
        <f t="shared" si="2"/>
        <v>9</v>
      </c>
      <c r="AL18" s="182" t="str">
        <f>IF(AK18="","",IFERROR(IF(VLOOKUP(AK18,Programa!$L$19:$M$34,2,0)="","",VLOOKUP(AK18,Programa!$L$19:$M$34,2,0)),""))</f>
        <v>LUCKY BOSS</v>
      </c>
      <c r="AM18" s="182">
        <f t="shared" si="3"/>
        <v>5</v>
      </c>
      <c r="AN18" s="182" t="str">
        <f>IF(AM18="","",IFERROR(IF(VLOOKUP(AM18,Programa!$L$35:$M$50,2,0)="","",VLOOKUP(AM18,Programa!$L$35:$M$50,2,0)),""))</f>
        <v>IL VENTO</v>
      </c>
      <c r="AP18" s="229">
        <v>15</v>
      </c>
      <c r="AQ18" s="145" t="str">
        <f>IF(ISBLANK(STUD!B7)," ",STUD!B7)</f>
        <v>ALF</v>
      </c>
      <c r="AR18" s="185">
        <f>IFERROR(VLOOKUP(AQ18,Lunes!$AF$4:$AG$31,2,0),0)</f>
        <v>4</v>
      </c>
      <c r="AS18" s="185">
        <f>IFERROR(VLOOKUP(AQ18,Martes!$AF$4:$AH$31,2,0),0)</f>
        <v>26</v>
      </c>
      <c r="AT18" s="185">
        <f t="shared" si="4"/>
        <v>5.4</v>
      </c>
      <c r="AU18" s="185">
        <f t="shared" si="5"/>
        <v>35.4</v>
      </c>
      <c r="AV18" s="185">
        <f t="shared" si="8"/>
        <v>41.4</v>
      </c>
    </row>
    <row r="19" spans="1:48" ht="15.75" customHeight="1" x14ac:dyDescent="0.4">
      <c r="A19" s="252">
        <f>+A17+1</f>
        <v>8</v>
      </c>
      <c r="B19" s="253" t="str">
        <f>+STUD!B9</f>
        <v>SERVIFRENOS</v>
      </c>
      <c r="C19" s="244">
        <f>SUM(D20:AB20)</f>
        <v>34.699999999999996</v>
      </c>
      <c r="D19" s="109">
        <v>12</v>
      </c>
      <c r="E19" s="109">
        <v>7</v>
      </c>
      <c r="F19" s="109">
        <v>8</v>
      </c>
      <c r="G19" s="109">
        <v>6</v>
      </c>
      <c r="H19" s="109">
        <v>11</v>
      </c>
      <c r="I19" s="109">
        <v>9</v>
      </c>
      <c r="J19" s="109">
        <v>9</v>
      </c>
      <c r="K19" s="109">
        <v>9</v>
      </c>
      <c r="L19" s="109">
        <v>1</v>
      </c>
      <c r="M19" s="109">
        <v>11</v>
      </c>
      <c r="N19" s="109">
        <v>7</v>
      </c>
      <c r="O19" s="109">
        <v>4</v>
      </c>
      <c r="P19" s="109">
        <v>14</v>
      </c>
      <c r="Q19" s="109">
        <v>1</v>
      </c>
      <c r="R19" s="109">
        <v>1</v>
      </c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243">
        <f>SUM(D20:AB20)</f>
        <v>34.699999999999996</v>
      </c>
      <c r="AE19" s="161">
        <v>16</v>
      </c>
      <c r="AF19" s="145" t="str">
        <f>IF(ISBLANK(STUD!B17)," ",STUD!B17)</f>
        <v xml:space="preserve"> </v>
      </c>
      <c r="AG19" s="185">
        <f t="shared" si="0"/>
        <v>0</v>
      </c>
      <c r="AH19" s="186">
        <f t="shared" si="6"/>
        <v>79.199999999999989</v>
      </c>
      <c r="AI19" s="188" t="str">
        <f t="shared" si="1"/>
        <v xml:space="preserve"> </v>
      </c>
      <c r="AJ19" s="182" t="str">
        <f>IF(AI19="","",IFERROR(IF(VLOOKUP(AI19,Programa!$L$3:$M$18,2,0)="","",VLOOKUP(AI19,Programa!$L$3:$M$18,2,0)),""))</f>
        <v/>
      </c>
      <c r="AK19" s="182" t="str">
        <f t="shared" si="2"/>
        <v xml:space="preserve"> </v>
      </c>
      <c r="AL19" s="182" t="str">
        <f>IF(AK19="","",IFERROR(IF(VLOOKUP(AK19,Programa!$L$19:$M$34,2,0)="","",VLOOKUP(AK19,Programa!$L$19:$M$34,2,0)),""))</f>
        <v/>
      </c>
      <c r="AM19" s="182" t="str">
        <f t="shared" si="3"/>
        <v xml:space="preserve"> </v>
      </c>
      <c r="AN19" s="182" t="str">
        <f>IF(AM19="","",IFERROR(IF(VLOOKUP(AM19,Programa!$L$35:$M$50,2,0)="","",VLOOKUP(AM19,Programa!$L$35:$M$50,2,0)),""))</f>
        <v/>
      </c>
      <c r="AP19" s="161">
        <v>16</v>
      </c>
      <c r="AQ19" s="91" t="str">
        <f>IF(ISBLANK(STUD!B17)," ",STUD!B17)</f>
        <v xml:space="preserve"> </v>
      </c>
      <c r="AR19" s="214">
        <f>IFERROR(VLOOKUP(AQ19,Lunes!$AF$4:$AG$31,2,0),0)</f>
        <v>0</v>
      </c>
      <c r="AS19" s="214">
        <f>IFERROR(VLOOKUP(AQ19,Martes!$AF$4:$AH$31,2,0),0)</f>
        <v>0</v>
      </c>
      <c r="AT19" s="214">
        <f t="shared" si="4"/>
        <v>0</v>
      </c>
      <c r="AU19" s="214">
        <f t="shared" si="5"/>
        <v>0</v>
      </c>
      <c r="AV19" s="214">
        <f t="shared" si="8"/>
        <v>76.8</v>
      </c>
    </row>
    <row r="20" spans="1:48" ht="15.75" customHeight="1" x14ac:dyDescent="0.4">
      <c r="A20" s="242"/>
      <c r="B20" s="253"/>
      <c r="C20" s="245"/>
      <c r="D20" s="138">
        <f t="shared" ref="D20:AB20" si="15">IF(IFERROR(IF(VLOOKUP(D19,D$151:D$155,1,0)&gt;=1,D$150,0),D19)=D$132,D$136,IF(IFERROR(IF(VLOOKUP(D19,D$151:D$155,1,0)&gt;=1,D$150,0),D19)=D$139,D$142,IF(IFERROR(IF(VLOOKUP(D19,D$151:D$155,1,0)&gt;=1,D$150,0),D19)=D$145,D$147,0)))</f>
        <v>0</v>
      </c>
      <c r="E20" s="138">
        <f t="shared" si="15"/>
        <v>0</v>
      </c>
      <c r="F20" s="138">
        <f t="shared" si="15"/>
        <v>2.7</v>
      </c>
      <c r="G20" s="138">
        <f t="shared" si="15"/>
        <v>0</v>
      </c>
      <c r="H20" s="138">
        <f t="shared" si="15"/>
        <v>9.8000000000000007</v>
      </c>
      <c r="I20" s="138">
        <f t="shared" si="15"/>
        <v>0</v>
      </c>
      <c r="J20" s="138">
        <f t="shared" si="15"/>
        <v>0</v>
      </c>
      <c r="K20" s="138">
        <f t="shared" si="15"/>
        <v>0</v>
      </c>
      <c r="L20" s="138">
        <f t="shared" si="15"/>
        <v>2.7</v>
      </c>
      <c r="M20" s="138">
        <f t="shared" si="15"/>
        <v>7.7</v>
      </c>
      <c r="N20" s="138">
        <f t="shared" si="15"/>
        <v>1.2</v>
      </c>
      <c r="O20" s="138">
        <f t="shared" si="15"/>
        <v>7.1</v>
      </c>
      <c r="P20" s="138">
        <f>IF(IFERROR(IF(VLOOKUP(P19,P$151:P$155,1,0)&gt;=1,P$150,0),P19)=P$132,P$136,IF(IFERROR(IF(VLOOKUP(P19,P$151:P$155,1,0)&gt;=1,P$150,0),P19)=P$139,P$142,IF(IFERROR(IF(VLOOKUP(P19,P$151:P$155,1,0)&gt;=1,P$150,0),P19)=P$145,P$147,0)))</f>
        <v>3.5</v>
      </c>
      <c r="Q20" s="138">
        <f t="shared" si="15"/>
        <v>0</v>
      </c>
      <c r="R20" s="138">
        <f t="shared" si="15"/>
        <v>0</v>
      </c>
      <c r="S20" s="138">
        <f t="shared" si="15"/>
        <v>0</v>
      </c>
      <c r="T20" s="138">
        <f t="shared" si="15"/>
        <v>0</v>
      </c>
      <c r="U20" s="138">
        <f t="shared" si="15"/>
        <v>0</v>
      </c>
      <c r="V20" s="138">
        <f t="shared" si="15"/>
        <v>0</v>
      </c>
      <c r="W20" s="138">
        <f t="shared" si="15"/>
        <v>0</v>
      </c>
      <c r="X20" s="138">
        <f t="shared" si="15"/>
        <v>0</v>
      </c>
      <c r="Y20" s="138">
        <f t="shared" si="15"/>
        <v>0</v>
      </c>
      <c r="Z20" s="138">
        <f t="shared" si="15"/>
        <v>0</v>
      </c>
      <c r="AA20" s="138">
        <f t="shared" si="15"/>
        <v>0</v>
      </c>
      <c r="AB20" s="138">
        <f t="shared" si="15"/>
        <v>0</v>
      </c>
      <c r="AC20" s="243"/>
      <c r="AE20" s="162">
        <v>17</v>
      </c>
      <c r="AF20" s="145" t="str">
        <f>IF(ISBLANK(STUD!B18)," ",STUD!B18)</f>
        <v xml:space="preserve"> </v>
      </c>
      <c r="AG20" s="185">
        <f t="shared" si="0"/>
        <v>0</v>
      </c>
      <c r="AH20" s="186">
        <f t="shared" si="6"/>
        <v>79.199999999999989</v>
      </c>
      <c r="AI20" s="188" t="str">
        <f t="shared" si="1"/>
        <v xml:space="preserve"> </v>
      </c>
      <c r="AJ20" s="182" t="str">
        <f>IF(AI20="","",IFERROR(IF(VLOOKUP(AI20,Programa!$L$3:$M$18,2,0)="","",VLOOKUP(AI20,Programa!$L$3:$M$18,2,0)),""))</f>
        <v/>
      </c>
      <c r="AK20" s="182" t="str">
        <f t="shared" si="2"/>
        <v xml:space="preserve"> </v>
      </c>
      <c r="AL20" s="182" t="str">
        <f>IF(AK20="","",IFERROR(IF(VLOOKUP(AK20,Programa!$L$19:$M$34,2,0)="","",VLOOKUP(AK20,Programa!$L$19:$M$34,2,0)),""))</f>
        <v/>
      </c>
      <c r="AM20" s="182" t="str">
        <f t="shared" si="3"/>
        <v xml:space="preserve"> </v>
      </c>
      <c r="AN20" s="182" t="str">
        <f>IF(AM20="","",IFERROR(IF(VLOOKUP(AM20,Programa!$L$35:$M$50,2,0)="","",VLOOKUP(AM20,Programa!$L$35:$M$50,2,0)),""))</f>
        <v/>
      </c>
      <c r="AP20" s="162">
        <v>17</v>
      </c>
      <c r="AQ20" s="91" t="str">
        <f>IF(ISBLANK(STUD!B18)," ",STUD!B18)</f>
        <v xml:space="preserve"> </v>
      </c>
      <c r="AR20" s="214">
        <f>IFERROR(VLOOKUP(AQ20,Lunes!$AF$4:$AG$31,2,0),0)</f>
        <v>0</v>
      </c>
      <c r="AS20" s="214">
        <f>IFERROR(VLOOKUP(AQ20,Martes!$AF$4:$AH$31,2,0),0)</f>
        <v>0</v>
      </c>
      <c r="AT20" s="214">
        <f t="shared" si="4"/>
        <v>0</v>
      </c>
      <c r="AU20" s="214">
        <f t="shared" si="5"/>
        <v>0</v>
      </c>
      <c r="AV20" s="214">
        <f t="shared" si="8"/>
        <v>76.8</v>
      </c>
    </row>
    <row r="21" spans="1:48" ht="15.75" customHeight="1" x14ac:dyDescent="0.4">
      <c r="A21" s="252">
        <f>+A19+1</f>
        <v>9</v>
      </c>
      <c r="B21" s="253" t="str">
        <f>+STUD!B10</f>
        <v>AUMENTA MEDINA</v>
      </c>
      <c r="C21" s="244">
        <f>SUM(D22:AB22)</f>
        <v>29.4</v>
      </c>
      <c r="D21" s="109">
        <v>9</v>
      </c>
      <c r="E21" s="109">
        <v>6</v>
      </c>
      <c r="F21" s="109">
        <v>2</v>
      </c>
      <c r="G21" s="109">
        <v>1</v>
      </c>
      <c r="H21" s="109">
        <v>5</v>
      </c>
      <c r="I21" s="109">
        <v>8</v>
      </c>
      <c r="J21" s="109">
        <v>3</v>
      </c>
      <c r="K21" s="109">
        <v>2</v>
      </c>
      <c r="L21" s="109">
        <v>2</v>
      </c>
      <c r="M21" s="109">
        <v>4</v>
      </c>
      <c r="N21" s="109">
        <v>11</v>
      </c>
      <c r="O21" s="112">
        <v>2</v>
      </c>
      <c r="P21" s="109">
        <v>2</v>
      </c>
      <c r="Q21" s="109">
        <v>12</v>
      </c>
      <c r="R21" s="109">
        <v>6</v>
      </c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243">
        <f>SUM(D22:AB22)</f>
        <v>29.4</v>
      </c>
      <c r="AE21" s="163">
        <v>18</v>
      </c>
      <c r="AF21" s="145" t="str">
        <f>IF(ISBLANK(STUD!B19)," ",STUD!B19)</f>
        <v xml:space="preserve"> </v>
      </c>
      <c r="AG21" s="185">
        <f t="shared" si="0"/>
        <v>0</v>
      </c>
      <c r="AH21" s="186">
        <f t="shared" si="6"/>
        <v>79.199999999999989</v>
      </c>
      <c r="AI21" s="188" t="str">
        <f t="shared" si="1"/>
        <v xml:space="preserve"> </v>
      </c>
      <c r="AJ21" s="182" t="str">
        <f>IF(AI21="","",IFERROR(IF(VLOOKUP(AI21,Programa!$L$3:$M$18,2,0)="","",VLOOKUP(AI21,Programa!$L$3:$M$18,2,0)),""))</f>
        <v/>
      </c>
      <c r="AK21" s="182" t="str">
        <f t="shared" si="2"/>
        <v xml:space="preserve"> </v>
      </c>
      <c r="AL21" s="182" t="str">
        <f>IF(AK21="","",IFERROR(IF(VLOOKUP(AK21,Programa!$L$19:$M$34,2,0)="","",VLOOKUP(AK21,Programa!$L$19:$M$34,2,0)),""))</f>
        <v/>
      </c>
      <c r="AM21" s="182" t="str">
        <f t="shared" si="3"/>
        <v xml:space="preserve"> </v>
      </c>
      <c r="AN21" s="182" t="str">
        <f>IF(AM21="","",IFERROR(IF(VLOOKUP(AM21,Programa!$L$35:$M$50,2,0)="","",VLOOKUP(AM21,Programa!$L$35:$M$50,2,0)),""))</f>
        <v/>
      </c>
      <c r="AP21" s="163">
        <v>18</v>
      </c>
      <c r="AQ21" s="91" t="str">
        <f>IF(ISBLANK(STUD!B19)," ",STUD!B19)</f>
        <v xml:space="preserve"> </v>
      </c>
      <c r="AR21" s="214">
        <f>IFERROR(VLOOKUP(AQ21,Lunes!$AF$4:$AG$31,2,0),0)</f>
        <v>0</v>
      </c>
      <c r="AS21" s="214">
        <f>IFERROR(VLOOKUP(AQ21,Martes!$AF$4:$AH$31,2,0),0)</f>
        <v>0</v>
      </c>
      <c r="AT21" s="214">
        <f t="shared" si="4"/>
        <v>0</v>
      </c>
      <c r="AU21" s="214">
        <f t="shared" si="5"/>
        <v>0</v>
      </c>
      <c r="AV21" s="214">
        <f t="shared" si="8"/>
        <v>76.8</v>
      </c>
    </row>
    <row r="22" spans="1:48" ht="15.75" customHeight="1" x14ac:dyDescent="0.4">
      <c r="A22" s="242"/>
      <c r="B22" s="253"/>
      <c r="C22" s="245"/>
      <c r="D22" s="138">
        <f t="shared" ref="D22:AB22" si="16">IF(IFERROR(IF(VLOOKUP(D21,D$151:D$155,1,0)&gt;=1,D$150,0),D21)=D$132,D$136,IF(IFERROR(IF(VLOOKUP(D21,D$151:D$155,1,0)&gt;=1,D$150,0),D21)=D$139,D$142,IF(IFERROR(IF(VLOOKUP(D21,D$151:D$155,1,0)&gt;=1,D$150,0),D21)=D$145,D$147,0)))</f>
        <v>0</v>
      </c>
      <c r="E22" s="138">
        <f t="shared" si="16"/>
        <v>0</v>
      </c>
      <c r="F22" s="138">
        <f t="shared" si="16"/>
        <v>1</v>
      </c>
      <c r="G22" s="138">
        <f t="shared" si="16"/>
        <v>5.6</v>
      </c>
      <c r="H22" s="138">
        <f t="shared" si="16"/>
        <v>0</v>
      </c>
      <c r="I22" s="138">
        <f t="shared" si="16"/>
        <v>1.6</v>
      </c>
      <c r="J22" s="138">
        <f t="shared" si="16"/>
        <v>0</v>
      </c>
      <c r="K22" s="138">
        <f t="shared" si="16"/>
        <v>0</v>
      </c>
      <c r="L22" s="138">
        <f t="shared" si="16"/>
        <v>0</v>
      </c>
      <c r="M22" s="138">
        <f t="shared" si="16"/>
        <v>0</v>
      </c>
      <c r="N22" s="138">
        <f t="shared" si="16"/>
        <v>5</v>
      </c>
      <c r="O22" s="138">
        <f t="shared" si="16"/>
        <v>7.9</v>
      </c>
      <c r="P22" s="138">
        <f t="shared" si="16"/>
        <v>0</v>
      </c>
      <c r="Q22" s="138">
        <f t="shared" si="16"/>
        <v>8.2999999999999989</v>
      </c>
      <c r="R22" s="138">
        <f t="shared" si="16"/>
        <v>0</v>
      </c>
      <c r="S22" s="138">
        <f t="shared" si="16"/>
        <v>0</v>
      </c>
      <c r="T22" s="138">
        <f t="shared" si="16"/>
        <v>0</v>
      </c>
      <c r="U22" s="138">
        <f t="shared" si="16"/>
        <v>0</v>
      </c>
      <c r="V22" s="138">
        <f t="shared" si="16"/>
        <v>0</v>
      </c>
      <c r="W22" s="138">
        <f t="shared" si="16"/>
        <v>0</v>
      </c>
      <c r="X22" s="138">
        <f t="shared" si="16"/>
        <v>0</v>
      </c>
      <c r="Y22" s="138">
        <f t="shared" si="16"/>
        <v>0</v>
      </c>
      <c r="Z22" s="138">
        <f t="shared" si="16"/>
        <v>0</v>
      </c>
      <c r="AA22" s="138">
        <f t="shared" si="16"/>
        <v>0</v>
      </c>
      <c r="AB22" s="138">
        <f t="shared" si="16"/>
        <v>0</v>
      </c>
      <c r="AC22" s="243"/>
      <c r="AE22" s="164">
        <v>19</v>
      </c>
      <c r="AF22" s="145" t="str">
        <f>IF(ISBLANK(STUD!B20)," ",STUD!B20)</f>
        <v xml:space="preserve"> </v>
      </c>
      <c r="AG22" s="185">
        <f t="shared" si="0"/>
        <v>0</v>
      </c>
      <c r="AH22" s="186">
        <f t="shared" si="6"/>
        <v>79.199999999999989</v>
      </c>
      <c r="AI22" s="188" t="str">
        <f t="shared" si="1"/>
        <v xml:space="preserve"> </v>
      </c>
      <c r="AJ22" s="182" t="str">
        <f>IF(AI22="","",IFERROR(IF(VLOOKUP(AI22,Programa!$L$3:$M$18,2,0)="","",VLOOKUP(AI22,Programa!$L$3:$M$18,2,0)),""))</f>
        <v/>
      </c>
      <c r="AK22" s="182" t="str">
        <f t="shared" si="2"/>
        <v xml:space="preserve"> </v>
      </c>
      <c r="AL22" s="182" t="str">
        <f>IF(AK22="","",IFERROR(IF(VLOOKUP(AK22,Programa!$L$19:$M$34,2,0)="","",VLOOKUP(AK22,Programa!$L$19:$M$34,2,0)),""))</f>
        <v/>
      </c>
      <c r="AM22" s="182" t="str">
        <f t="shared" si="3"/>
        <v xml:space="preserve"> </v>
      </c>
      <c r="AN22" s="182" t="str">
        <f>IF(AM22="","",IFERROR(IF(VLOOKUP(AM22,Programa!$L$35:$M$50,2,0)="","",VLOOKUP(AM22,Programa!$L$35:$M$50,2,0)),""))</f>
        <v/>
      </c>
      <c r="AP22" s="164">
        <v>19</v>
      </c>
      <c r="AQ22" s="91" t="str">
        <f>IF(ISBLANK(STUD!B20)," ",STUD!B20)</f>
        <v xml:space="preserve"> </v>
      </c>
      <c r="AR22" s="214">
        <f>IFERROR(VLOOKUP(AQ22,Lunes!$AF$4:$AG$31,2,0),0)</f>
        <v>0</v>
      </c>
      <c r="AS22" s="214">
        <f>IFERROR(VLOOKUP(AQ22,Martes!$AF$4:$AH$31,2,0),0)</f>
        <v>0</v>
      </c>
      <c r="AT22" s="214">
        <f t="shared" si="4"/>
        <v>0</v>
      </c>
      <c r="AU22" s="214">
        <f t="shared" si="5"/>
        <v>0</v>
      </c>
      <c r="AV22" s="214">
        <f t="shared" si="8"/>
        <v>76.8</v>
      </c>
    </row>
    <row r="23" spans="1:48" ht="15.75" customHeight="1" x14ac:dyDescent="0.4">
      <c r="A23" s="252">
        <f>+A21+1</f>
        <v>10</v>
      </c>
      <c r="B23" s="253" t="str">
        <f>+STUD!B11</f>
        <v>PASASTE BANDIDO</v>
      </c>
      <c r="C23" s="244">
        <f>SUM(D24:AB24)</f>
        <v>12.899999999999999</v>
      </c>
      <c r="D23" s="109">
        <v>8</v>
      </c>
      <c r="E23" s="109">
        <v>7</v>
      </c>
      <c r="F23" s="109">
        <v>4</v>
      </c>
      <c r="G23" s="109">
        <v>1</v>
      </c>
      <c r="H23" s="109">
        <v>5</v>
      </c>
      <c r="I23" s="109">
        <v>8</v>
      </c>
      <c r="J23" s="109">
        <v>5</v>
      </c>
      <c r="K23" s="109">
        <v>10</v>
      </c>
      <c r="L23" s="109">
        <v>4</v>
      </c>
      <c r="M23" s="109">
        <v>5</v>
      </c>
      <c r="N23" s="109">
        <v>5</v>
      </c>
      <c r="O23" s="112">
        <v>1</v>
      </c>
      <c r="P23" s="109">
        <v>4</v>
      </c>
      <c r="Q23" s="109">
        <v>5</v>
      </c>
      <c r="R23" s="109">
        <v>14</v>
      </c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243">
        <f>SUM(D24:AB24)</f>
        <v>12.899999999999999</v>
      </c>
      <c r="AE23" s="165">
        <v>20</v>
      </c>
      <c r="AF23" s="145" t="str">
        <f>IF(ISBLANK(STUD!B21)," ",STUD!B21)</f>
        <v xml:space="preserve"> </v>
      </c>
      <c r="AG23" s="185">
        <f t="shared" si="0"/>
        <v>0</v>
      </c>
      <c r="AH23" s="186">
        <f t="shared" si="6"/>
        <v>79.199999999999989</v>
      </c>
      <c r="AI23" s="188" t="str">
        <f t="shared" si="1"/>
        <v xml:space="preserve"> </v>
      </c>
      <c r="AJ23" s="182" t="str">
        <f>IF(AI23="","",IFERROR(IF(VLOOKUP(AI23,Programa!$L$3:$M$18,2,0)="","",VLOOKUP(AI23,Programa!$L$3:$M$18,2,0)),""))</f>
        <v/>
      </c>
      <c r="AK23" s="182" t="str">
        <f t="shared" si="2"/>
        <v xml:space="preserve"> </v>
      </c>
      <c r="AL23" s="182" t="str">
        <f>IF(AK23="","",IFERROR(IF(VLOOKUP(AK23,Programa!$L$19:$M$34,2,0)="","",VLOOKUP(AK23,Programa!$L$19:$M$34,2,0)),""))</f>
        <v/>
      </c>
      <c r="AM23" s="182" t="str">
        <f t="shared" si="3"/>
        <v xml:space="preserve"> </v>
      </c>
      <c r="AN23" s="182" t="str">
        <f>IF(AM23="","",IFERROR(IF(VLOOKUP(AM23,Programa!$L$35:$M$50,2,0)="","",VLOOKUP(AM23,Programa!$L$35:$M$50,2,0)),""))</f>
        <v/>
      </c>
      <c r="AP23" s="165">
        <v>20</v>
      </c>
      <c r="AQ23" s="91" t="str">
        <f>IF(ISBLANK(STUD!B21)," ",STUD!B21)</f>
        <v xml:space="preserve"> </v>
      </c>
      <c r="AR23" s="214">
        <f>IFERROR(VLOOKUP(AQ23,Lunes!$AF$4:$AG$31,2,0),0)</f>
        <v>0</v>
      </c>
      <c r="AS23" s="214">
        <f>IFERROR(VLOOKUP(AQ23,Martes!$AF$4:$AH$31,2,0),0)</f>
        <v>0</v>
      </c>
      <c r="AT23" s="214">
        <f t="shared" si="4"/>
        <v>0</v>
      </c>
      <c r="AU23" s="214">
        <f t="shared" si="5"/>
        <v>0</v>
      </c>
      <c r="AV23" s="214">
        <f t="shared" si="8"/>
        <v>76.8</v>
      </c>
    </row>
    <row r="24" spans="1:48" ht="15.75" customHeight="1" x14ac:dyDescent="0.4">
      <c r="A24" s="242"/>
      <c r="B24" s="253"/>
      <c r="C24" s="245"/>
      <c r="D24" s="138">
        <f t="shared" ref="D24:AB24" si="17">IF(IFERROR(IF(VLOOKUP(D23,D$151:D$155,1,0)&gt;=1,D$150,0),D23)=D$132,D$136,IF(IFERROR(IF(VLOOKUP(D23,D$151:D$155,1,0)&gt;=1,D$150,0),D23)=D$139,D$142,IF(IFERROR(IF(VLOOKUP(D23,D$151:D$155,1,0)&gt;=1,D$150,0),D23)=D$145,D$147,0)))</f>
        <v>0</v>
      </c>
      <c r="E24" s="138">
        <f t="shared" si="17"/>
        <v>0</v>
      </c>
      <c r="F24" s="138">
        <f t="shared" si="17"/>
        <v>0</v>
      </c>
      <c r="G24" s="138">
        <f t="shared" si="17"/>
        <v>5.6</v>
      </c>
      <c r="H24" s="138">
        <f t="shared" si="17"/>
        <v>0</v>
      </c>
      <c r="I24" s="138">
        <f t="shared" si="17"/>
        <v>1.6</v>
      </c>
      <c r="J24" s="138">
        <f t="shared" si="17"/>
        <v>0</v>
      </c>
      <c r="K24" s="138">
        <f t="shared" si="17"/>
        <v>0</v>
      </c>
      <c r="L24" s="138">
        <f t="shared" si="17"/>
        <v>2.7</v>
      </c>
      <c r="M24" s="138">
        <f t="shared" si="17"/>
        <v>3</v>
      </c>
      <c r="N24" s="138">
        <f t="shared" si="17"/>
        <v>0</v>
      </c>
      <c r="O24" s="138">
        <f t="shared" si="17"/>
        <v>0</v>
      </c>
      <c r="P24" s="138">
        <f t="shared" si="17"/>
        <v>0</v>
      </c>
      <c r="Q24" s="138">
        <f t="shared" si="17"/>
        <v>0</v>
      </c>
      <c r="R24" s="138">
        <f t="shared" si="17"/>
        <v>0</v>
      </c>
      <c r="S24" s="138">
        <f t="shared" si="17"/>
        <v>0</v>
      </c>
      <c r="T24" s="138">
        <f t="shared" si="17"/>
        <v>0</v>
      </c>
      <c r="U24" s="138">
        <f t="shared" si="17"/>
        <v>0</v>
      </c>
      <c r="V24" s="138">
        <f t="shared" si="17"/>
        <v>0</v>
      </c>
      <c r="W24" s="138">
        <f t="shared" si="17"/>
        <v>0</v>
      </c>
      <c r="X24" s="138">
        <f t="shared" si="17"/>
        <v>0</v>
      </c>
      <c r="Y24" s="138">
        <f t="shared" si="17"/>
        <v>0</v>
      </c>
      <c r="Z24" s="138">
        <f t="shared" si="17"/>
        <v>0</v>
      </c>
      <c r="AA24" s="138">
        <f t="shared" si="17"/>
        <v>0</v>
      </c>
      <c r="AB24" s="138">
        <f t="shared" si="17"/>
        <v>0</v>
      </c>
      <c r="AC24" s="243"/>
      <c r="AE24" s="166">
        <v>21</v>
      </c>
      <c r="AF24" s="145" t="str">
        <f>IF(ISBLANK(STUD!B22)," ",STUD!B22)</f>
        <v xml:space="preserve"> </v>
      </c>
      <c r="AG24" s="185">
        <f t="shared" si="0"/>
        <v>0</v>
      </c>
      <c r="AH24" s="186">
        <f t="shared" si="6"/>
        <v>79.199999999999989</v>
      </c>
      <c r="AI24" s="188" t="str">
        <f t="shared" si="1"/>
        <v xml:space="preserve"> </v>
      </c>
      <c r="AJ24" s="182" t="str">
        <f>IF(AI24="","",IFERROR(IF(VLOOKUP(AI24,Programa!$L$3:$M$18,2,0)="","",VLOOKUP(AI24,Programa!$L$3:$M$18,2,0)),""))</f>
        <v/>
      </c>
      <c r="AK24" s="182" t="str">
        <f t="shared" si="2"/>
        <v xml:space="preserve"> </v>
      </c>
      <c r="AL24" s="182" t="str">
        <f>IF(AK24="","",IFERROR(IF(VLOOKUP(AK24,Programa!$L$19:$M$34,2,0)="","",VLOOKUP(AK24,Programa!$L$19:$M$34,2,0)),""))</f>
        <v/>
      </c>
      <c r="AM24" s="182" t="str">
        <f t="shared" si="3"/>
        <v xml:space="preserve"> </v>
      </c>
      <c r="AN24" s="182" t="str">
        <f>IF(AM24="","",IFERROR(IF(VLOOKUP(AM24,Programa!$L$35:$M$50,2,0)="","",VLOOKUP(AM24,Programa!$L$35:$M$50,2,0)),""))</f>
        <v/>
      </c>
      <c r="AP24" s="166">
        <v>21</v>
      </c>
      <c r="AQ24" s="91" t="str">
        <f>IF(ISBLANK(STUD!B22)," ",STUD!B22)</f>
        <v xml:space="preserve"> </v>
      </c>
      <c r="AR24" s="214">
        <f>IFERROR(VLOOKUP(AQ24,Lunes!$AF$4:$AG$31,2,0),0)</f>
        <v>0</v>
      </c>
      <c r="AS24" s="214">
        <f>IFERROR(VLOOKUP(AQ24,Martes!$AF$4:$AH$31,2,0),0)</f>
        <v>0</v>
      </c>
      <c r="AT24" s="214">
        <f t="shared" si="4"/>
        <v>0</v>
      </c>
      <c r="AU24" s="214">
        <f t="shared" si="5"/>
        <v>0</v>
      </c>
      <c r="AV24" s="214">
        <f t="shared" si="8"/>
        <v>76.8</v>
      </c>
    </row>
    <row r="25" spans="1:48" ht="15.75" customHeight="1" x14ac:dyDescent="0.4">
      <c r="A25" s="252">
        <f>+A23+1</f>
        <v>11</v>
      </c>
      <c r="B25" s="253">
        <f>+STUD!B12</f>
        <v>0</v>
      </c>
      <c r="C25" s="244">
        <f>SUM(D26:AB26)</f>
        <v>13.100000000000001</v>
      </c>
      <c r="D25" s="113">
        <v>11</v>
      </c>
      <c r="E25" s="113">
        <v>9</v>
      </c>
      <c r="F25" s="113">
        <v>1</v>
      </c>
      <c r="G25" s="113">
        <v>8</v>
      </c>
      <c r="H25" s="113">
        <v>3</v>
      </c>
      <c r="I25" s="113">
        <v>9</v>
      </c>
      <c r="J25" s="113">
        <v>11</v>
      </c>
      <c r="K25" s="113">
        <v>9</v>
      </c>
      <c r="L25" s="113">
        <v>6</v>
      </c>
      <c r="M25" s="113">
        <v>6</v>
      </c>
      <c r="N25" s="109">
        <v>3</v>
      </c>
      <c r="O25" s="109">
        <v>3</v>
      </c>
      <c r="P25" s="109">
        <v>5</v>
      </c>
      <c r="Q25" s="109">
        <v>11</v>
      </c>
      <c r="R25" s="109">
        <v>13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243">
        <f>SUM(D26:AB26)</f>
        <v>13.100000000000001</v>
      </c>
      <c r="AE25" s="167">
        <v>22</v>
      </c>
      <c r="AF25" s="145" t="str">
        <f>IF(ISBLANK(STUD!B23)," ",STUD!B23)</f>
        <v xml:space="preserve"> </v>
      </c>
      <c r="AG25" s="185">
        <f t="shared" si="0"/>
        <v>0</v>
      </c>
      <c r="AH25" s="186">
        <f t="shared" si="6"/>
        <v>79.199999999999989</v>
      </c>
      <c r="AI25" s="188" t="str">
        <f t="shared" si="1"/>
        <v xml:space="preserve"> </v>
      </c>
      <c r="AJ25" s="182" t="str">
        <f>IF(AI25="","",IFERROR(IF(VLOOKUP(AI25,Programa!$L$3:$M$18,2,0)="","",VLOOKUP(AI25,Programa!$L$3:$M$18,2,0)),""))</f>
        <v/>
      </c>
      <c r="AK25" s="182" t="str">
        <f t="shared" si="2"/>
        <v xml:space="preserve"> </v>
      </c>
      <c r="AL25" s="182" t="str">
        <f>IF(AK25="","",IFERROR(IF(VLOOKUP(AK25,Programa!$L$19:$M$34,2,0)="","",VLOOKUP(AK25,Programa!$L$19:$M$34,2,0)),""))</f>
        <v/>
      </c>
      <c r="AM25" s="182" t="str">
        <f t="shared" si="3"/>
        <v xml:space="preserve"> </v>
      </c>
      <c r="AN25" s="182" t="str">
        <f>IF(AM25="","",IFERROR(IF(VLOOKUP(AM25,Programa!$L$35:$M$50,2,0)="","",VLOOKUP(AM25,Programa!$L$35:$M$50,2,0)),""))</f>
        <v/>
      </c>
      <c r="AP25" s="167">
        <v>22</v>
      </c>
      <c r="AQ25" s="91" t="str">
        <f>IF(ISBLANK(STUD!B23)," ",STUD!B23)</f>
        <v xml:space="preserve"> </v>
      </c>
      <c r="AR25" s="214">
        <f>IFERROR(VLOOKUP(AQ25,Lunes!$AF$4:$AG$31,2,0),0)</f>
        <v>0</v>
      </c>
      <c r="AS25" s="214">
        <f>IFERROR(VLOOKUP(AQ25,Martes!$AF$4:$AH$31,2,0),0)</f>
        <v>0</v>
      </c>
      <c r="AT25" s="214">
        <f t="shared" si="4"/>
        <v>0</v>
      </c>
      <c r="AU25" s="214">
        <f t="shared" si="5"/>
        <v>0</v>
      </c>
      <c r="AV25" s="214">
        <f t="shared" si="8"/>
        <v>76.8</v>
      </c>
    </row>
    <row r="26" spans="1:48" ht="15.75" customHeight="1" x14ac:dyDescent="0.4">
      <c r="A26" s="242"/>
      <c r="B26" s="253"/>
      <c r="C26" s="245"/>
      <c r="D26" s="138">
        <f t="shared" ref="D26:AB26" si="18">IF(IFERROR(IF(VLOOKUP(D25,D$151:D$155,1,0)&gt;=1,D$150,0),D25)=D$132,D$136,IF(IFERROR(IF(VLOOKUP(D25,D$151:D$155,1,0)&gt;=1,D$150,0),D25)=D$139,D$142,IF(IFERROR(IF(VLOOKUP(D25,D$151:D$155,1,0)&gt;=1,D$150,0),D25)=D$145,D$147,0)))</f>
        <v>0</v>
      </c>
      <c r="E26" s="138">
        <f t="shared" si="18"/>
        <v>0</v>
      </c>
      <c r="F26" s="138">
        <f t="shared" si="18"/>
        <v>9.8000000000000007</v>
      </c>
      <c r="G26" s="138">
        <f t="shared" si="18"/>
        <v>0</v>
      </c>
      <c r="H26" s="138">
        <f t="shared" si="18"/>
        <v>0</v>
      </c>
      <c r="I26" s="138">
        <f t="shared" si="18"/>
        <v>0</v>
      </c>
      <c r="J26" s="138">
        <f t="shared" si="18"/>
        <v>1.8</v>
      </c>
      <c r="K26" s="138">
        <f t="shared" si="18"/>
        <v>0</v>
      </c>
      <c r="L26" s="138">
        <f t="shared" si="18"/>
        <v>1.5</v>
      </c>
      <c r="M26" s="138">
        <f t="shared" si="18"/>
        <v>0</v>
      </c>
      <c r="N26" s="138">
        <f t="shared" si="18"/>
        <v>0</v>
      </c>
      <c r="O26" s="138">
        <f t="shared" si="18"/>
        <v>0</v>
      </c>
      <c r="P26" s="138">
        <f t="shared" si="18"/>
        <v>0</v>
      </c>
      <c r="Q26" s="138">
        <f t="shared" si="18"/>
        <v>0</v>
      </c>
      <c r="R26" s="138">
        <f t="shared" si="18"/>
        <v>0</v>
      </c>
      <c r="S26" s="138">
        <f t="shared" si="18"/>
        <v>0</v>
      </c>
      <c r="T26" s="138">
        <f t="shared" si="18"/>
        <v>0</v>
      </c>
      <c r="U26" s="138">
        <f t="shared" si="18"/>
        <v>0</v>
      </c>
      <c r="V26" s="138">
        <f t="shared" si="18"/>
        <v>0</v>
      </c>
      <c r="W26" s="138">
        <f t="shared" si="18"/>
        <v>0</v>
      </c>
      <c r="X26" s="138">
        <f t="shared" si="18"/>
        <v>0</v>
      </c>
      <c r="Y26" s="138">
        <f t="shared" si="18"/>
        <v>0</v>
      </c>
      <c r="Z26" s="138">
        <f t="shared" si="18"/>
        <v>0</v>
      </c>
      <c r="AA26" s="138">
        <f t="shared" si="18"/>
        <v>0</v>
      </c>
      <c r="AB26" s="138">
        <f t="shared" si="18"/>
        <v>0</v>
      </c>
      <c r="AC26" s="243"/>
      <c r="AE26" s="168">
        <v>23</v>
      </c>
      <c r="AF26" s="145" t="str">
        <f>IF(ISBLANK(STUD!B24)," ",STUD!B24)</f>
        <v xml:space="preserve"> </v>
      </c>
      <c r="AG26" s="185">
        <f t="shared" si="0"/>
        <v>0</v>
      </c>
      <c r="AH26" s="186">
        <f t="shared" si="6"/>
        <v>79.199999999999989</v>
      </c>
      <c r="AI26" s="188" t="str">
        <f t="shared" si="1"/>
        <v xml:space="preserve"> </v>
      </c>
      <c r="AJ26" s="182" t="str">
        <f>IF(AI26="","",IFERROR(IF(VLOOKUP(AI26,Programa!$L$3:$M$18,2,0)="","",VLOOKUP(AI26,Programa!$L$3:$M$18,2,0)),""))</f>
        <v/>
      </c>
      <c r="AK26" s="182" t="str">
        <f t="shared" si="2"/>
        <v xml:space="preserve"> </v>
      </c>
      <c r="AL26" s="182" t="str">
        <f>IF(AK26="","",IFERROR(IF(VLOOKUP(AK26,Programa!$L$19:$M$34,2,0)="","",VLOOKUP(AK26,Programa!$L$19:$M$34,2,0)),""))</f>
        <v/>
      </c>
      <c r="AM26" s="182" t="str">
        <f t="shared" si="3"/>
        <v xml:space="preserve"> </v>
      </c>
      <c r="AN26" s="182" t="str">
        <f>IF(AM26="","",IFERROR(IF(VLOOKUP(AM26,Programa!$L$35:$M$50,2,0)="","",VLOOKUP(AM26,Programa!$L$35:$M$50,2,0)),""))</f>
        <v/>
      </c>
      <c r="AP26" s="168">
        <v>23</v>
      </c>
      <c r="AQ26" s="91" t="str">
        <f>IF(ISBLANK(STUD!B24)," ",STUD!B24)</f>
        <v xml:space="preserve"> </v>
      </c>
      <c r="AR26" s="214">
        <f>IFERROR(VLOOKUP(AQ26,Lunes!$AF$4:$AG$31,2,0),0)</f>
        <v>0</v>
      </c>
      <c r="AS26" s="214">
        <f>IFERROR(VLOOKUP(AQ26,Martes!$AF$4:$AH$31,2,0),0)</f>
        <v>0</v>
      </c>
      <c r="AT26" s="214">
        <f t="shared" si="4"/>
        <v>0</v>
      </c>
      <c r="AU26" s="214">
        <f t="shared" si="5"/>
        <v>0</v>
      </c>
      <c r="AV26" s="214">
        <f t="shared" si="8"/>
        <v>76.8</v>
      </c>
    </row>
    <row r="27" spans="1:48" ht="15.75" customHeight="1" x14ac:dyDescent="0.4">
      <c r="A27" s="252">
        <f>+A25+1</f>
        <v>12</v>
      </c>
      <c r="B27" s="253">
        <f>+STUD!B13</f>
        <v>0</v>
      </c>
      <c r="C27" s="244">
        <f>SUM(D28:AB28)</f>
        <v>43.3</v>
      </c>
      <c r="D27" s="112">
        <v>9</v>
      </c>
      <c r="E27" s="112">
        <v>6</v>
      </c>
      <c r="F27" s="112">
        <v>8</v>
      </c>
      <c r="G27" s="112">
        <v>11</v>
      </c>
      <c r="H27" s="112">
        <v>12</v>
      </c>
      <c r="I27" s="112">
        <v>7</v>
      </c>
      <c r="J27" s="112">
        <v>10</v>
      </c>
      <c r="K27" s="112">
        <v>4</v>
      </c>
      <c r="L27" s="112">
        <v>3</v>
      </c>
      <c r="M27" s="112">
        <v>7</v>
      </c>
      <c r="N27" s="109">
        <v>6</v>
      </c>
      <c r="O27" s="109">
        <v>9</v>
      </c>
      <c r="P27" s="109">
        <v>10</v>
      </c>
      <c r="Q27" s="109">
        <v>10</v>
      </c>
      <c r="R27" s="109">
        <v>13</v>
      </c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243">
        <f>SUM(D28:AB28)</f>
        <v>43.3</v>
      </c>
      <c r="AE27" s="189">
        <v>24</v>
      </c>
      <c r="AF27" s="145" t="str">
        <f>IF(ISBLANK(STUD!B25)," ",STUD!B25)</f>
        <v xml:space="preserve"> </v>
      </c>
      <c r="AG27" s="145">
        <f t="shared" si="0"/>
        <v>0</v>
      </c>
      <c r="AH27" s="147">
        <f t="shared" si="6"/>
        <v>79.199999999999989</v>
      </c>
      <c r="AI27" s="188" t="str">
        <f t="shared" si="1"/>
        <v xml:space="preserve"> </v>
      </c>
      <c r="AJ27" s="182" t="str">
        <f>IF(AI27="","",IFERROR(IF(VLOOKUP(AI27,Programa!$L$3:$M$18,2,0)="","",VLOOKUP(AI27,Programa!$L$3:$M$18,2,0)),""))</f>
        <v/>
      </c>
      <c r="AK27" s="182" t="str">
        <f t="shared" si="2"/>
        <v xml:space="preserve"> </v>
      </c>
      <c r="AL27" s="182" t="str">
        <f>IF(AK27="","",IFERROR(IF(VLOOKUP(AK27,Programa!$L$19:$M$34,2,0)="","",VLOOKUP(AK27,Programa!$L$19:$M$34,2,0)),""))</f>
        <v/>
      </c>
      <c r="AM27" s="182" t="str">
        <f t="shared" si="3"/>
        <v xml:space="preserve"> </v>
      </c>
      <c r="AN27" s="182" t="str">
        <f>IF(AM27="","",IFERROR(IF(VLOOKUP(AM27,Programa!$L$35:$M$50,2,0)="","",VLOOKUP(AM27,Programa!$L$35:$M$50,2,0)),""))</f>
        <v/>
      </c>
      <c r="AP27" s="189">
        <v>24</v>
      </c>
      <c r="AQ27" s="91" t="str">
        <f>IF(ISBLANK(STUD!B25)," ",STUD!B25)</f>
        <v xml:space="preserve"> </v>
      </c>
      <c r="AR27" s="91">
        <f>IFERROR(VLOOKUP(AQ27,Lunes!$AF$4:$AG$31,2,0),0)</f>
        <v>0</v>
      </c>
      <c r="AS27" s="91">
        <f>IFERROR(VLOOKUP(AQ27,Martes!$AF$4:$AH$31,2,0),0)</f>
        <v>0</v>
      </c>
      <c r="AT27" s="91">
        <f t="shared" si="4"/>
        <v>0</v>
      </c>
      <c r="AU27" s="91">
        <f t="shared" si="5"/>
        <v>0</v>
      </c>
      <c r="AV27" s="91">
        <f t="shared" si="8"/>
        <v>76.8</v>
      </c>
    </row>
    <row r="28" spans="1:48" ht="15.75" customHeight="1" x14ac:dyDescent="0.4">
      <c r="A28" s="242"/>
      <c r="B28" s="253"/>
      <c r="C28" s="245"/>
      <c r="D28" s="138">
        <f t="shared" ref="D28:AB28" si="19">IF(IFERROR(IF(VLOOKUP(D27,D$151:D$155,1,0)&gt;=1,D$150,0),D27)=D$132,D$136,IF(IFERROR(IF(VLOOKUP(D27,D$151:D$155,1,0)&gt;=1,D$150,0),D27)=D$139,D$142,IF(IFERROR(IF(VLOOKUP(D27,D$151:D$155,1,0)&gt;=1,D$150,0),D27)=D$145,D$147,0)))</f>
        <v>0</v>
      </c>
      <c r="E28" s="138">
        <f t="shared" si="19"/>
        <v>0</v>
      </c>
      <c r="F28" s="138">
        <f t="shared" si="19"/>
        <v>2.7</v>
      </c>
      <c r="G28" s="138">
        <f t="shared" si="19"/>
        <v>1.8</v>
      </c>
      <c r="H28" s="138">
        <f t="shared" si="19"/>
        <v>1.8</v>
      </c>
      <c r="I28" s="138">
        <f t="shared" si="19"/>
        <v>4.5999999999999996</v>
      </c>
      <c r="J28" s="138">
        <f t="shared" si="19"/>
        <v>1.8</v>
      </c>
      <c r="K28" s="138">
        <f t="shared" si="19"/>
        <v>4.3</v>
      </c>
      <c r="L28" s="138">
        <f t="shared" si="19"/>
        <v>0</v>
      </c>
      <c r="M28" s="138">
        <f t="shared" si="19"/>
        <v>0</v>
      </c>
      <c r="N28" s="138">
        <f t="shared" si="19"/>
        <v>18</v>
      </c>
      <c r="O28" s="138">
        <f t="shared" si="19"/>
        <v>0</v>
      </c>
      <c r="P28" s="138">
        <f t="shared" si="19"/>
        <v>8.2999999999999989</v>
      </c>
      <c r="Q28" s="138">
        <f t="shared" si="19"/>
        <v>0</v>
      </c>
      <c r="R28" s="138">
        <f t="shared" si="19"/>
        <v>0</v>
      </c>
      <c r="S28" s="138">
        <f t="shared" si="19"/>
        <v>0</v>
      </c>
      <c r="T28" s="138">
        <f t="shared" si="19"/>
        <v>0</v>
      </c>
      <c r="U28" s="138">
        <f t="shared" si="19"/>
        <v>0</v>
      </c>
      <c r="V28" s="138">
        <f t="shared" si="19"/>
        <v>0</v>
      </c>
      <c r="W28" s="138">
        <f t="shared" si="19"/>
        <v>0</v>
      </c>
      <c r="X28" s="138">
        <f t="shared" si="19"/>
        <v>0</v>
      </c>
      <c r="Y28" s="138">
        <f t="shared" si="19"/>
        <v>0</v>
      </c>
      <c r="Z28" s="138">
        <f t="shared" si="19"/>
        <v>0</v>
      </c>
      <c r="AA28" s="138">
        <f t="shared" si="19"/>
        <v>0</v>
      </c>
      <c r="AB28" s="138">
        <f t="shared" si="19"/>
        <v>0</v>
      </c>
      <c r="AC28" s="243"/>
      <c r="AE28" s="190">
        <v>25</v>
      </c>
      <c r="AF28" s="145" t="str">
        <f>IF(ISBLANK(STUD!B26)," ",STUD!B26)</f>
        <v xml:space="preserve"> </v>
      </c>
      <c r="AG28" s="145">
        <f t="shared" si="0"/>
        <v>0</v>
      </c>
      <c r="AH28" s="147">
        <f t="shared" si="6"/>
        <v>79.199999999999989</v>
      </c>
      <c r="AI28" s="188" t="str">
        <f t="shared" si="1"/>
        <v xml:space="preserve"> </v>
      </c>
      <c r="AJ28" s="182" t="str">
        <f>IF(AI28="","",IFERROR(IF(VLOOKUP(AI28,Programa!$L$3:$M$18,2,0)="","",VLOOKUP(AI28,Programa!$L$3:$M$18,2,0)),""))</f>
        <v/>
      </c>
      <c r="AK28" s="182" t="str">
        <f t="shared" si="2"/>
        <v xml:space="preserve"> </v>
      </c>
      <c r="AL28" s="182" t="str">
        <f>IF(AK28="","",IFERROR(IF(VLOOKUP(AK28,Programa!$L$19:$M$34,2,0)="","",VLOOKUP(AK28,Programa!$L$19:$M$34,2,0)),""))</f>
        <v/>
      </c>
      <c r="AM28" s="182" t="str">
        <f t="shared" si="3"/>
        <v xml:space="preserve"> </v>
      </c>
      <c r="AN28" s="182" t="str">
        <f>IF(AM28="","",IFERROR(IF(VLOOKUP(AM28,Programa!$L$35:$M$50,2,0)="","",VLOOKUP(AM28,Programa!$L$35:$M$50,2,0)),""))</f>
        <v/>
      </c>
      <c r="AP28" s="190">
        <v>25</v>
      </c>
      <c r="AQ28" s="91" t="str">
        <f>IF(ISBLANK(STUD!B26)," ",STUD!B26)</f>
        <v xml:space="preserve"> </v>
      </c>
      <c r="AR28" s="91">
        <f>IFERROR(VLOOKUP(AQ28,Lunes!$AF$4:$AG$31,2,0),0)</f>
        <v>0</v>
      </c>
      <c r="AS28" s="91">
        <f>IFERROR(VLOOKUP(AQ28,Martes!$AF$4:$AH$31,2,0),0)</f>
        <v>0</v>
      </c>
      <c r="AT28" s="91">
        <f t="shared" si="4"/>
        <v>0</v>
      </c>
      <c r="AU28" s="91">
        <f t="shared" si="5"/>
        <v>0</v>
      </c>
      <c r="AV28" s="91">
        <f t="shared" si="8"/>
        <v>76.8</v>
      </c>
    </row>
    <row r="29" spans="1:48" ht="15.75" customHeight="1" x14ac:dyDescent="0.4">
      <c r="A29" s="252">
        <f>+A27+1</f>
        <v>13</v>
      </c>
      <c r="B29" s="253">
        <f>+STUD!B14</f>
        <v>0</v>
      </c>
      <c r="C29" s="244">
        <f>SUM(D30:AB30)</f>
        <v>57.5</v>
      </c>
      <c r="D29" s="114">
        <v>8</v>
      </c>
      <c r="E29" s="114">
        <v>10</v>
      </c>
      <c r="F29" s="114">
        <v>3</v>
      </c>
      <c r="G29" s="114">
        <v>4</v>
      </c>
      <c r="H29" s="114">
        <v>10</v>
      </c>
      <c r="I29" s="114">
        <v>9</v>
      </c>
      <c r="J29" s="114">
        <v>11</v>
      </c>
      <c r="K29" s="114">
        <v>7</v>
      </c>
      <c r="L29" s="114">
        <v>8</v>
      </c>
      <c r="M29" s="114">
        <v>7</v>
      </c>
      <c r="N29" s="114">
        <v>1</v>
      </c>
      <c r="O29" s="114">
        <v>1</v>
      </c>
      <c r="P29" s="114">
        <v>6</v>
      </c>
      <c r="Q29" s="114">
        <v>3</v>
      </c>
      <c r="R29" s="114">
        <v>12</v>
      </c>
      <c r="S29" s="114"/>
      <c r="T29" s="114"/>
      <c r="U29" s="114"/>
      <c r="V29" s="109"/>
      <c r="W29" s="109"/>
      <c r="X29" s="109"/>
      <c r="Y29" s="109"/>
      <c r="Z29" s="111"/>
      <c r="AA29" s="111"/>
      <c r="AB29" s="111"/>
      <c r="AC29" s="243">
        <f>SUM(D30:AB30)</f>
        <v>57.5</v>
      </c>
      <c r="AE29" s="191">
        <v>26</v>
      </c>
      <c r="AF29" s="145" t="str">
        <f>IF(ISBLANK(STUD!B27)," ",STUD!B27)</f>
        <v xml:space="preserve"> </v>
      </c>
      <c r="AG29" s="145">
        <f t="shared" si="0"/>
        <v>0</v>
      </c>
      <c r="AH29" s="147">
        <f t="shared" si="6"/>
        <v>79.199999999999989</v>
      </c>
      <c r="AI29" s="188" t="str">
        <f t="shared" si="1"/>
        <v xml:space="preserve"> </v>
      </c>
      <c r="AJ29" s="182" t="str">
        <f>IF(AI29="","",IFERROR(IF(VLOOKUP(AI29,Programa!$L$3:$M$18,2,0)="","",VLOOKUP(AI29,Programa!$L$3:$M$18,2,0)),""))</f>
        <v/>
      </c>
      <c r="AK29" s="182" t="str">
        <f t="shared" si="2"/>
        <v xml:space="preserve"> </v>
      </c>
      <c r="AL29" s="182" t="str">
        <f>IF(AK29="","",IFERROR(IF(VLOOKUP(AK29,Programa!$L$19:$M$34,2,0)="","",VLOOKUP(AK29,Programa!$L$19:$M$34,2,0)),""))</f>
        <v/>
      </c>
      <c r="AM29" s="182" t="str">
        <f t="shared" si="3"/>
        <v xml:space="preserve"> </v>
      </c>
      <c r="AN29" s="182" t="str">
        <f>IF(AM29="","",IFERROR(IF(VLOOKUP(AM29,Programa!$L$35:$M$50,2,0)="","",VLOOKUP(AM29,Programa!$L$35:$M$50,2,0)),""))</f>
        <v/>
      </c>
      <c r="AP29" s="85">
        <v>26</v>
      </c>
      <c r="AQ29" s="91" t="str">
        <f>IF(ISBLANK(STUD!B27)," ",STUD!B27)</f>
        <v xml:space="preserve"> </v>
      </c>
      <c r="AR29" s="91">
        <f>IFERROR(VLOOKUP(AQ29,Lunes!$AF$4:$AG$31,2,0),0)</f>
        <v>0</v>
      </c>
      <c r="AS29" s="91">
        <f>IFERROR(VLOOKUP(AQ29,Martes!$AF$4:$AH$31,2,0),0)</f>
        <v>0</v>
      </c>
      <c r="AT29" s="91">
        <f t="shared" si="4"/>
        <v>0</v>
      </c>
      <c r="AU29" s="91">
        <f t="shared" si="5"/>
        <v>0</v>
      </c>
      <c r="AV29" s="91">
        <f t="shared" si="8"/>
        <v>76.8</v>
      </c>
    </row>
    <row r="30" spans="1:48" ht="15.75" customHeight="1" x14ac:dyDescent="0.4">
      <c r="A30" s="242"/>
      <c r="B30" s="253"/>
      <c r="C30" s="245"/>
      <c r="D30" s="138">
        <f t="shared" ref="D30:AB30" si="20">IF(IFERROR(IF(VLOOKUP(D29,D$151:D$155,1,0)&gt;=1,D$150,0),D29)=D$132,D$136,IF(IFERROR(IF(VLOOKUP(D29,D$151:D$155,1,0)&gt;=1,D$150,0),D29)=D$139,D$142,IF(IFERROR(IF(VLOOKUP(D29,D$151:D$155,1,0)&gt;=1,D$150,0),D29)=D$145,D$147,0)))</f>
        <v>0</v>
      </c>
      <c r="E30" s="138">
        <f t="shared" si="20"/>
        <v>6.4</v>
      </c>
      <c r="F30" s="138">
        <f t="shared" si="20"/>
        <v>0</v>
      </c>
      <c r="G30" s="138">
        <f t="shared" si="20"/>
        <v>0</v>
      </c>
      <c r="H30" s="138">
        <f t="shared" si="20"/>
        <v>0</v>
      </c>
      <c r="I30" s="138">
        <f t="shared" si="20"/>
        <v>0</v>
      </c>
      <c r="J30" s="138">
        <f t="shared" si="20"/>
        <v>1.8</v>
      </c>
      <c r="K30" s="138">
        <f t="shared" si="20"/>
        <v>0</v>
      </c>
      <c r="L30" s="138">
        <f t="shared" si="20"/>
        <v>11.5</v>
      </c>
      <c r="M30" s="138">
        <f t="shared" si="20"/>
        <v>0</v>
      </c>
      <c r="N30" s="138">
        <f t="shared" si="20"/>
        <v>0</v>
      </c>
      <c r="O30" s="138">
        <f t="shared" si="20"/>
        <v>0</v>
      </c>
      <c r="P30" s="138">
        <f t="shared" si="20"/>
        <v>0</v>
      </c>
      <c r="Q30" s="138">
        <f t="shared" si="20"/>
        <v>0</v>
      </c>
      <c r="R30" s="138">
        <f t="shared" si="20"/>
        <v>37.799999999999997</v>
      </c>
      <c r="S30" s="138">
        <f t="shared" si="20"/>
        <v>0</v>
      </c>
      <c r="T30" s="138">
        <f t="shared" si="20"/>
        <v>0</v>
      </c>
      <c r="U30" s="138">
        <f t="shared" si="20"/>
        <v>0</v>
      </c>
      <c r="V30" s="138">
        <f t="shared" si="20"/>
        <v>0</v>
      </c>
      <c r="W30" s="138">
        <f t="shared" si="20"/>
        <v>0</v>
      </c>
      <c r="X30" s="138">
        <f t="shared" si="20"/>
        <v>0</v>
      </c>
      <c r="Y30" s="138">
        <f t="shared" si="20"/>
        <v>0</v>
      </c>
      <c r="Z30" s="138">
        <f t="shared" si="20"/>
        <v>0</v>
      </c>
      <c r="AA30" s="138">
        <f t="shared" si="20"/>
        <v>0</v>
      </c>
      <c r="AB30" s="138">
        <f t="shared" si="20"/>
        <v>0</v>
      </c>
      <c r="AC30" s="243"/>
      <c r="AE30" s="192">
        <v>27</v>
      </c>
      <c r="AF30" s="145" t="str">
        <f>IF(ISBLANK(STUD!B28)," ",STUD!B28)</f>
        <v xml:space="preserve"> </v>
      </c>
      <c r="AG30" s="145">
        <f t="shared" si="0"/>
        <v>0</v>
      </c>
      <c r="AH30" s="147">
        <f t="shared" si="6"/>
        <v>79.199999999999989</v>
      </c>
      <c r="AI30" s="188" t="str">
        <f t="shared" si="1"/>
        <v xml:space="preserve"> </v>
      </c>
      <c r="AJ30" s="182" t="str">
        <f>IF(AI30="","",IFERROR(IF(VLOOKUP(AI30,Programa!$L$3:$M$18,2,0)="","",VLOOKUP(AI30,Programa!$L$3:$M$18,2,0)),""))</f>
        <v/>
      </c>
      <c r="AK30" s="182" t="str">
        <f t="shared" si="2"/>
        <v xml:space="preserve"> </v>
      </c>
      <c r="AL30" s="182" t="str">
        <f>IF(AK30="","",IFERROR(IF(VLOOKUP(AK30,Programa!$L$19:$M$34,2,0)="","",VLOOKUP(AK30,Programa!$L$19:$M$34,2,0)),""))</f>
        <v/>
      </c>
      <c r="AM30" s="182" t="str">
        <f t="shared" si="3"/>
        <v xml:space="preserve"> </v>
      </c>
      <c r="AN30" s="182" t="str">
        <f>IF(AM30="","",IFERROR(IF(VLOOKUP(AM30,Programa!$L$35:$M$50,2,0)="","",VLOOKUP(AM30,Programa!$L$35:$M$50,2,0)),""))</f>
        <v/>
      </c>
      <c r="AP30" s="86">
        <v>27</v>
      </c>
      <c r="AQ30" s="91" t="str">
        <f>IF(ISBLANK(STUD!B28)," ",STUD!B28)</f>
        <v xml:space="preserve"> </v>
      </c>
      <c r="AR30" s="91">
        <f>IFERROR(VLOOKUP(AQ30,Lunes!$AF$4:$AG$31,2,0),0)</f>
        <v>0</v>
      </c>
      <c r="AS30" s="91">
        <f>IFERROR(VLOOKUP(AQ30,Martes!$AF$4:$AH$31,2,0),0)</f>
        <v>0</v>
      </c>
      <c r="AT30" s="91">
        <f t="shared" si="4"/>
        <v>0</v>
      </c>
      <c r="AU30" s="91">
        <f t="shared" si="5"/>
        <v>0</v>
      </c>
      <c r="AV30" s="91">
        <f t="shared" si="8"/>
        <v>76.8</v>
      </c>
    </row>
    <row r="31" spans="1:48" ht="15.75" customHeight="1" x14ac:dyDescent="0.4">
      <c r="A31" s="252">
        <f>+A29+1</f>
        <v>14</v>
      </c>
      <c r="B31" s="253">
        <f>+STUD!B15</f>
        <v>0</v>
      </c>
      <c r="C31" s="244">
        <f>SUM(D32:AB32)</f>
        <v>39.5</v>
      </c>
      <c r="D31" s="114">
        <v>5</v>
      </c>
      <c r="E31" s="114">
        <v>2</v>
      </c>
      <c r="F31" s="114">
        <v>5</v>
      </c>
      <c r="G31" s="114">
        <v>11</v>
      </c>
      <c r="H31" s="114">
        <v>1</v>
      </c>
      <c r="I31" s="114">
        <v>9</v>
      </c>
      <c r="J31" s="114">
        <v>1</v>
      </c>
      <c r="K31" s="114">
        <v>9</v>
      </c>
      <c r="L31" s="114">
        <v>8</v>
      </c>
      <c r="M31" s="114">
        <v>5</v>
      </c>
      <c r="N31" s="114">
        <v>8</v>
      </c>
      <c r="O31" s="114">
        <v>9</v>
      </c>
      <c r="P31" s="114">
        <v>14</v>
      </c>
      <c r="Q31" s="114">
        <v>1</v>
      </c>
      <c r="R31" s="114">
        <v>13</v>
      </c>
      <c r="S31" s="114"/>
      <c r="T31" s="114"/>
      <c r="U31" s="114"/>
      <c r="V31" s="109"/>
      <c r="W31" s="109"/>
      <c r="X31" s="109"/>
      <c r="Y31" s="109"/>
      <c r="Z31" s="111"/>
      <c r="AA31" s="111"/>
      <c r="AB31" s="111"/>
      <c r="AC31" s="243">
        <f>SUM(D32:AB32)</f>
        <v>39.5</v>
      </c>
      <c r="AE31" s="193">
        <v>28</v>
      </c>
      <c r="AF31" s="145" t="str">
        <f>IF(ISBLANK(STUD!B29)," ",STUD!B29)</f>
        <v xml:space="preserve"> </v>
      </c>
      <c r="AG31" s="145">
        <f t="shared" si="0"/>
        <v>0</v>
      </c>
      <c r="AH31" s="147">
        <f t="shared" si="6"/>
        <v>79.199999999999989</v>
      </c>
      <c r="AI31" s="188" t="str">
        <f t="shared" si="1"/>
        <v xml:space="preserve"> </v>
      </c>
      <c r="AJ31" s="182" t="str">
        <f>IF(AI31="","",IFERROR(IF(VLOOKUP(AI31,Programa!$L$3:$M$18,2,0)="","",VLOOKUP(AI31,Programa!$L$3:$M$18,2,0)),""))</f>
        <v/>
      </c>
      <c r="AK31" s="182" t="str">
        <f t="shared" si="2"/>
        <v xml:space="preserve"> </v>
      </c>
      <c r="AL31" s="182" t="str">
        <f>IF(AK31="","",IFERROR(IF(VLOOKUP(AK31,Programa!$L$19:$M$34,2,0)="","",VLOOKUP(AK31,Programa!$L$19:$M$34,2,0)),""))</f>
        <v/>
      </c>
      <c r="AM31" s="182" t="str">
        <f t="shared" si="3"/>
        <v xml:space="preserve"> </v>
      </c>
      <c r="AN31" s="182" t="str">
        <f>IF(AM31="","",IFERROR(IF(VLOOKUP(AM31,Programa!$L$35:$M$50,2,0)="","",VLOOKUP(AM31,Programa!$L$35:$M$50,2,0)),""))</f>
        <v/>
      </c>
      <c r="AP31" s="87">
        <v>28</v>
      </c>
      <c r="AQ31" s="91" t="str">
        <f>IF(ISBLANK(STUD!B29)," ",STUD!B29)</f>
        <v xml:space="preserve"> </v>
      </c>
      <c r="AR31" s="91">
        <f>IFERROR(VLOOKUP(AQ31,Lunes!$AF$4:$AG$31,2,0),0)</f>
        <v>0</v>
      </c>
      <c r="AS31" s="91">
        <f>IFERROR(VLOOKUP(AQ31,Martes!$AF$4:$AH$31,2,0),0)</f>
        <v>0</v>
      </c>
      <c r="AT31" s="91">
        <f t="shared" si="4"/>
        <v>0</v>
      </c>
      <c r="AU31" s="91">
        <f t="shared" si="5"/>
        <v>0</v>
      </c>
      <c r="AV31" s="91">
        <f t="shared" si="8"/>
        <v>76.8</v>
      </c>
    </row>
    <row r="32" spans="1:48" ht="15.75" customHeight="1" x14ac:dyDescent="0.4">
      <c r="A32" s="242"/>
      <c r="B32" s="253"/>
      <c r="C32" s="245"/>
      <c r="D32" s="138">
        <f t="shared" ref="D32:AB32" si="21">IF(IFERROR(IF(VLOOKUP(D31,D$151:D$155,1,0)&gt;=1,D$150,0),D31)=D$132,D$136,IF(IFERROR(IF(VLOOKUP(D31,D$151:D$155,1,0)&gt;=1,D$150,0),D31)=D$139,D$142,IF(IFERROR(IF(VLOOKUP(D31,D$151:D$155,1,0)&gt;=1,D$150,0),D31)=D$145,D$147,0)))</f>
        <v>0</v>
      </c>
      <c r="E32" s="138">
        <f t="shared" si="21"/>
        <v>3.3</v>
      </c>
      <c r="F32" s="138">
        <f t="shared" si="21"/>
        <v>0</v>
      </c>
      <c r="G32" s="138">
        <f t="shared" si="21"/>
        <v>1.8</v>
      </c>
      <c r="H32" s="138">
        <f t="shared" si="21"/>
        <v>0</v>
      </c>
      <c r="I32" s="138">
        <f t="shared" si="21"/>
        <v>0</v>
      </c>
      <c r="J32" s="138">
        <f t="shared" si="21"/>
        <v>16.399999999999999</v>
      </c>
      <c r="K32" s="138">
        <f t="shared" si="21"/>
        <v>0</v>
      </c>
      <c r="L32" s="138">
        <f t="shared" si="21"/>
        <v>11.5</v>
      </c>
      <c r="M32" s="138">
        <f t="shared" si="21"/>
        <v>3</v>
      </c>
      <c r="N32" s="138">
        <f t="shared" si="21"/>
        <v>0</v>
      </c>
      <c r="O32" s="138">
        <f t="shared" si="21"/>
        <v>0</v>
      </c>
      <c r="P32" s="138">
        <f t="shared" si="21"/>
        <v>3.5</v>
      </c>
      <c r="Q32" s="138">
        <f t="shared" si="21"/>
        <v>0</v>
      </c>
      <c r="R32" s="138">
        <f t="shared" si="21"/>
        <v>0</v>
      </c>
      <c r="S32" s="138">
        <f t="shared" si="21"/>
        <v>0</v>
      </c>
      <c r="T32" s="138">
        <f t="shared" si="21"/>
        <v>0</v>
      </c>
      <c r="U32" s="138">
        <f t="shared" si="21"/>
        <v>0</v>
      </c>
      <c r="V32" s="138">
        <f t="shared" si="21"/>
        <v>0</v>
      </c>
      <c r="W32" s="138">
        <f t="shared" si="21"/>
        <v>0</v>
      </c>
      <c r="X32" s="138">
        <f t="shared" si="21"/>
        <v>0</v>
      </c>
      <c r="Y32" s="138">
        <f t="shared" si="21"/>
        <v>0</v>
      </c>
      <c r="Z32" s="138">
        <f t="shared" si="21"/>
        <v>0</v>
      </c>
      <c r="AA32" s="138">
        <f t="shared" si="21"/>
        <v>0</v>
      </c>
      <c r="AB32" s="138">
        <f t="shared" si="21"/>
        <v>0</v>
      </c>
      <c r="AC32" s="243"/>
      <c r="AI32" s="54"/>
      <c r="AJ32" s="54"/>
      <c r="AK32" s="54"/>
      <c r="AL32" s="54"/>
      <c r="AM32" s="54"/>
      <c r="AN32" s="54"/>
    </row>
    <row r="33" spans="1:34" ht="15.75" customHeight="1" x14ac:dyDescent="0.45">
      <c r="A33" s="252">
        <f>+A31+1</f>
        <v>15</v>
      </c>
      <c r="B33" s="253">
        <f>+STUD!B16</f>
        <v>0</v>
      </c>
      <c r="C33" s="244">
        <f>SUM(D34:AB34)</f>
        <v>33</v>
      </c>
      <c r="D33" s="112">
        <v>7</v>
      </c>
      <c r="E33" s="112">
        <v>10</v>
      </c>
      <c r="F33" s="112">
        <v>3</v>
      </c>
      <c r="G33" s="112">
        <v>10</v>
      </c>
      <c r="H33" s="112">
        <v>5</v>
      </c>
      <c r="I33" s="112">
        <v>1</v>
      </c>
      <c r="J33" s="112">
        <v>6</v>
      </c>
      <c r="K33" s="112">
        <v>6</v>
      </c>
      <c r="L33" s="112">
        <v>4</v>
      </c>
      <c r="M33" s="112">
        <v>6</v>
      </c>
      <c r="N33" s="109">
        <v>7</v>
      </c>
      <c r="O33" s="109">
        <v>1</v>
      </c>
      <c r="P33" s="109">
        <v>5</v>
      </c>
      <c r="Q33" s="109">
        <v>7</v>
      </c>
      <c r="R33" s="109">
        <v>13</v>
      </c>
      <c r="S33" s="109"/>
      <c r="T33" s="109"/>
      <c r="U33" s="109"/>
      <c r="V33" s="109"/>
      <c r="W33" s="109"/>
      <c r="X33" s="109"/>
      <c r="Y33" s="109"/>
      <c r="Z33" s="111"/>
      <c r="AA33" s="111"/>
      <c r="AB33" s="111"/>
      <c r="AC33" s="243">
        <f>SUM(D34:AB34)</f>
        <v>33</v>
      </c>
      <c r="AE33" s="55" t="s">
        <v>51</v>
      </c>
      <c r="AF33" s="61">
        <f>COUNTA(STUD!B2:B29)</f>
        <v>10</v>
      </c>
      <c r="AG33" s="55" t="s">
        <v>16</v>
      </c>
      <c r="AH33" s="56">
        <f>(AF33-1)*10000</f>
        <v>90000</v>
      </c>
    </row>
    <row r="34" spans="1:34" ht="15.75" customHeight="1" x14ac:dyDescent="0.4">
      <c r="A34" s="242"/>
      <c r="B34" s="253"/>
      <c r="C34" s="245"/>
      <c r="D34" s="138">
        <f t="shared" ref="D34:AB34" si="22">IF(IFERROR(IF(VLOOKUP(D33,D$151:D$155,1,0)&gt;=1,D$150,0),D33)=D$132,D$136,IF(IFERROR(IF(VLOOKUP(D33,D$151:D$155,1,0)&gt;=1,D$150,0),D33)=D$139,D$142,IF(IFERROR(IF(VLOOKUP(D33,D$151:D$155,1,0)&gt;=1,D$150,0),D33)=D$145,D$147,0)))</f>
        <v>0</v>
      </c>
      <c r="E34" s="138">
        <f t="shared" si="22"/>
        <v>6.4</v>
      </c>
      <c r="F34" s="138">
        <f t="shared" si="22"/>
        <v>0</v>
      </c>
      <c r="G34" s="138">
        <f t="shared" si="22"/>
        <v>12.2</v>
      </c>
      <c r="H34" s="138">
        <f t="shared" si="22"/>
        <v>0</v>
      </c>
      <c r="I34" s="138">
        <f t="shared" si="22"/>
        <v>5.6</v>
      </c>
      <c r="J34" s="138">
        <f t="shared" si="22"/>
        <v>4.9000000000000004</v>
      </c>
      <c r="K34" s="138">
        <f t="shared" si="22"/>
        <v>0</v>
      </c>
      <c r="L34" s="138">
        <f t="shared" si="22"/>
        <v>2.7</v>
      </c>
      <c r="M34" s="138">
        <f t="shared" si="22"/>
        <v>0</v>
      </c>
      <c r="N34" s="138">
        <f t="shared" si="22"/>
        <v>1.2</v>
      </c>
      <c r="O34" s="138">
        <f t="shared" si="22"/>
        <v>0</v>
      </c>
      <c r="P34" s="138">
        <f t="shared" si="22"/>
        <v>0</v>
      </c>
      <c r="Q34" s="138">
        <f t="shared" si="22"/>
        <v>0</v>
      </c>
      <c r="R34" s="138">
        <f t="shared" si="22"/>
        <v>0</v>
      </c>
      <c r="S34" s="138">
        <f t="shared" si="22"/>
        <v>0</v>
      </c>
      <c r="T34" s="138">
        <f t="shared" si="22"/>
        <v>0</v>
      </c>
      <c r="U34" s="138">
        <f t="shared" si="22"/>
        <v>0</v>
      </c>
      <c r="V34" s="138">
        <f t="shared" si="22"/>
        <v>0</v>
      </c>
      <c r="W34" s="138">
        <f t="shared" si="22"/>
        <v>0</v>
      </c>
      <c r="X34" s="138">
        <f t="shared" si="22"/>
        <v>0</v>
      </c>
      <c r="Y34" s="138">
        <f t="shared" si="22"/>
        <v>0</v>
      </c>
      <c r="Z34" s="138">
        <f t="shared" si="22"/>
        <v>0</v>
      </c>
      <c r="AA34" s="138">
        <f t="shared" si="22"/>
        <v>0</v>
      </c>
      <c r="AB34" s="138">
        <f t="shared" si="22"/>
        <v>0</v>
      </c>
      <c r="AC34" s="243"/>
      <c r="AE34" s="58" t="s">
        <v>38</v>
      </c>
      <c r="AF34" s="58"/>
      <c r="AG34" s="59">
        <f>($AH$33-$AG$36)*80%</f>
        <v>64800</v>
      </c>
      <c r="AH34" s="59"/>
    </row>
    <row r="35" spans="1:34" ht="15.75" hidden="1" customHeight="1" x14ac:dyDescent="0.4">
      <c r="A35" s="252">
        <f>+A33+1</f>
        <v>16</v>
      </c>
      <c r="B35" s="253">
        <f>+STUD!B17</f>
        <v>0</v>
      </c>
      <c r="C35" s="244">
        <f>SUM(D36:AB36)</f>
        <v>0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11"/>
      <c r="AA35" s="111"/>
      <c r="AB35" s="111"/>
      <c r="AC35" s="243">
        <f>SUM(D36:AB36)</f>
        <v>0</v>
      </c>
      <c r="AE35" s="58" t="s">
        <v>39</v>
      </c>
      <c r="AF35" s="58"/>
      <c r="AG35" s="59">
        <f>($AH$33-$AG$36)*20%</f>
        <v>16200</v>
      </c>
      <c r="AH35" s="59"/>
    </row>
    <row r="36" spans="1:34" ht="15.75" hidden="1" customHeight="1" x14ac:dyDescent="0.4">
      <c r="A36" s="242"/>
      <c r="B36" s="253"/>
      <c r="C36" s="245"/>
      <c r="D36" s="108">
        <f t="shared" ref="D36:AB36" si="23">IF(IFERROR(IF(VLOOKUP(D35,D$151:D$155,1,0)&gt;=1,D$150,0),D35)=D$132,D$136,IF(IFERROR(IF(VLOOKUP(D35,D$151:D$155,1,0)&gt;=1,D$150,0),D35)=D$139,D$142,IF(IFERROR(IF(VLOOKUP(D35,D$151:D$155,1,0)&gt;=1,D$150,0),D35)=D$145,D$147,0)))</f>
        <v>0</v>
      </c>
      <c r="E36" s="108">
        <f t="shared" si="23"/>
        <v>0</v>
      </c>
      <c r="F36" s="108">
        <f t="shared" si="23"/>
        <v>0</v>
      </c>
      <c r="G36" s="108">
        <f t="shared" si="23"/>
        <v>0</v>
      </c>
      <c r="H36" s="108">
        <f t="shared" si="23"/>
        <v>0</v>
      </c>
      <c r="I36" s="108">
        <f t="shared" si="23"/>
        <v>0</v>
      </c>
      <c r="J36" s="108">
        <f t="shared" si="23"/>
        <v>0</v>
      </c>
      <c r="K36" s="108">
        <f t="shared" si="23"/>
        <v>0</v>
      </c>
      <c r="L36" s="108">
        <f t="shared" si="23"/>
        <v>0</v>
      </c>
      <c r="M36" s="108">
        <f t="shared" si="23"/>
        <v>0</v>
      </c>
      <c r="N36" s="108">
        <f t="shared" si="23"/>
        <v>0</v>
      </c>
      <c r="O36" s="108">
        <f t="shared" si="23"/>
        <v>0</v>
      </c>
      <c r="P36" s="108">
        <f t="shared" si="23"/>
        <v>0</v>
      </c>
      <c r="Q36" s="108">
        <f t="shared" si="23"/>
        <v>0</v>
      </c>
      <c r="R36" s="108">
        <f t="shared" si="23"/>
        <v>0</v>
      </c>
      <c r="S36" s="108">
        <f t="shared" si="23"/>
        <v>0</v>
      </c>
      <c r="T36" s="108">
        <f t="shared" si="23"/>
        <v>0</v>
      </c>
      <c r="U36" s="108">
        <f t="shared" si="23"/>
        <v>0</v>
      </c>
      <c r="V36" s="108">
        <f t="shared" si="23"/>
        <v>0</v>
      </c>
      <c r="W36" s="108">
        <f t="shared" si="23"/>
        <v>0</v>
      </c>
      <c r="X36" s="108">
        <f t="shared" si="23"/>
        <v>0</v>
      </c>
      <c r="Y36" s="108">
        <f t="shared" si="23"/>
        <v>0</v>
      </c>
      <c r="Z36" s="108">
        <f t="shared" si="23"/>
        <v>0</v>
      </c>
      <c r="AA36" s="108">
        <f t="shared" si="23"/>
        <v>0</v>
      </c>
      <c r="AB36" s="108">
        <f t="shared" si="23"/>
        <v>0</v>
      </c>
      <c r="AC36" s="243"/>
      <c r="AE36" s="58" t="s">
        <v>40</v>
      </c>
      <c r="AF36" s="58"/>
      <c r="AG36" s="60">
        <f>(AH33*10%)</f>
        <v>9000</v>
      </c>
      <c r="AH36" s="60"/>
    </row>
    <row r="37" spans="1:34" ht="15.75" hidden="1" customHeight="1" x14ac:dyDescent="0.4">
      <c r="A37" s="252">
        <f>+A35+1</f>
        <v>17</v>
      </c>
      <c r="B37" s="253">
        <f>+STUD!B18</f>
        <v>0</v>
      </c>
      <c r="C37" s="244">
        <f>SUM(D38:AB38)</f>
        <v>0</v>
      </c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11"/>
      <c r="AA37" s="111"/>
      <c r="AB37" s="111"/>
      <c r="AC37" s="243">
        <f>SUM(D38:AB38)</f>
        <v>0</v>
      </c>
    </row>
    <row r="38" spans="1:34" ht="15.75" hidden="1" customHeight="1" x14ac:dyDescent="0.4">
      <c r="A38" s="242"/>
      <c r="B38" s="253"/>
      <c r="C38" s="245"/>
      <c r="D38" s="108">
        <f t="shared" ref="D38:AB38" si="24">IF(IFERROR(IF(VLOOKUP(D37,D$151:D$155,1,0)&gt;=1,D$150,0),D37)=D$132,D$136,IF(IFERROR(IF(VLOOKUP(D37,D$151:D$155,1,0)&gt;=1,D$150,0),D37)=D$139,D$142,IF(IFERROR(IF(VLOOKUP(D37,D$151:D$155,1,0)&gt;=1,D$150,0),D37)=D$145,D$147,0)))</f>
        <v>0</v>
      </c>
      <c r="E38" s="108">
        <f t="shared" si="24"/>
        <v>0</v>
      </c>
      <c r="F38" s="108">
        <f t="shared" si="24"/>
        <v>0</v>
      </c>
      <c r="G38" s="108">
        <f t="shared" si="24"/>
        <v>0</v>
      </c>
      <c r="H38" s="108">
        <f t="shared" si="24"/>
        <v>0</v>
      </c>
      <c r="I38" s="108">
        <f t="shared" si="24"/>
        <v>0</v>
      </c>
      <c r="J38" s="108">
        <f t="shared" si="24"/>
        <v>0</v>
      </c>
      <c r="K38" s="108">
        <f t="shared" si="24"/>
        <v>0</v>
      </c>
      <c r="L38" s="108">
        <f t="shared" si="24"/>
        <v>0</v>
      </c>
      <c r="M38" s="108">
        <f t="shared" si="24"/>
        <v>0</v>
      </c>
      <c r="N38" s="108">
        <f t="shared" si="24"/>
        <v>0</v>
      </c>
      <c r="O38" s="108">
        <f t="shared" si="24"/>
        <v>0</v>
      </c>
      <c r="P38" s="108">
        <f t="shared" si="24"/>
        <v>0</v>
      </c>
      <c r="Q38" s="108">
        <f t="shared" si="24"/>
        <v>0</v>
      </c>
      <c r="R38" s="108">
        <f t="shared" si="24"/>
        <v>0</v>
      </c>
      <c r="S38" s="108">
        <f t="shared" si="24"/>
        <v>0</v>
      </c>
      <c r="T38" s="108">
        <f t="shared" si="24"/>
        <v>0</v>
      </c>
      <c r="U38" s="108">
        <f t="shared" si="24"/>
        <v>0</v>
      </c>
      <c r="V38" s="108">
        <f t="shared" si="24"/>
        <v>0</v>
      </c>
      <c r="W38" s="108">
        <f t="shared" si="24"/>
        <v>0</v>
      </c>
      <c r="X38" s="108">
        <f t="shared" si="24"/>
        <v>0</v>
      </c>
      <c r="Y38" s="108">
        <f t="shared" si="24"/>
        <v>0</v>
      </c>
      <c r="Z38" s="108">
        <f t="shared" si="24"/>
        <v>0</v>
      </c>
      <c r="AA38" s="108">
        <f t="shared" si="24"/>
        <v>0</v>
      </c>
      <c r="AB38" s="108">
        <f t="shared" si="24"/>
        <v>0</v>
      </c>
      <c r="AC38" s="243"/>
    </row>
    <row r="39" spans="1:34" ht="15.75" hidden="1" customHeight="1" x14ac:dyDescent="0.4">
      <c r="A39" s="252">
        <f>+A37+1</f>
        <v>18</v>
      </c>
      <c r="B39" s="253">
        <f>+STUD!B19</f>
        <v>0</v>
      </c>
      <c r="C39" s="244">
        <f>SUM(D40:AB40)</f>
        <v>0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11"/>
      <c r="Y39" s="111"/>
      <c r="Z39" s="111"/>
      <c r="AA39" s="111"/>
      <c r="AB39" s="111"/>
      <c r="AC39" s="243">
        <f>SUM(D40:AB40)</f>
        <v>0</v>
      </c>
    </row>
    <row r="40" spans="1:34" ht="15.75" hidden="1" customHeight="1" x14ac:dyDescent="0.4">
      <c r="A40" s="242"/>
      <c r="B40" s="253"/>
      <c r="C40" s="245"/>
      <c r="D40" s="108">
        <f t="shared" ref="D40:AB40" si="25">IF(IFERROR(IF(VLOOKUP(D39,D$151:D$155,1,0)&gt;=1,D$150,0),D39)=D$132,D$136,IF(IFERROR(IF(VLOOKUP(D39,D$151:D$155,1,0)&gt;=1,D$150,0),D39)=D$139,D$142,IF(IFERROR(IF(VLOOKUP(D39,D$151:D$155,1,0)&gt;=1,D$150,0),D39)=D$145,D$147,0)))</f>
        <v>0</v>
      </c>
      <c r="E40" s="108">
        <f t="shared" si="25"/>
        <v>0</v>
      </c>
      <c r="F40" s="108">
        <f t="shared" si="25"/>
        <v>0</v>
      </c>
      <c r="G40" s="108">
        <f t="shared" si="25"/>
        <v>0</v>
      </c>
      <c r="H40" s="108">
        <f t="shared" si="25"/>
        <v>0</v>
      </c>
      <c r="I40" s="108">
        <f t="shared" si="25"/>
        <v>0</v>
      </c>
      <c r="J40" s="108">
        <f t="shared" si="25"/>
        <v>0</v>
      </c>
      <c r="K40" s="108">
        <f t="shared" si="25"/>
        <v>0</v>
      </c>
      <c r="L40" s="108">
        <f t="shared" si="25"/>
        <v>0</v>
      </c>
      <c r="M40" s="108">
        <f t="shared" si="25"/>
        <v>0</v>
      </c>
      <c r="N40" s="108">
        <f t="shared" si="25"/>
        <v>0</v>
      </c>
      <c r="O40" s="108">
        <f t="shared" si="25"/>
        <v>0</v>
      </c>
      <c r="P40" s="108">
        <f t="shared" si="25"/>
        <v>0</v>
      </c>
      <c r="Q40" s="108">
        <f t="shared" si="25"/>
        <v>0</v>
      </c>
      <c r="R40" s="108">
        <f t="shared" si="25"/>
        <v>0</v>
      </c>
      <c r="S40" s="108">
        <f t="shared" si="25"/>
        <v>0</v>
      </c>
      <c r="T40" s="108">
        <f t="shared" si="25"/>
        <v>0</v>
      </c>
      <c r="U40" s="108">
        <f t="shared" si="25"/>
        <v>0</v>
      </c>
      <c r="V40" s="108">
        <f t="shared" si="25"/>
        <v>0</v>
      </c>
      <c r="W40" s="108">
        <f t="shared" si="25"/>
        <v>0</v>
      </c>
      <c r="X40" s="108">
        <f t="shared" si="25"/>
        <v>0</v>
      </c>
      <c r="Y40" s="108">
        <f t="shared" si="25"/>
        <v>0</v>
      </c>
      <c r="Z40" s="108">
        <f t="shared" si="25"/>
        <v>0</v>
      </c>
      <c r="AA40" s="108">
        <f t="shared" si="25"/>
        <v>0</v>
      </c>
      <c r="AB40" s="108">
        <f t="shared" si="25"/>
        <v>0</v>
      </c>
      <c r="AC40" s="243"/>
    </row>
    <row r="41" spans="1:34" ht="15.75" hidden="1" customHeight="1" x14ac:dyDescent="0.4">
      <c r="A41" s="252">
        <f>+A39+1</f>
        <v>19</v>
      </c>
      <c r="B41" s="253">
        <f>+STUD!B20</f>
        <v>0</v>
      </c>
      <c r="C41" s="244">
        <f>SUM(D42:AB42)</f>
        <v>0</v>
      </c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11"/>
      <c r="Y41" s="111"/>
      <c r="Z41" s="111"/>
      <c r="AA41" s="111"/>
      <c r="AB41" s="111"/>
      <c r="AC41" s="243">
        <f>SUM(D42:AB42)</f>
        <v>0</v>
      </c>
    </row>
    <row r="42" spans="1:34" ht="15.75" hidden="1" customHeight="1" x14ac:dyDescent="0.4">
      <c r="A42" s="242"/>
      <c r="B42" s="253"/>
      <c r="C42" s="245"/>
      <c r="D42" s="108">
        <f t="shared" ref="D42:AB42" si="26">IF(IFERROR(IF(VLOOKUP(D41,D$151:D$155,1,0)&gt;=1,D$150,0),D41)=D$132,D$136,IF(IFERROR(IF(VLOOKUP(D41,D$151:D$155,1,0)&gt;=1,D$150,0),D41)=D$139,D$142,IF(IFERROR(IF(VLOOKUP(D41,D$151:D$155,1,0)&gt;=1,D$150,0),D41)=D$145,D$147,0)))</f>
        <v>0</v>
      </c>
      <c r="E42" s="108">
        <f t="shared" si="26"/>
        <v>0</v>
      </c>
      <c r="F42" s="108">
        <f t="shared" si="26"/>
        <v>0</v>
      </c>
      <c r="G42" s="108">
        <f t="shared" si="26"/>
        <v>0</v>
      </c>
      <c r="H42" s="108">
        <f t="shared" si="26"/>
        <v>0</v>
      </c>
      <c r="I42" s="108">
        <f t="shared" si="26"/>
        <v>0</v>
      </c>
      <c r="J42" s="108">
        <f t="shared" si="26"/>
        <v>0</v>
      </c>
      <c r="K42" s="108">
        <f t="shared" si="26"/>
        <v>0</v>
      </c>
      <c r="L42" s="108">
        <f t="shared" si="26"/>
        <v>0</v>
      </c>
      <c r="M42" s="108">
        <f t="shared" si="26"/>
        <v>0</v>
      </c>
      <c r="N42" s="108">
        <f t="shared" si="26"/>
        <v>0</v>
      </c>
      <c r="O42" s="108">
        <f t="shared" si="26"/>
        <v>0</v>
      </c>
      <c r="P42" s="108">
        <f t="shared" si="26"/>
        <v>0</v>
      </c>
      <c r="Q42" s="108">
        <f t="shared" si="26"/>
        <v>0</v>
      </c>
      <c r="R42" s="108">
        <f t="shared" si="26"/>
        <v>0</v>
      </c>
      <c r="S42" s="108">
        <f t="shared" si="26"/>
        <v>0</v>
      </c>
      <c r="T42" s="108">
        <f t="shared" si="26"/>
        <v>0</v>
      </c>
      <c r="U42" s="108">
        <f t="shared" si="26"/>
        <v>0</v>
      </c>
      <c r="V42" s="108">
        <f t="shared" si="26"/>
        <v>0</v>
      </c>
      <c r="W42" s="108">
        <f t="shared" si="26"/>
        <v>0</v>
      </c>
      <c r="X42" s="108">
        <f t="shared" si="26"/>
        <v>0</v>
      </c>
      <c r="Y42" s="108">
        <f t="shared" si="26"/>
        <v>0</v>
      </c>
      <c r="Z42" s="108">
        <f t="shared" si="26"/>
        <v>0</v>
      </c>
      <c r="AA42" s="108">
        <f t="shared" si="26"/>
        <v>0</v>
      </c>
      <c r="AB42" s="108">
        <f t="shared" si="26"/>
        <v>0</v>
      </c>
      <c r="AC42" s="243"/>
    </row>
    <row r="43" spans="1:34" ht="15.75" hidden="1" customHeight="1" x14ac:dyDescent="0.4">
      <c r="A43" s="252">
        <f>+A41+1</f>
        <v>20</v>
      </c>
      <c r="B43" s="253">
        <f>+STUD!B21</f>
        <v>0</v>
      </c>
      <c r="C43" s="244">
        <f>SUM(D44:AB44)</f>
        <v>0</v>
      </c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11"/>
      <c r="Y43" s="111"/>
      <c r="Z43" s="111"/>
      <c r="AA43" s="111"/>
      <c r="AB43" s="111"/>
      <c r="AC43" s="243">
        <f>SUM(D44:AB44)</f>
        <v>0</v>
      </c>
    </row>
    <row r="44" spans="1:34" ht="15.75" hidden="1" customHeight="1" x14ac:dyDescent="0.4">
      <c r="A44" s="242"/>
      <c r="B44" s="253"/>
      <c r="C44" s="245"/>
      <c r="D44" s="108">
        <f t="shared" ref="D44:AB44" si="27">IF(IFERROR(IF(VLOOKUP(D43,D$151:D$155,1,0)&gt;=1,D$150,0),D43)=D$132,D$136,IF(IFERROR(IF(VLOOKUP(D43,D$151:D$155,1,0)&gt;=1,D$150,0),D43)=D$139,D$142,IF(IFERROR(IF(VLOOKUP(D43,D$151:D$155,1,0)&gt;=1,D$150,0),D43)=D$145,D$147,0)))</f>
        <v>0</v>
      </c>
      <c r="E44" s="108">
        <f t="shared" si="27"/>
        <v>0</v>
      </c>
      <c r="F44" s="108">
        <f t="shared" si="27"/>
        <v>0</v>
      </c>
      <c r="G44" s="108">
        <f t="shared" si="27"/>
        <v>0</v>
      </c>
      <c r="H44" s="108">
        <f t="shared" si="27"/>
        <v>0</v>
      </c>
      <c r="I44" s="108">
        <f t="shared" si="27"/>
        <v>0</v>
      </c>
      <c r="J44" s="108">
        <f t="shared" si="27"/>
        <v>0</v>
      </c>
      <c r="K44" s="108">
        <f t="shared" si="27"/>
        <v>0</v>
      </c>
      <c r="L44" s="108">
        <f t="shared" si="27"/>
        <v>0</v>
      </c>
      <c r="M44" s="108">
        <f t="shared" si="27"/>
        <v>0</v>
      </c>
      <c r="N44" s="108">
        <f t="shared" si="27"/>
        <v>0</v>
      </c>
      <c r="O44" s="108">
        <f t="shared" si="27"/>
        <v>0</v>
      </c>
      <c r="P44" s="108">
        <f t="shared" si="27"/>
        <v>0</v>
      </c>
      <c r="Q44" s="108">
        <f t="shared" si="27"/>
        <v>0</v>
      </c>
      <c r="R44" s="108">
        <f t="shared" si="27"/>
        <v>0</v>
      </c>
      <c r="S44" s="108">
        <f t="shared" si="27"/>
        <v>0</v>
      </c>
      <c r="T44" s="108">
        <f t="shared" si="27"/>
        <v>0</v>
      </c>
      <c r="U44" s="108">
        <f t="shared" si="27"/>
        <v>0</v>
      </c>
      <c r="V44" s="108">
        <f t="shared" si="27"/>
        <v>0</v>
      </c>
      <c r="W44" s="108">
        <f t="shared" si="27"/>
        <v>0</v>
      </c>
      <c r="X44" s="108">
        <f t="shared" si="27"/>
        <v>0</v>
      </c>
      <c r="Y44" s="108">
        <f t="shared" si="27"/>
        <v>0</v>
      </c>
      <c r="Z44" s="108">
        <f t="shared" si="27"/>
        <v>0</v>
      </c>
      <c r="AA44" s="108">
        <f t="shared" si="27"/>
        <v>0</v>
      </c>
      <c r="AB44" s="108">
        <f t="shared" si="27"/>
        <v>0</v>
      </c>
      <c r="AC44" s="243"/>
    </row>
    <row r="45" spans="1:34" ht="15.75" hidden="1" customHeight="1" x14ac:dyDescent="0.4">
      <c r="A45" s="252">
        <f>+A43+1</f>
        <v>21</v>
      </c>
      <c r="B45" s="253">
        <f>+STUD!B22</f>
        <v>0</v>
      </c>
      <c r="C45" s="244">
        <f>SUM(D46:AB46)</f>
        <v>0</v>
      </c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11"/>
      <c r="Y45" s="111"/>
      <c r="Z45" s="111"/>
      <c r="AA45" s="111"/>
      <c r="AB45" s="111"/>
      <c r="AC45" s="243">
        <f>SUM(D46:AB46)</f>
        <v>0</v>
      </c>
    </row>
    <row r="46" spans="1:34" ht="15.75" hidden="1" customHeight="1" x14ac:dyDescent="0.4">
      <c r="A46" s="242"/>
      <c r="B46" s="253"/>
      <c r="C46" s="245"/>
      <c r="D46" s="108">
        <f t="shared" ref="D46:AB46" si="28">IF(IFERROR(IF(VLOOKUP(D45,D$151:D$155,1,0)&gt;=1,D$150,0),D45)=D$132,D$136,IF(IFERROR(IF(VLOOKUP(D45,D$151:D$155,1,0)&gt;=1,D$150,0),D45)=D$139,D$142,IF(IFERROR(IF(VLOOKUP(D45,D$151:D$155,1,0)&gt;=1,D$150,0),D45)=D$145,D$147,0)))</f>
        <v>0</v>
      </c>
      <c r="E46" s="108">
        <f t="shared" si="28"/>
        <v>0</v>
      </c>
      <c r="F46" s="108">
        <f t="shared" si="28"/>
        <v>0</v>
      </c>
      <c r="G46" s="108">
        <f t="shared" si="28"/>
        <v>0</v>
      </c>
      <c r="H46" s="108">
        <f t="shared" si="28"/>
        <v>0</v>
      </c>
      <c r="I46" s="108">
        <f t="shared" si="28"/>
        <v>0</v>
      </c>
      <c r="J46" s="108">
        <f t="shared" si="28"/>
        <v>0</v>
      </c>
      <c r="K46" s="108">
        <f t="shared" si="28"/>
        <v>0</v>
      </c>
      <c r="L46" s="108">
        <f t="shared" si="28"/>
        <v>0</v>
      </c>
      <c r="M46" s="108">
        <f t="shared" si="28"/>
        <v>0</v>
      </c>
      <c r="N46" s="108">
        <f t="shared" si="28"/>
        <v>0</v>
      </c>
      <c r="O46" s="108">
        <f t="shared" si="28"/>
        <v>0</v>
      </c>
      <c r="P46" s="108">
        <f t="shared" si="28"/>
        <v>0</v>
      </c>
      <c r="Q46" s="108">
        <f t="shared" si="28"/>
        <v>0</v>
      </c>
      <c r="R46" s="108">
        <f t="shared" si="28"/>
        <v>0</v>
      </c>
      <c r="S46" s="108">
        <f t="shared" si="28"/>
        <v>0</v>
      </c>
      <c r="T46" s="108">
        <f t="shared" si="28"/>
        <v>0</v>
      </c>
      <c r="U46" s="108">
        <f t="shared" si="28"/>
        <v>0</v>
      </c>
      <c r="V46" s="108">
        <f t="shared" si="28"/>
        <v>0</v>
      </c>
      <c r="W46" s="108">
        <f t="shared" si="28"/>
        <v>0</v>
      </c>
      <c r="X46" s="108">
        <f t="shared" si="28"/>
        <v>0</v>
      </c>
      <c r="Y46" s="108">
        <f t="shared" si="28"/>
        <v>0</v>
      </c>
      <c r="Z46" s="108">
        <f t="shared" si="28"/>
        <v>0</v>
      </c>
      <c r="AA46" s="108">
        <f t="shared" si="28"/>
        <v>0</v>
      </c>
      <c r="AB46" s="108">
        <f t="shared" si="28"/>
        <v>0</v>
      </c>
      <c r="AC46" s="243"/>
    </row>
    <row r="47" spans="1:34" ht="15.75" hidden="1" customHeight="1" x14ac:dyDescent="0.4">
      <c r="A47" s="252">
        <f>+A45+1</f>
        <v>22</v>
      </c>
      <c r="B47" s="253">
        <f>+STUD!B23</f>
        <v>0</v>
      </c>
      <c r="C47" s="244">
        <f>SUM(D48:AB48)</f>
        <v>0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11"/>
      <c r="Y47" s="111"/>
      <c r="Z47" s="111"/>
      <c r="AA47" s="111"/>
      <c r="AB47" s="111"/>
      <c r="AC47" s="243">
        <f>SUM(D48:AB48)</f>
        <v>0</v>
      </c>
    </row>
    <row r="48" spans="1:34" ht="15.75" hidden="1" customHeight="1" x14ac:dyDescent="0.4">
      <c r="A48" s="242"/>
      <c r="B48" s="253"/>
      <c r="C48" s="245"/>
      <c r="D48" s="108">
        <f t="shared" ref="D48:AB48" si="29">IF(IFERROR(IF(VLOOKUP(D47,D$151:D$155,1,0)&gt;=1,D$150,0),D47)=D$132,D$136,IF(IFERROR(IF(VLOOKUP(D47,D$151:D$155,1,0)&gt;=1,D$150,0),D47)=D$139,D$142,IF(IFERROR(IF(VLOOKUP(D47,D$151:D$155,1,0)&gt;=1,D$150,0),D47)=D$145,D$147,0)))</f>
        <v>0</v>
      </c>
      <c r="E48" s="108">
        <f t="shared" si="29"/>
        <v>0</v>
      </c>
      <c r="F48" s="108">
        <f t="shared" si="29"/>
        <v>0</v>
      </c>
      <c r="G48" s="108">
        <f t="shared" si="29"/>
        <v>0</v>
      </c>
      <c r="H48" s="108">
        <f t="shared" si="29"/>
        <v>0</v>
      </c>
      <c r="I48" s="108">
        <f t="shared" si="29"/>
        <v>0</v>
      </c>
      <c r="J48" s="108">
        <f t="shared" si="29"/>
        <v>0</v>
      </c>
      <c r="K48" s="108">
        <f t="shared" si="29"/>
        <v>0</v>
      </c>
      <c r="L48" s="108">
        <f t="shared" si="29"/>
        <v>0</v>
      </c>
      <c r="M48" s="108">
        <f t="shared" si="29"/>
        <v>0</v>
      </c>
      <c r="N48" s="108">
        <f t="shared" si="29"/>
        <v>0</v>
      </c>
      <c r="O48" s="108">
        <f t="shared" si="29"/>
        <v>0</v>
      </c>
      <c r="P48" s="108">
        <f t="shared" si="29"/>
        <v>0</v>
      </c>
      <c r="Q48" s="108">
        <f t="shared" si="29"/>
        <v>0</v>
      </c>
      <c r="R48" s="108">
        <f t="shared" si="29"/>
        <v>0</v>
      </c>
      <c r="S48" s="108">
        <f t="shared" si="29"/>
        <v>0</v>
      </c>
      <c r="T48" s="108">
        <f t="shared" si="29"/>
        <v>0</v>
      </c>
      <c r="U48" s="108">
        <f t="shared" si="29"/>
        <v>0</v>
      </c>
      <c r="V48" s="108">
        <f t="shared" si="29"/>
        <v>0</v>
      </c>
      <c r="W48" s="108">
        <f t="shared" si="29"/>
        <v>0</v>
      </c>
      <c r="X48" s="108">
        <f t="shared" si="29"/>
        <v>0</v>
      </c>
      <c r="Y48" s="108">
        <f t="shared" si="29"/>
        <v>0</v>
      </c>
      <c r="Z48" s="108">
        <f t="shared" si="29"/>
        <v>0</v>
      </c>
      <c r="AA48" s="108">
        <f t="shared" si="29"/>
        <v>0</v>
      </c>
      <c r="AB48" s="108">
        <f t="shared" si="29"/>
        <v>0</v>
      </c>
      <c r="AC48" s="243"/>
    </row>
    <row r="49" spans="1:29" ht="15.75" hidden="1" customHeight="1" x14ac:dyDescent="0.4">
      <c r="A49" s="252">
        <f>+A47+1</f>
        <v>23</v>
      </c>
      <c r="B49" s="253">
        <f>+STUD!B24</f>
        <v>0</v>
      </c>
      <c r="C49" s="244">
        <f>SUM(D50:AB50)</f>
        <v>0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11"/>
      <c r="Y49" s="111"/>
      <c r="Z49" s="111"/>
      <c r="AA49" s="111"/>
      <c r="AB49" s="111"/>
      <c r="AC49" s="243">
        <f>SUM(D50:AB50)</f>
        <v>0</v>
      </c>
    </row>
    <row r="50" spans="1:29" ht="15.75" hidden="1" customHeight="1" x14ac:dyDescent="0.4">
      <c r="A50" s="242"/>
      <c r="B50" s="253"/>
      <c r="C50" s="245"/>
      <c r="D50" s="108">
        <f t="shared" ref="D50:AB50" si="30">IF(IFERROR(IF(VLOOKUP(D49,D$151:D$155,1,0)&gt;=1,D$150,0),D49)=D$132,D$136,IF(IFERROR(IF(VLOOKUP(D49,D$151:D$155,1,0)&gt;=1,D$150,0),D49)=D$139,D$142,IF(IFERROR(IF(VLOOKUP(D49,D$151:D$155,1,0)&gt;=1,D$150,0),D49)=D$145,D$147,0)))</f>
        <v>0</v>
      </c>
      <c r="E50" s="108">
        <f t="shared" si="30"/>
        <v>0</v>
      </c>
      <c r="F50" s="108">
        <f t="shared" si="30"/>
        <v>0</v>
      </c>
      <c r="G50" s="108">
        <f t="shared" si="30"/>
        <v>0</v>
      </c>
      <c r="H50" s="108">
        <f t="shared" si="30"/>
        <v>0</v>
      </c>
      <c r="I50" s="108">
        <f t="shared" si="30"/>
        <v>0</v>
      </c>
      <c r="J50" s="108">
        <f t="shared" si="30"/>
        <v>0</v>
      </c>
      <c r="K50" s="108">
        <f t="shared" si="30"/>
        <v>0</v>
      </c>
      <c r="L50" s="108">
        <f t="shared" si="30"/>
        <v>0</v>
      </c>
      <c r="M50" s="108">
        <f t="shared" si="30"/>
        <v>0</v>
      </c>
      <c r="N50" s="108">
        <f t="shared" si="30"/>
        <v>0</v>
      </c>
      <c r="O50" s="108">
        <f t="shared" si="30"/>
        <v>0</v>
      </c>
      <c r="P50" s="108">
        <f t="shared" si="30"/>
        <v>0</v>
      </c>
      <c r="Q50" s="108">
        <f t="shared" si="30"/>
        <v>0</v>
      </c>
      <c r="R50" s="108">
        <f t="shared" si="30"/>
        <v>0</v>
      </c>
      <c r="S50" s="108">
        <f t="shared" si="30"/>
        <v>0</v>
      </c>
      <c r="T50" s="108">
        <f t="shared" si="30"/>
        <v>0</v>
      </c>
      <c r="U50" s="108">
        <f t="shared" si="30"/>
        <v>0</v>
      </c>
      <c r="V50" s="108">
        <f t="shared" si="30"/>
        <v>0</v>
      </c>
      <c r="W50" s="108">
        <f t="shared" si="30"/>
        <v>0</v>
      </c>
      <c r="X50" s="108">
        <f t="shared" si="30"/>
        <v>0</v>
      </c>
      <c r="Y50" s="108">
        <f t="shared" si="30"/>
        <v>0</v>
      </c>
      <c r="Z50" s="108">
        <f t="shared" si="30"/>
        <v>0</v>
      </c>
      <c r="AA50" s="108">
        <f t="shared" si="30"/>
        <v>0</v>
      </c>
      <c r="AB50" s="108">
        <f t="shared" si="30"/>
        <v>0</v>
      </c>
      <c r="AC50" s="243"/>
    </row>
    <row r="51" spans="1:29" ht="15.75" hidden="1" customHeight="1" x14ac:dyDescent="0.4">
      <c r="A51" s="252">
        <f>+A49+1</f>
        <v>24</v>
      </c>
      <c r="B51" s="253">
        <f>+STUD!B25</f>
        <v>0</v>
      </c>
      <c r="C51" s="244">
        <f>SUM(D52:AB52)</f>
        <v>0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11"/>
      <c r="Y51" s="111"/>
      <c r="Z51" s="111"/>
      <c r="AA51" s="111"/>
      <c r="AB51" s="111"/>
      <c r="AC51" s="243">
        <f>SUM(D52:AB52)</f>
        <v>0</v>
      </c>
    </row>
    <row r="52" spans="1:29" ht="15.75" hidden="1" customHeight="1" x14ac:dyDescent="0.4">
      <c r="A52" s="242"/>
      <c r="B52" s="253"/>
      <c r="C52" s="245"/>
      <c r="D52" s="108">
        <f t="shared" ref="D52:AB52" si="31">IF(IFERROR(IF(VLOOKUP(D51,D$151:D$155,1,0)&gt;=1,D$150,0),D51)=D$132,D$136,IF(IFERROR(IF(VLOOKUP(D51,D$151:D$155,1,0)&gt;=1,D$150,0),D51)=D$139,D$142,IF(IFERROR(IF(VLOOKUP(D51,D$151:D$155,1,0)&gt;=1,D$150,0),D51)=D$145,D$147,0)))</f>
        <v>0</v>
      </c>
      <c r="E52" s="108">
        <f t="shared" si="31"/>
        <v>0</v>
      </c>
      <c r="F52" s="108">
        <f t="shared" si="31"/>
        <v>0</v>
      </c>
      <c r="G52" s="108">
        <f t="shared" si="31"/>
        <v>0</v>
      </c>
      <c r="H52" s="108">
        <f t="shared" si="31"/>
        <v>0</v>
      </c>
      <c r="I52" s="108">
        <f t="shared" si="31"/>
        <v>0</v>
      </c>
      <c r="J52" s="108">
        <f t="shared" si="31"/>
        <v>0</v>
      </c>
      <c r="K52" s="108">
        <f t="shared" si="31"/>
        <v>0</v>
      </c>
      <c r="L52" s="108">
        <f t="shared" si="31"/>
        <v>0</v>
      </c>
      <c r="M52" s="108">
        <f t="shared" si="31"/>
        <v>0</v>
      </c>
      <c r="N52" s="108">
        <f t="shared" si="31"/>
        <v>0</v>
      </c>
      <c r="O52" s="108">
        <f t="shared" si="31"/>
        <v>0</v>
      </c>
      <c r="P52" s="108">
        <f t="shared" si="31"/>
        <v>0</v>
      </c>
      <c r="Q52" s="108">
        <f t="shared" si="31"/>
        <v>0</v>
      </c>
      <c r="R52" s="108">
        <f t="shared" si="31"/>
        <v>0</v>
      </c>
      <c r="S52" s="108">
        <f t="shared" si="31"/>
        <v>0</v>
      </c>
      <c r="T52" s="108">
        <f t="shared" si="31"/>
        <v>0</v>
      </c>
      <c r="U52" s="108">
        <f t="shared" si="31"/>
        <v>0</v>
      </c>
      <c r="V52" s="108">
        <f t="shared" si="31"/>
        <v>0</v>
      </c>
      <c r="W52" s="108">
        <f t="shared" si="31"/>
        <v>0</v>
      </c>
      <c r="X52" s="108">
        <f t="shared" si="31"/>
        <v>0</v>
      </c>
      <c r="Y52" s="108">
        <f t="shared" si="31"/>
        <v>0</v>
      </c>
      <c r="Z52" s="108">
        <f t="shared" si="31"/>
        <v>0</v>
      </c>
      <c r="AA52" s="108">
        <f t="shared" si="31"/>
        <v>0</v>
      </c>
      <c r="AB52" s="108">
        <f t="shared" si="31"/>
        <v>0</v>
      </c>
      <c r="AC52" s="243"/>
    </row>
    <row r="53" spans="1:29" ht="15.75" hidden="1" customHeight="1" x14ac:dyDescent="0.4">
      <c r="A53" s="252">
        <f>+A51+1</f>
        <v>25</v>
      </c>
      <c r="B53" s="253">
        <f>+STUD!B26</f>
        <v>0</v>
      </c>
      <c r="C53" s="244">
        <f>SUM(D54:AB54)</f>
        <v>0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11"/>
      <c r="Y53" s="111"/>
      <c r="Z53" s="111"/>
      <c r="AA53" s="111"/>
      <c r="AB53" s="111"/>
      <c r="AC53" s="243">
        <f>SUM(D54:AB54)</f>
        <v>0</v>
      </c>
    </row>
    <row r="54" spans="1:29" ht="15.75" hidden="1" customHeight="1" x14ac:dyDescent="0.4">
      <c r="A54" s="242"/>
      <c r="B54" s="253"/>
      <c r="C54" s="245"/>
      <c r="D54" s="108">
        <f t="shared" ref="D54:AB54" si="32">IF(IFERROR(IF(VLOOKUP(D53,D$151:D$155,1,0)&gt;=1,D$150,0),D53)=D$132,D$136,IF(IFERROR(IF(VLOOKUP(D53,D$151:D$155,1,0)&gt;=1,D$150,0),D53)=D$139,D$142,IF(IFERROR(IF(VLOOKUP(D53,D$151:D$155,1,0)&gt;=1,D$150,0),D53)=D$145,D$147,0)))</f>
        <v>0</v>
      </c>
      <c r="E54" s="108">
        <f t="shared" si="32"/>
        <v>0</v>
      </c>
      <c r="F54" s="108">
        <f t="shared" si="32"/>
        <v>0</v>
      </c>
      <c r="G54" s="108">
        <f t="shared" si="32"/>
        <v>0</v>
      </c>
      <c r="H54" s="108">
        <f t="shared" si="32"/>
        <v>0</v>
      </c>
      <c r="I54" s="108">
        <f t="shared" si="32"/>
        <v>0</v>
      </c>
      <c r="J54" s="108">
        <f t="shared" si="32"/>
        <v>0</v>
      </c>
      <c r="K54" s="108">
        <f t="shared" si="32"/>
        <v>0</v>
      </c>
      <c r="L54" s="108">
        <f t="shared" si="32"/>
        <v>0</v>
      </c>
      <c r="M54" s="108">
        <f t="shared" si="32"/>
        <v>0</v>
      </c>
      <c r="N54" s="108">
        <f t="shared" si="32"/>
        <v>0</v>
      </c>
      <c r="O54" s="108">
        <f t="shared" si="32"/>
        <v>0</v>
      </c>
      <c r="P54" s="108">
        <f t="shared" si="32"/>
        <v>0</v>
      </c>
      <c r="Q54" s="108">
        <f t="shared" si="32"/>
        <v>0</v>
      </c>
      <c r="R54" s="108">
        <f t="shared" si="32"/>
        <v>0</v>
      </c>
      <c r="S54" s="108">
        <f t="shared" si="32"/>
        <v>0</v>
      </c>
      <c r="T54" s="108">
        <f t="shared" si="32"/>
        <v>0</v>
      </c>
      <c r="U54" s="108">
        <f t="shared" si="32"/>
        <v>0</v>
      </c>
      <c r="V54" s="108">
        <f t="shared" si="32"/>
        <v>0</v>
      </c>
      <c r="W54" s="108">
        <f t="shared" si="32"/>
        <v>0</v>
      </c>
      <c r="X54" s="108">
        <f t="shared" si="32"/>
        <v>0</v>
      </c>
      <c r="Y54" s="108">
        <f t="shared" si="32"/>
        <v>0</v>
      </c>
      <c r="Z54" s="108">
        <f t="shared" si="32"/>
        <v>0</v>
      </c>
      <c r="AA54" s="108">
        <f t="shared" si="32"/>
        <v>0</v>
      </c>
      <c r="AB54" s="108">
        <f t="shared" si="32"/>
        <v>0</v>
      </c>
      <c r="AC54" s="243"/>
    </row>
    <row r="55" spans="1:29" ht="15.75" hidden="1" customHeight="1" x14ac:dyDescent="0.4">
      <c r="A55" s="252">
        <f>+A53+1</f>
        <v>26</v>
      </c>
      <c r="B55" s="253">
        <f>+STUD!B27</f>
        <v>0</v>
      </c>
      <c r="C55" s="244">
        <f>SUM(D56:AB56)</f>
        <v>0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11"/>
      <c r="Y55" s="111"/>
      <c r="Z55" s="111"/>
      <c r="AA55" s="111"/>
      <c r="AB55" s="111"/>
      <c r="AC55" s="243">
        <f>SUM(D56:AB56)</f>
        <v>0</v>
      </c>
    </row>
    <row r="56" spans="1:29" ht="15.75" hidden="1" customHeight="1" x14ac:dyDescent="0.4">
      <c r="A56" s="242"/>
      <c r="B56" s="253"/>
      <c r="C56" s="245"/>
      <c r="D56" s="108">
        <f t="shared" ref="D56:AB56" si="33">IF(IFERROR(IF(VLOOKUP(D55,D$151:D$155,1,0)&gt;=1,D$150,0),D55)=D$132,D$136,IF(IFERROR(IF(VLOOKUP(D55,D$151:D$155,1,0)&gt;=1,D$150,0),D55)=D$139,D$142,IF(IFERROR(IF(VLOOKUP(D55,D$151:D$155,1,0)&gt;=1,D$150,0),D55)=D$145,D$147,0)))</f>
        <v>0</v>
      </c>
      <c r="E56" s="108">
        <f t="shared" si="33"/>
        <v>0</v>
      </c>
      <c r="F56" s="108">
        <f t="shared" si="33"/>
        <v>0</v>
      </c>
      <c r="G56" s="108">
        <f t="shared" si="33"/>
        <v>0</v>
      </c>
      <c r="H56" s="108">
        <f t="shared" si="33"/>
        <v>0</v>
      </c>
      <c r="I56" s="108">
        <f t="shared" si="33"/>
        <v>0</v>
      </c>
      <c r="J56" s="108">
        <f t="shared" si="33"/>
        <v>0</v>
      </c>
      <c r="K56" s="108">
        <f t="shared" si="33"/>
        <v>0</v>
      </c>
      <c r="L56" s="108">
        <f t="shared" si="33"/>
        <v>0</v>
      </c>
      <c r="M56" s="108">
        <f t="shared" si="33"/>
        <v>0</v>
      </c>
      <c r="N56" s="108">
        <f t="shared" si="33"/>
        <v>0</v>
      </c>
      <c r="O56" s="108">
        <f t="shared" si="33"/>
        <v>0</v>
      </c>
      <c r="P56" s="108">
        <f t="shared" si="33"/>
        <v>0</v>
      </c>
      <c r="Q56" s="108">
        <f t="shared" si="33"/>
        <v>0</v>
      </c>
      <c r="R56" s="108">
        <f t="shared" si="33"/>
        <v>0</v>
      </c>
      <c r="S56" s="108">
        <f t="shared" si="33"/>
        <v>0</v>
      </c>
      <c r="T56" s="108">
        <f t="shared" si="33"/>
        <v>0</v>
      </c>
      <c r="U56" s="108">
        <f t="shared" si="33"/>
        <v>0</v>
      </c>
      <c r="V56" s="108">
        <f t="shared" si="33"/>
        <v>0</v>
      </c>
      <c r="W56" s="108">
        <f t="shared" si="33"/>
        <v>0</v>
      </c>
      <c r="X56" s="108">
        <f t="shared" si="33"/>
        <v>0</v>
      </c>
      <c r="Y56" s="108">
        <f t="shared" si="33"/>
        <v>0</v>
      </c>
      <c r="Z56" s="108">
        <f t="shared" si="33"/>
        <v>0</v>
      </c>
      <c r="AA56" s="108">
        <f t="shared" si="33"/>
        <v>0</v>
      </c>
      <c r="AB56" s="108">
        <f t="shared" si="33"/>
        <v>0</v>
      </c>
      <c r="AC56" s="243"/>
    </row>
    <row r="57" spans="1:29" ht="15.75" hidden="1" customHeight="1" x14ac:dyDescent="0.4">
      <c r="A57" s="252">
        <f>+A55+1</f>
        <v>27</v>
      </c>
      <c r="B57" s="253">
        <f>+STUD!B28</f>
        <v>0</v>
      </c>
      <c r="C57" s="244">
        <f>SUM(D58:AB58)</f>
        <v>0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11"/>
      <c r="Y57" s="111"/>
      <c r="Z57" s="111"/>
      <c r="AA57" s="111"/>
      <c r="AB57" s="111"/>
      <c r="AC57" s="243">
        <f>SUM(D58:AB58)</f>
        <v>0</v>
      </c>
    </row>
    <row r="58" spans="1:29" ht="15.75" hidden="1" customHeight="1" x14ac:dyDescent="0.4">
      <c r="A58" s="242"/>
      <c r="B58" s="253"/>
      <c r="C58" s="245"/>
      <c r="D58" s="108">
        <f t="shared" ref="D58:AB58" si="34">IF(IFERROR(IF(VLOOKUP(D57,D$151:D$155,1,0)&gt;=1,D$150,0),D57)=D$132,D$136,IF(IFERROR(IF(VLOOKUP(D57,D$151:D$155,1,0)&gt;=1,D$150,0),D57)=D$139,D$142,IF(IFERROR(IF(VLOOKUP(D57,D$151:D$155,1,0)&gt;=1,D$150,0),D57)=D$145,D$147,0)))</f>
        <v>0</v>
      </c>
      <c r="E58" s="108">
        <f t="shared" si="34"/>
        <v>0</v>
      </c>
      <c r="F58" s="108">
        <f t="shared" si="34"/>
        <v>0</v>
      </c>
      <c r="G58" s="108">
        <f t="shared" si="34"/>
        <v>0</v>
      </c>
      <c r="H58" s="108">
        <f t="shared" si="34"/>
        <v>0</v>
      </c>
      <c r="I58" s="108">
        <f t="shared" si="34"/>
        <v>0</v>
      </c>
      <c r="J58" s="108">
        <f t="shared" si="34"/>
        <v>0</v>
      </c>
      <c r="K58" s="108">
        <f t="shared" si="34"/>
        <v>0</v>
      </c>
      <c r="L58" s="108">
        <f t="shared" si="34"/>
        <v>0</v>
      </c>
      <c r="M58" s="108">
        <f t="shared" si="34"/>
        <v>0</v>
      </c>
      <c r="N58" s="108">
        <f t="shared" si="34"/>
        <v>0</v>
      </c>
      <c r="O58" s="108">
        <f t="shared" si="34"/>
        <v>0</v>
      </c>
      <c r="P58" s="108">
        <f t="shared" si="34"/>
        <v>0</v>
      </c>
      <c r="Q58" s="108">
        <f t="shared" si="34"/>
        <v>0</v>
      </c>
      <c r="R58" s="108">
        <f t="shared" si="34"/>
        <v>0</v>
      </c>
      <c r="S58" s="108">
        <f t="shared" si="34"/>
        <v>0</v>
      </c>
      <c r="T58" s="108">
        <f t="shared" si="34"/>
        <v>0</v>
      </c>
      <c r="U58" s="108">
        <f t="shared" si="34"/>
        <v>0</v>
      </c>
      <c r="V58" s="108">
        <f t="shared" si="34"/>
        <v>0</v>
      </c>
      <c r="W58" s="108">
        <f t="shared" si="34"/>
        <v>0</v>
      </c>
      <c r="X58" s="108">
        <f t="shared" si="34"/>
        <v>0</v>
      </c>
      <c r="Y58" s="108">
        <f t="shared" si="34"/>
        <v>0</v>
      </c>
      <c r="Z58" s="108">
        <f t="shared" si="34"/>
        <v>0</v>
      </c>
      <c r="AA58" s="108">
        <f t="shared" si="34"/>
        <v>0</v>
      </c>
      <c r="AB58" s="108">
        <f t="shared" si="34"/>
        <v>0</v>
      </c>
      <c r="AC58" s="243"/>
    </row>
    <row r="59" spans="1:29" ht="15.75" hidden="1" customHeight="1" x14ac:dyDescent="0.4">
      <c r="A59" s="252">
        <f>+A57+1</f>
        <v>28</v>
      </c>
      <c r="B59" s="253">
        <f>+STUD!B29</f>
        <v>0</v>
      </c>
      <c r="C59" s="244">
        <f>SUM(D60:AB60)</f>
        <v>0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11"/>
      <c r="Y59" s="111"/>
      <c r="Z59" s="111"/>
      <c r="AA59" s="111"/>
      <c r="AB59" s="111"/>
      <c r="AC59" s="243">
        <f>SUM(D60:AB60)</f>
        <v>0</v>
      </c>
    </row>
    <row r="60" spans="1:29" ht="15.75" hidden="1" customHeight="1" x14ac:dyDescent="0.4">
      <c r="A60" s="242"/>
      <c r="B60" s="253"/>
      <c r="C60" s="245"/>
      <c r="D60" s="108">
        <f t="shared" ref="D60:AB60" si="35">IF(IFERROR(IF(VLOOKUP(D59,D$151:D$155,1,0)&gt;=1,D$150,0),D59)=D$132,D$136,IF(IFERROR(IF(VLOOKUP(D59,D$151:D$155,1,0)&gt;=1,D$150,0),D59)=D$139,D$142,IF(IFERROR(IF(VLOOKUP(D59,D$151:D$155,1,0)&gt;=1,D$150,0),D59)=D$145,D$147,0)))</f>
        <v>0</v>
      </c>
      <c r="E60" s="108">
        <f t="shared" si="35"/>
        <v>0</v>
      </c>
      <c r="F60" s="108">
        <f t="shared" si="35"/>
        <v>0</v>
      </c>
      <c r="G60" s="108">
        <f t="shared" si="35"/>
        <v>0</v>
      </c>
      <c r="H60" s="108">
        <f t="shared" si="35"/>
        <v>0</v>
      </c>
      <c r="I60" s="108">
        <f t="shared" si="35"/>
        <v>0</v>
      </c>
      <c r="J60" s="108">
        <f t="shared" si="35"/>
        <v>0</v>
      </c>
      <c r="K60" s="108">
        <f t="shared" si="35"/>
        <v>0</v>
      </c>
      <c r="L60" s="108">
        <f t="shared" si="35"/>
        <v>0</v>
      </c>
      <c r="M60" s="108">
        <f t="shared" si="35"/>
        <v>0</v>
      </c>
      <c r="N60" s="108">
        <f t="shared" si="35"/>
        <v>0</v>
      </c>
      <c r="O60" s="108">
        <f t="shared" si="35"/>
        <v>0</v>
      </c>
      <c r="P60" s="108">
        <f t="shared" si="35"/>
        <v>0</v>
      </c>
      <c r="Q60" s="108">
        <f t="shared" si="35"/>
        <v>0</v>
      </c>
      <c r="R60" s="108">
        <f t="shared" si="35"/>
        <v>0</v>
      </c>
      <c r="S60" s="108">
        <f t="shared" si="35"/>
        <v>0</v>
      </c>
      <c r="T60" s="108">
        <f t="shared" si="35"/>
        <v>0</v>
      </c>
      <c r="U60" s="108">
        <f t="shared" si="35"/>
        <v>0</v>
      </c>
      <c r="V60" s="108">
        <f t="shared" si="35"/>
        <v>0</v>
      </c>
      <c r="W60" s="108">
        <f t="shared" si="35"/>
        <v>0</v>
      </c>
      <c r="X60" s="108">
        <f t="shared" si="35"/>
        <v>0</v>
      </c>
      <c r="Y60" s="108">
        <f t="shared" si="35"/>
        <v>0</v>
      </c>
      <c r="Z60" s="108">
        <f t="shared" si="35"/>
        <v>0</v>
      </c>
      <c r="AA60" s="108">
        <f t="shared" si="35"/>
        <v>0</v>
      </c>
      <c r="AB60" s="108">
        <f t="shared" si="35"/>
        <v>0</v>
      </c>
      <c r="AC60" s="243"/>
    </row>
    <row r="61" spans="1:29" ht="15.75" hidden="1" customHeight="1" x14ac:dyDescent="0.4">
      <c r="A61" s="252">
        <f>+A59+1</f>
        <v>29</v>
      </c>
      <c r="B61" s="253">
        <f>+STUD!B30</f>
        <v>0</v>
      </c>
      <c r="C61" s="244">
        <f>SUM(D62:AB62)</f>
        <v>0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11"/>
      <c r="Y61" s="111"/>
      <c r="Z61" s="111"/>
      <c r="AA61" s="111"/>
      <c r="AB61" s="111"/>
      <c r="AC61" s="243">
        <f>SUM(D62:AB62)</f>
        <v>0</v>
      </c>
    </row>
    <row r="62" spans="1:29" ht="15.75" hidden="1" customHeight="1" x14ac:dyDescent="0.4">
      <c r="A62" s="242"/>
      <c r="B62" s="253"/>
      <c r="C62" s="245"/>
      <c r="D62" s="108">
        <f t="shared" ref="D62:AB62" si="36">IF(IFERROR(IF(VLOOKUP(D61,D$151:D$155,1,0)&gt;=1,D$150,0),D61)=D$132,D$136,IF(IFERROR(IF(VLOOKUP(D61,D$151:D$155,1,0)&gt;=1,D$150,0),D61)=D$139,D$142,IF(IFERROR(IF(VLOOKUP(D61,D$151:D$155,1,0)&gt;=1,D$150,0),D61)=D$145,D$147,0)))</f>
        <v>0</v>
      </c>
      <c r="E62" s="108">
        <f t="shared" si="36"/>
        <v>0</v>
      </c>
      <c r="F62" s="108">
        <f t="shared" si="36"/>
        <v>0</v>
      </c>
      <c r="G62" s="108">
        <f t="shared" si="36"/>
        <v>0</v>
      </c>
      <c r="H62" s="108">
        <f t="shared" si="36"/>
        <v>0</v>
      </c>
      <c r="I62" s="108">
        <f t="shared" si="36"/>
        <v>0</v>
      </c>
      <c r="J62" s="108">
        <f t="shared" si="36"/>
        <v>0</v>
      </c>
      <c r="K62" s="108">
        <f t="shared" si="36"/>
        <v>0</v>
      </c>
      <c r="L62" s="108">
        <f t="shared" si="36"/>
        <v>0</v>
      </c>
      <c r="M62" s="108">
        <f t="shared" si="36"/>
        <v>0</v>
      </c>
      <c r="N62" s="108">
        <f t="shared" si="36"/>
        <v>0</v>
      </c>
      <c r="O62" s="108">
        <f t="shared" si="36"/>
        <v>0</v>
      </c>
      <c r="P62" s="108">
        <f t="shared" si="36"/>
        <v>0</v>
      </c>
      <c r="Q62" s="108">
        <f t="shared" si="36"/>
        <v>0</v>
      </c>
      <c r="R62" s="108">
        <f t="shared" si="36"/>
        <v>0</v>
      </c>
      <c r="S62" s="108">
        <f t="shared" si="36"/>
        <v>0</v>
      </c>
      <c r="T62" s="108">
        <f t="shared" si="36"/>
        <v>0</v>
      </c>
      <c r="U62" s="108">
        <f t="shared" si="36"/>
        <v>0</v>
      </c>
      <c r="V62" s="108">
        <f t="shared" si="36"/>
        <v>0</v>
      </c>
      <c r="W62" s="108">
        <f t="shared" si="36"/>
        <v>0</v>
      </c>
      <c r="X62" s="108">
        <f t="shared" si="36"/>
        <v>0</v>
      </c>
      <c r="Y62" s="108">
        <f t="shared" si="36"/>
        <v>0</v>
      </c>
      <c r="Z62" s="108">
        <f t="shared" si="36"/>
        <v>0</v>
      </c>
      <c r="AA62" s="108">
        <f t="shared" si="36"/>
        <v>0</v>
      </c>
      <c r="AB62" s="108">
        <f t="shared" si="36"/>
        <v>0</v>
      </c>
      <c r="AC62" s="243"/>
    </row>
    <row r="63" spans="1:29" ht="15.75" hidden="1" customHeight="1" x14ac:dyDescent="0.4">
      <c r="A63" s="252">
        <f>+A61+1</f>
        <v>30</v>
      </c>
      <c r="B63" s="253">
        <f>+STUD!B31</f>
        <v>0</v>
      </c>
      <c r="C63" s="244">
        <f>SUM(D64:AB64)</f>
        <v>0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11"/>
      <c r="Y63" s="111"/>
      <c r="Z63" s="111"/>
      <c r="AA63" s="111"/>
      <c r="AB63" s="111"/>
      <c r="AC63" s="243">
        <f>SUM(D64:AB64)</f>
        <v>0</v>
      </c>
    </row>
    <row r="64" spans="1:29" ht="15" hidden="1" customHeight="1" x14ac:dyDescent="0.4">
      <c r="A64" s="242"/>
      <c r="B64" s="253"/>
      <c r="C64" s="245"/>
      <c r="D64" s="108">
        <f t="shared" ref="D64:AB64" si="37">IF(IFERROR(IF(VLOOKUP(D63,D$151:D$155,1,0)&gt;=1,D$150,0),D63)=D$132,D$136,IF(IFERROR(IF(VLOOKUP(D63,D$151:D$155,1,0)&gt;=1,D$150,0),D63)=D$139,D$142,IF(IFERROR(IF(VLOOKUP(D63,D$151:D$155,1,0)&gt;=1,D$150,0),D63)=D$145,D$147,0)))</f>
        <v>0</v>
      </c>
      <c r="E64" s="108">
        <f t="shared" si="37"/>
        <v>0</v>
      </c>
      <c r="F64" s="108">
        <f t="shared" si="37"/>
        <v>0</v>
      </c>
      <c r="G64" s="108">
        <f t="shared" si="37"/>
        <v>0</v>
      </c>
      <c r="H64" s="108">
        <f t="shared" si="37"/>
        <v>0</v>
      </c>
      <c r="I64" s="108">
        <f t="shared" si="37"/>
        <v>0</v>
      </c>
      <c r="J64" s="108">
        <f t="shared" si="37"/>
        <v>0</v>
      </c>
      <c r="K64" s="108">
        <f t="shared" si="37"/>
        <v>0</v>
      </c>
      <c r="L64" s="108">
        <f t="shared" si="37"/>
        <v>0</v>
      </c>
      <c r="M64" s="108">
        <f t="shared" si="37"/>
        <v>0</v>
      </c>
      <c r="N64" s="108">
        <f t="shared" si="37"/>
        <v>0</v>
      </c>
      <c r="O64" s="108">
        <f t="shared" si="37"/>
        <v>0</v>
      </c>
      <c r="P64" s="108">
        <f t="shared" si="37"/>
        <v>0</v>
      </c>
      <c r="Q64" s="108">
        <f t="shared" si="37"/>
        <v>0</v>
      </c>
      <c r="R64" s="108">
        <f t="shared" si="37"/>
        <v>0</v>
      </c>
      <c r="S64" s="108">
        <f t="shared" si="37"/>
        <v>0</v>
      </c>
      <c r="T64" s="108">
        <f t="shared" si="37"/>
        <v>0</v>
      </c>
      <c r="U64" s="108">
        <f t="shared" si="37"/>
        <v>0</v>
      </c>
      <c r="V64" s="108">
        <f t="shared" si="37"/>
        <v>0</v>
      </c>
      <c r="W64" s="108">
        <f t="shared" si="37"/>
        <v>0</v>
      </c>
      <c r="X64" s="108">
        <f t="shared" si="37"/>
        <v>0</v>
      </c>
      <c r="Y64" s="108">
        <f t="shared" si="37"/>
        <v>0</v>
      </c>
      <c r="Z64" s="108">
        <f t="shared" si="37"/>
        <v>0</v>
      </c>
      <c r="AA64" s="108">
        <f t="shared" si="37"/>
        <v>0</v>
      </c>
      <c r="AB64" s="108">
        <f t="shared" si="37"/>
        <v>0</v>
      </c>
      <c r="AC64" s="243"/>
    </row>
    <row r="65" spans="1:40" ht="15.75" hidden="1" customHeight="1" x14ac:dyDescent="0.4">
      <c r="A65" s="252">
        <f>+A63+1</f>
        <v>31</v>
      </c>
      <c r="B65" s="253">
        <f>+STUD!B32</f>
        <v>0</v>
      </c>
      <c r="C65" s="244">
        <f>SUM(D66:AB66)</f>
        <v>0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11"/>
      <c r="Y65" s="111"/>
      <c r="Z65" s="111"/>
      <c r="AA65" s="111"/>
      <c r="AB65" s="111"/>
      <c r="AC65" s="243">
        <f>SUM(D66:AB66)</f>
        <v>0</v>
      </c>
    </row>
    <row r="66" spans="1:40" ht="15.75" hidden="1" customHeight="1" x14ac:dyDescent="0.4">
      <c r="A66" s="242"/>
      <c r="B66" s="253"/>
      <c r="C66" s="245"/>
      <c r="D66" s="108">
        <f t="shared" ref="D66:AB66" si="38">IF(IFERROR(IF(VLOOKUP(D65,D$151:D$155,1,0)&gt;=1,D$150,0),D65)=D$132,D$136,IF(IFERROR(IF(VLOOKUP(D65,D$151:D$155,1,0)&gt;=1,D$150,0),D65)=D$139,D$142,IF(IFERROR(IF(VLOOKUP(D65,D$151:D$155,1,0)&gt;=1,D$150,0),D65)=D$145,D$147,0)))</f>
        <v>0</v>
      </c>
      <c r="E66" s="108">
        <f t="shared" si="38"/>
        <v>0</v>
      </c>
      <c r="F66" s="108">
        <f t="shared" si="38"/>
        <v>0</v>
      </c>
      <c r="G66" s="108">
        <f t="shared" si="38"/>
        <v>0</v>
      </c>
      <c r="H66" s="108">
        <f t="shared" si="38"/>
        <v>0</v>
      </c>
      <c r="I66" s="108">
        <f t="shared" si="38"/>
        <v>0</v>
      </c>
      <c r="J66" s="108">
        <f t="shared" si="38"/>
        <v>0</v>
      </c>
      <c r="K66" s="108">
        <f t="shared" si="38"/>
        <v>0</v>
      </c>
      <c r="L66" s="108">
        <f t="shared" si="38"/>
        <v>0</v>
      </c>
      <c r="M66" s="108">
        <f t="shared" si="38"/>
        <v>0</v>
      </c>
      <c r="N66" s="108">
        <f t="shared" si="38"/>
        <v>0</v>
      </c>
      <c r="O66" s="108">
        <f t="shared" si="38"/>
        <v>0</v>
      </c>
      <c r="P66" s="108">
        <f t="shared" si="38"/>
        <v>0</v>
      </c>
      <c r="Q66" s="108">
        <f t="shared" si="38"/>
        <v>0</v>
      </c>
      <c r="R66" s="108">
        <f t="shared" si="38"/>
        <v>0</v>
      </c>
      <c r="S66" s="108">
        <f t="shared" si="38"/>
        <v>0</v>
      </c>
      <c r="T66" s="108">
        <f t="shared" si="38"/>
        <v>0</v>
      </c>
      <c r="U66" s="108">
        <f t="shared" si="38"/>
        <v>0</v>
      </c>
      <c r="V66" s="108">
        <f t="shared" si="38"/>
        <v>0</v>
      </c>
      <c r="W66" s="108">
        <f t="shared" si="38"/>
        <v>0</v>
      </c>
      <c r="X66" s="108">
        <f t="shared" si="38"/>
        <v>0</v>
      </c>
      <c r="Y66" s="108">
        <f t="shared" si="38"/>
        <v>0</v>
      </c>
      <c r="Z66" s="108">
        <f t="shared" si="38"/>
        <v>0</v>
      </c>
      <c r="AA66" s="108">
        <f t="shared" si="38"/>
        <v>0</v>
      </c>
      <c r="AB66" s="108">
        <f t="shared" si="38"/>
        <v>0</v>
      </c>
      <c r="AC66" s="243"/>
    </row>
    <row r="67" spans="1:40" ht="15.75" hidden="1" customHeight="1" x14ac:dyDescent="0.4">
      <c r="A67" s="252">
        <f>+A65+1</f>
        <v>32</v>
      </c>
      <c r="B67" s="253">
        <f>+STUD!B33</f>
        <v>0</v>
      </c>
      <c r="C67" s="244">
        <f>SUM(D68:AB68)</f>
        <v>0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11"/>
      <c r="Y67" s="111"/>
      <c r="Z67" s="111"/>
      <c r="AA67" s="111"/>
      <c r="AB67" s="111"/>
      <c r="AC67" s="243">
        <f>SUM(D68:AB68)</f>
        <v>0</v>
      </c>
    </row>
    <row r="68" spans="1:40" ht="15.75" hidden="1" customHeight="1" x14ac:dyDescent="0.4">
      <c r="A68" s="242"/>
      <c r="B68" s="253"/>
      <c r="C68" s="245"/>
      <c r="D68" s="108">
        <f t="shared" ref="D68:AB68" si="39">IF(IFERROR(IF(VLOOKUP(D67,D$151:D$155,1,0)&gt;=1,D$150,0),D67)=D$132,D$136,IF(IFERROR(IF(VLOOKUP(D67,D$151:D$155,1,0)&gt;=1,D$150,0),D67)=D$139,D$142,IF(IFERROR(IF(VLOOKUP(D67,D$151:D$155,1,0)&gt;=1,D$150,0),D67)=D$145,D$147,0)))</f>
        <v>0</v>
      </c>
      <c r="E68" s="108">
        <f t="shared" si="39"/>
        <v>0</v>
      </c>
      <c r="F68" s="108">
        <f t="shared" si="39"/>
        <v>0</v>
      </c>
      <c r="G68" s="108">
        <f t="shared" si="39"/>
        <v>0</v>
      </c>
      <c r="H68" s="108">
        <f t="shared" si="39"/>
        <v>0</v>
      </c>
      <c r="I68" s="108">
        <f t="shared" si="39"/>
        <v>0</v>
      </c>
      <c r="J68" s="108">
        <f t="shared" si="39"/>
        <v>0</v>
      </c>
      <c r="K68" s="108">
        <f t="shared" si="39"/>
        <v>0</v>
      </c>
      <c r="L68" s="108">
        <f t="shared" si="39"/>
        <v>0</v>
      </c>
      <c r="M68" s="108">
        <f t="shared" si="39"/>
        <v>0</v>
      </c>
      <c r="N68" s="108">
        <f t="shared" si="39"/>
        <v>0</v>
      </c>
      <c r="O68" s="108">
        <f t="shared" si="39"/>
        <v>0</v>
      </c>
      <c r="P68" s="108">
        <f t="shared" si="39"/>
        <v>0</v>
      </c>
      <c r="Q68" s="108">
        <f t="shared" si="39"/>
        <v>0</v>
      </c>
      <c r="R68" s="108">
        <f t="shared" si="39"/>
        <v>0</v>
      </c>
      <c r="S68" s="108">
        <f t="shared" si="39"/>
        <v>0</v>
      </c>
      <c r="T68" s="108">
        <f t="shared" si="39"/>
        <v>0</v>
      </c>
      <c r="U68" s="108">
        <f t="shared" si="39"/>
        <v>0</v>
      </c>
      <c r="V68" s="108">
        <f t="shared" si="39"/>
        <v>0</v>
      </c>
      <c r="W68" s="108">
        <f t="shared" si="39"/>
        <v>0</v>
      </c>
      <c r="X68" s="108">
        <f t="shared" si="39"/>
        <v>0</v>
      </c>
      <c r="Y68" s="108">
        <f t="shared" si="39"/>
        <v>0</v>
      </c>
      <c r="Z68" s="108">
        <f t="shared" si="39"/>
        <v>0</v>
      </c>
      <c r="AA68" s="108">
        <f t="shared" si="39"/>
        <v>0</v>
      </c>
      <c r="AB68" s="108">
        <f t="shared" si="39"/>
        <v>0</v>
      </c>
      <c r="AC68" s="243"/>
    </row>
    <row r="69" spans="1:40" ht="15.75" customHeight="1" x14ac:dyDescent="0.4">
      <c r="A69" s="272" t="s">
        <v>20</v>
      </c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273"/>
      <c r="P69" s="273"/>
      <c r="Q69" s="273"/>
      <c r="R69" s="273"/>
      <c r="S69" s="273"/>
      <c r="T69" s="273"/>
      <c r="U69" s="273"/>
      <c r="V69" s="273"/>
      <c r="W69" s="273"/>
      <c r="X69" s="273"/>
      <c r="Y69" s="273"/>
      <c r="Z69" s="273"/>
      <c r="AA69" s="273"/>
      <c r="AB69" s="273"/>
      <c r="AC69" s="274"/>
    </row>
    <row r="70" spans="1:40" ht="15.75" customHeight="1" x14ac:dyDescent="0.4">
      <c r="A70" s="275"/>
      <c r="B70" s="276"/>
      <c r="C70" s="276"/>
      <c r="D70" s="276"/>
      <c r="E70" s="276"/>
      <c r="F70" s="276"/>
      <c r="G70" s="276"/>
      <c r="H70" s="276"/>
      <c r="I70" s="276"/>
      <c r="J70" s="276"/>
      <c r="K70" s="276"/>
      <c r="L70" s="276"/>
      <c r="M70" s="276"/>
      <c r="N70" s="276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7"/>
    </row>
    <row r="71" spans="1:40" ht="15.75" customHeight="1" x14ac:dyDescent="0.4">
      <c r="A71" s="278"/>
      <c r="B71" s="279"/>
      <c r="C71" s="279"/>
      <c r="D71" s="279"/>
      <c r="E71" s="279"/>
      <c r="F71" s="279"/>
      <c r="G71" s="279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  <c r="Z71" s="279"/>
      <c r="AA71" s="279"/>
      <c r="AB71" s="279"/>
      <c r="AC71" s="280"/>
    </row>
    <row r="72" spans="1:40" ht="15.75" customHeight="1" x14ac:dyDescent="0.4">
      <c r="A72" s="116" t="s">
        <v>0</v>
      </c>
      <c r="B72" s="116" t="s">
        <v>14</v>
      </c>
      <c r="C72" s="116" t="s">
        <v>19</v>
      </c>
      <c r="D72" s="116">
        <v>1</v>
      </c>
      <c r="E72" s="116">
        <v>2</v>
      </c>
      <c r="F72" s="116">
        <v>3</v>
      </c>
      <c r="G72" s="116">
        <v>4</v>
      </c>
      <c r="H72" s="116">
        <v>5</v>
      </c>
      <c r="I72" s="116">
        <v>6</v>
      </c>
      <c r="J72" s="116">
        <v>7</v>
      </c>
      <c r="K72" s="116">
        <v>8</v>
      </c>
      <c r="L72" s="116">
        <v>9</v>
      </c>
      <c r="M72" s="116">
        <v>10</v>
      </c>
      <c r="N72" s="116">
        <v>11</v>
      </c>
      <c r="O72" s="116">
        <v>12</v>
      </c>
      <c r="P72" s="116">
        <v>13</v>
      </c>
      <c r="Q72" s="116">
        <v>14</v>
      </c>
      <c r="R72" s="116">
        <v>15</v>
      </c>
      <c r="S72" s="116">
        <v>16</v>
      </c>
      <c r="T72" s="116">
        <v>17</v>
      </c>
      <c r="U72" s="116">
        <v>18</v>
      </c>
      <c r="V72" s="116">
        <v>19</v>
      </c>
      <c r="W72" s="116">
        <v>20</v>
      </c>
      <c r="X72" s="116">
        <v>21</v>
      </c>
      <c r="Y72" s="116">
        <v>22</v>
      </c>
      <c r="Z72" s="116">
        <v>23</v>
      </c>
      <c r="AA72" s="116">
        <v>24</v>
      </c>
      <c r="AB72" s="116">
        <v>25</v>
      </c>
      <c r="AC72" s="16" t="s">
        <v>19</v>
      </c>
      <c r="AE72" s="264" t="s">
        <v>53</v>
      </c>
      <c r="AF72" s="265"/>
      <c r="AG72" s="265"/>
      <c r="AH72" s="266"/>
      <c r="AI72" s="194">
        <v>12</v>
      </c>
      <c r="AJ72" s="194"/>
      <c r="AK72" s="194">
        <v>8</v>
      </c>
      <c r="AL72" s="194"/>
      <c r="AM72" s="194">
        <v>9</v>
      </c>
      <c r="AN72" s="194"/>
    </row>
    <row r="73" spans="1:40" ht="15.75" customHeight="1" x14ac:dyDescent="0.4">
      <c r="A73" s="242">
        <v>1</v>
      </c>
      <c r="B73" s="243">
        <f>STUD!D35</f>
        <v>0</v>
      </c>
      <c r="C73" s="244">
        <f>SUM(D74:AB74)</f>
        <v>25.5</v>
      </c>
      <c r="D73" s="14">
        <v>2</v>
      </c>
      <c r="E73" s="14">
        <v>5</v>
      </c>
      <c r="F73" s="14">
        <v>1</v>
      </c>
      <c r="G73" s="14">
        <v>4</v>
      </c>
      <c r="H73" s="14">
        <v>12</v>
      </c>
      <c r="I73" s="14">
        <v>9</v>
      </c>
      <c r="J73" s="14">
        <v>11</v>
      </c>
      <c r="K73" s="14">
        <v>7</v>
      </c>
      <c r="L73" s="14">
        <v>1</v>
      </c>
      <c r="M73" s="14">
        <v>7</v>
      </c>
      <c r="N73" s="14">
        <v>9</v>
      </c>
      <c r="O73" s="139">
        <v>9</v>
      </c>
      <c r="P73" s="14">
        <v>6</v>
      </c>
      <c r="Q73" s="14">
        <v>6</v>
      </c>
      <c r="R73" s="14">
        <v>14</v>
      </c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243">
        <f>SUM(D74:AB74)</f>
        <v>25.5</v>
      </c>
      <c r="AE73" s="141" t="s">
        <v>37</v>
      </c>
      <c r="AF73" s="141" t="s">
        <v>14</v>
      </c>
      <c r="AG73" s="169" t="s">
        <v>15</v>
      </c>
      <c r="AH73" s="169" t="s">
        <v>52</v>
      </c>
      <c r="AI73" s="195" t="str">
        <f>"Prono Carrera "&amp;AI72</f>
        <v>Prono Carrera 12</v>
      </c>
      <c r="AJ73" s="195" t="s">
        <v>42</v>
      </c>
      <c r="AK73" s="195" t="str">
        <f>"Prono Carrera "&amp;AK72</f>
        <v>Prono Carrera 8</v>
      </c>
      <c r="AL73" s="195" t="s">
        <v>42</v>
      </c>
      <c r="AM73" s="195" t="str">
        <f>"Prono Carrera "&amp;AM72</f>
        <v>Prono Carrera 9</v>
      </c>
      <c r="AN73" s="195" t="s">
        <v>42</v>
      </c>
    </row>
    <row r="74" spans="1:40" ht="15.75" customHeight="1" x14ac:dyDescent="0.4">
      <c r="A74" s="242"/>
      <c r="B74" s="243"/>
      <c r="C74" s="245"/>
      <c r="D74" s="138">
        <f t="shared" ref="D74:AB74" si="40">IF(IFERROR(IF(VLOOKUP(D73,D$151:D$155,1,0)&gt;=1,D$150,0),D73)=D$132,D$136,IF(IFERROR(IF(VLOOKUP(D73,D$151:D$155,1,0)&gt;=1,D$150,0),D73)=D$139,D$142,IF(IFERROR(IF(VLOOKUP(D73,D$151:D$155,1,0)&gt;=1,D$150,0),D73)=D$145,D$147,0)))</f>
        <v>5.3000000000000007</v>
      </c>
      <c r="E74" s="138">
        <f t="shared" si="40"/>
        <v>0</v>
      </c>
      <c r="F74" s="138">
        <f t="shared" si="40"/>
        <v>9.8000000000000007</v>
      </c>
      <c r="G74" s="138">
        <f t="shared" si="40"/>
        <v>0</v>
      </c>
      <c r="H74" s="138">
        <f t="shared" si="40"/>
        <v>1.8</v>
      </c>
      <c r="I74" s="138">
        <f t="shared" si="40"/>
        <v>0</v>
      </c>
      <c r="J74" s="138">
        <f t="shared" si="40"/>
        <v>1.8</v>
      </c>
      <c r="K74" s="138">
        <f t="shared" si="40"/>
        <v>0</v>
      </c>
      <c r="L74" s="138">
        <f t="shared" si="40"/>
        <v>2.7</v>
      </c>
      <c r="M74" s="138">
        <f t="shared" si="40"/>
        <v>0</v>
      </c>
      <c r="N74" s="138">
        <f t="shared" si="40"/>
        <v>0</v>
      </c>
      <c r="O74" s="138">
        <f t="shared" si="40"/>
        <v>0</v>
      </c>
      <c r="P74" s="138">
        <f t="shared" si="40"/>
        <v>0</v>
      </c>
      <c r="Q74" s="138">
        <f t="shared" si="40"/>
        <v>4.0999999999999996</v>
      </c>
      <c r="R74" s="138">
        <f t="shared" si="40"/>
        <v>0</v>
      </c>
      <c r="S74" s="138">
        <f t="shared" si="40"/>
        <v>0</v>
      </c>
      <c r="T74" s="138">
        <f t="shared" si="40"/>
        <v>0</v>
      </c>
      <c r="U74" s="138">
        <f t="shared" si="40"/>
        <v>0</v>
      </c>
      <c r="V74" s="138">
        <f t="shared" si="40"/>
        <v>0</v>
      </c>
      <c r="W74" s="138">
        <f t="shared" si="40"/>
        <v>0</v>
      </c>
      <c r="X74" s="138">
        <f t="shared" si="40"/>
        <v>0</v>
      </c>
      <c r="Y74" s="138">
        <f t="shared" si="40"/>
        <v>0</v>
      </c>
      <c r="Z74" s="138">
        <f t="shared" si="40"/>
        <v>0</v>
      </c>
      <c r="AA74" s="138">
        <f t="shared" si="40"/>
        <v>0</v>
      </c>
      <c r="AB74" s="138">
        <f t="shared" si="40"/>
        <v>0</v>
      </c>
      <c r="AC74" s="243"/>
      <c r="AE74" s="170">
        <v>1</v>
      </c>
      <c r="AF74" s="171" t="str">
        <f>IF(ISBLANK(STUD!D47)," ",STUD!D47)</f>
        <v xml:space="preserve"> </v>
      </c>
      <c r="AG74" s="183">
        <f t="shared" ref="AG74:AG101" si="41">IFERROR(VLOOKUP(AF74,$B$73:$C$128,2,0),0)</f>
        <v>0</v>
      </c>
      <c r="AH74" s="183"/>
      <c r="AI74" s="182" t="str">
        <f>IFERROR(
   VLOOKUP(AF74, $B$73:$Y$128, CHOOSE($AI$72, 3, 4, 5, 6, 7, 8, 9, 10, 11, 12, 13, 14, 15, 16, 17, 18, 19, 20, 21, 22, 23, 24, 25, 26, 27, 28, 29), 0),
   " "
)</f>
        <v xml:space="preserve"> </v>
      </c>
      <c r="AJ74" s="182" t="str">
        <f>IF(AI74="","",IFERROR(IF(VLOOKUP(AI74,Programa!$L$3:$M$18,2,0)="","",VLOOKUP(AI74,Programa!$L$3:$M$18,2,0)),""))</f>
        <v/>
      </c>
      <c r="AK74" s="182" t="str">
        <f>IFERROR(
   VLOOKUP(AF74, $B$73:$Y$128, CHOOSE($AK$72, 3, 4, 5, 6, 7, 8, 9, 10, 11, 12, 13, 14, 15, 16, 17, 18, 19, 20, 21, 22, 23, 24, 25, 26, 27, 28, 29), 0),
   " "
)</f>
        <v xml:space="preserve"> </v>
      </c>
      <c r="AL74" s="182" t="str">
        <f>IF(AK74="","",IFERROR(IF(VLOOKUP(AK74,Programa!$L$19:$M$34,2,0)="","",VLOOKUP(AK74,Programa!$L$19:$M$34,2,0)),""))</f>
        <v/>
      </c>
      <c r="AM74" s="182" t="str">
        <f>IFERROR(
   VLOOKUP(AF74, $B$73:$Y$128, CHOOSE($AM$72, 3, 4, 5, 6, 7, 8, 9, 10, 11, 12, 13, 14, 15, 16, 17, 18, 19, 20, 21, 22, 23, 24, 25, 26, 27, 28, 29), 0),
   " "
)</f>
        <v xml:space="preserve"> </v>
      </c>
      <c r="AN74" s="182" t="str">
        <f>IF(AM74="","",IFERROR(IF(VLOOKUP(AM74,Programa!$L$35:$M$50,2,0)="","",VLOOKUP(AM74,Programa!$L$35:$M$50,2,0)),""))</f>
        <v/>
      </c>
    </row>
    <row r="75" spans="1:40" ht="15.75" customHeight="1" x14ac:dyDescent="0.4">
      <c r="A75" s="242">
        <f>+A73+1</f>
        <v>2</v>
      </c>
      <c r="B75" s="243">
        <f>STUD!D36</f>
        <v>0</v>
      </c>
      <c r="C75" s="244">
        <f>SUM(D76:AB76)</f>
        <v>39.200000000000003</v>
      </c>
      <c r="D75" s="14">
        <v>2</v>
      </c>
      <c r="E75" s="14">
        <v>9</v>
      </c>
      <c r="F75" s="14">
        <v>6</v>
      </c>
      <c r="G75" s="14">
        <v>1</v>
      </c>
      <c r="H75" s="14">
        <v>7</v>
      </c>
      <c r="I75" s="14">
        <v>9</v>
      </c>
      <c r="J75" s="14">
        <v>10</v>
      </c>
      <c r="K75" s="14">
        <v>2</v>
      </c>
      <c r="L75" s="14">
        <v>8</v>
      </c>
      <c r="M75" s="14">
        <v>5</v>
      </c>
      <c r="N75" s="14">
        <v>5</v>
      </c>
      <c r="O75" s="139">
        <v>2</v>
      </c>
      <c r="P75" s="14">
        <v>11</v>
      </c>
      <c r="Q75" s="14">
        <v>6</v>
      </c>
      <c r="R75" s="14">
        <v>8</v>
      </c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243">
        <f>SUM(D76:AB76)</f>
        <v>39.200000000000003</v>
      </c>
      <c r="AE75" s="172">
        <v>2</v>
      </c>
      <c r="AF75" s="171" t="str">
        <f>IF(ISBLANK(STUD!D55)," ",STUD!D55)</f>
        <v xml:space="preserve"> </v>
      </c>
      <c r="AG75" s="183">
        <f t="shared" si="41"/>
        <v>0</v>
      </c>
      <c r="AH75" s="183">
        <f>$AG$74-AG75</f>
        <v>0</v>
      </c>
      <c r="AI75" s="182" t="str">
        <f t="shared" ref="AI75:AI101" si="42">IFERROR(
   VLOOKUP(AF75, $B$73:$Y$128, CHOOSE($AI$72, 3, 4, 5, 6, 7, 8, 9, 10, 11, 12, 13, 14, 15, 16, 17, 18, 19, 20, 21, 22, 23, 24, 25, 26, 27, 28, 29), 0),
   " "
)</f>
        <v xml:space="preserve"> </v>
      </c>
      <c r="AJ75" s="182" t="str">
        <f>IF(AI75="","",IFERROR(IF(VLOOKUP(AI75,Programa!$L$3:$M$18,2,0)="","",VLOOKUP(AI75,Programa!$L$3:$M$18,2,0)),""))</f>
        <v/>
      </c>
      <c r="AK75" s="182" t="str">
        <f t="shared" ref="AK75:AK101" si="43">IFERROR(
   VLOOKUP(AF75, $B$73:$Y$128, CHOOSE($AK$72, 3, 4, 5, 6, 7, 8, 9, 10, 11, 12, 13, 14, 15, 16, 17, 18, 19, 20, 21, 22, 23, 24, 25, 26, 27, 28, 29), 0),
   " "
)</f>
        <v xml:space="preserve"> </v>
      </c>
      <c r="AL75" s="182" t="str">
        <f>IF(AK75="","",IFERROR(IF(VLOOKUP(AK75,Programa!$L$19:$M$34,2,0)="","",VLOOKUP(AK75,Programa!$L$19:$M$34,2,0)),""))</f>
        <v/>
      </c>
      <c r="AM75" s="182" t="str">
        <f t="shared" ref="AM75:AM101" si="44">IFERROR(
   VLOOKUP(AF75, $B$73:$Y$128, CHOOSE($AM$72, 3, 4, 5, 6, 7, 8, 9, 10, 11, 12, 13, 14, 15, 16, 17, 18, 19, 20, 21, 22, 23, 24, 25, 26, 27, 28, 29), 0),
   " "
)</f>
        <v xml:space="preserve"> </v>
      </c>
      <c r="AN75" s="182" t="str">
        <f>IF(AM75="","",IFERROR(IF(VLOOKUP(AM75,Programa!$L$35:$M$50,2,0)="","",VLOOKUP(AM75,Programa!$L$35:$M$50,2,0)),""))</f>
        <v/>
      </c>
    </row>
    <row r="76" spans="1:40" ht="15.75" customHeight="1" x14ac:dyDescent="0.4">
      <c r="A76" s="242"/>
      <c r="B76" s="243"/>
      <c r="C76" s="245"/>
      <c r="D76" s="138">
        <f t="shared" ref="D76:AB76" si="45">IF(IFERROR(IF(VLOOKUP(D75,D$151:D$155,1,0)&gt;=1,D$150,0),D75)=D$132,D$136,IF(IFERROR(IF(VLOOKUP(D75,D$151:D$155,1,0)&gt;=1,D$150,0),D75)=D$139,D$142,IF(IFERROR(IF(VLOOKUP(D75,D$151:D$155,1,0)&gt;=1,D$150,0),D75)=D$145,D$147,0)))</f>
        <v>5.3000000000000007</v>
      </c>
      <c r="E76" s="138">
        <f t="shared" si="45"/>
        <v>0</v>
      </c>
      <c r="F76" s="138">
        <f t="shared" si="45"/>
        <v>0</v>
      </c>
      <c r="G76" s="138">
        <f t="shared" si="45"/>
        <v>5.6</v>
      </c>
      <c r="H76" s="138">
        <f t="shared" si="45"/>
        <v>0</v>
      </c>
      <c r="I76" s="138">
        <f t="shared" si="45"/>
        <v>0</v>
      </c>
      <c r="J76" s="138">
        <f t="shared" si="45"/>
        <v>1.8</v>
      </c>
      <c r="K76" s="138">
        <f t="shared" si="45"/>
        <v>0</v>
      </c>
      <c r="L76" s="138">
        <f t="shared" si="45"/>
        <v>11.5</v>
      </c>
      <c r="M76" s="138">
        <f t="shared" si="45"/>
        <v>3</v>
      </c>
      <c r="N76" s="138">
        <f t="shared" si="45"/>
        <v>0</v>
      </c>
      <c r="O76" s="138">
        <f t="shared" si="45"/>
        <v>7.9</v>
      </c>
      <c r="P76" s="138">
        <f t="shared" si="45"/>
        <v>0</v>
      </c>
      <c r="Q76" s="138">
        <f t="shared" si="45"/>
        <v>4.0999999999999996</v>
      </c>
      <c r="R76" s="138">
        <f t="shared" si="45"/>
        <v>0</v>
      </c>
      <c r="S76" s="138">
        <f t="shared" si="45"/>
        <v>0</v>
      </c>
      <c r="T76" s="138">
        <f t="shared" si="45"/>
        <v>0</v>
      </c>
      <c r="U76" s="138">
        <f t="shared" si="45"/>
        <v>0</v>
      </c>
      <c r="V76" s="138">
        <f t="shared" si="45"/>
        <v>0</v>
      </c>
      <c r="W76" s="138">
        <f t="shared" si="45"/>
        <v>0</v>
      </c>
      <c r="X76" s="138">
        <f t="shared" si="45"/>
        <v>0</v>
      </c>
      <c r="Y76" s="138">
        <f t="shared" si="45"/>
        <v>0</v>
      </c>
      <c r="Z76" s="138">
        <f t="shared" si="45"/>
        <v>0</v>
      </c>
      <c r="AA76" s="138">
        <f t="shared" si="45"/>
        <v>0</v>
      </c>
      <c r="AB76" s="138">
        <f t="shared" si="45"/>
        <v>0</v>
      </c>
      <c r="AC76" s="243"/>
      <c r="AE76" s="173">
        <v>3</v>
      </c>
      <c r="AF76" s="171" t="str">
        <f>IF(ISBLANK(STUD!D58)," ",STUD!D58)</f>
        <v xml:space="preserve"> </v>
      </c>
      <c r="AG76" s="183">
        <f t="shared" si="41"/>
        <v>0</v>
      </c>
      <c r="AH76" s="183">
        <f t="shared" ref="AH76:AH101" si="46">$AG$74-AG76</f>
        <v>0</v>
      </c>
      <c r="AI76" s="182" t="str">
        <f t="shared" si="42"/>
        <v xml:space="preserve"> </v>
      </c>
      <c r="AJ76" s="182" t="str">
        <f>IF(AI76="","",IFERROR(IF(VLOOKUP(AI76,Programa!$L$3:$M$18,2,0)="","",VLOOKUP(AI76,Programa!$L$3:$M$18,2,0)),""))</f>
        <v/>
      </c>
      <c r="AK76" s="182" t="str">
        <f t="shared" si="43"/>
        <v xml:space="preserve"> </v>
      </c>
      <c r="AL76" s="182" t="str">
        <f>IF(AK76="","",IFERROR(IF(VLOOKUP(AK76,Programa!$L$19:$M$34,2,0)="","",VLOOKUP(AK76,Programa!$L$19:$M$34,2,0)),""))</f>
        <v/>
      </c>
      <c r="AM76" s="182" t="str">
        <f t="shared" si="44"/>
        <v xml:space="preserve"> </v>
      </c>
      <c r="AN76" s="182" t="str">
        <f>IF(AM76="","",IFERROR(IF(VLOOKUP(AM76,Programa!$L$35:$M$50,2,0)="","",VLOOKUP(AM76,Programa!$L$35:$M$50,2,0)),""))</f>
        <v/>
      </c>
    </row>
    <row r="77" spans="1:40" ht="15.75" customHeight="1" x14ac:dyDescent="0.4">
      <c r="A77" s="242">
        <f>+A75+1</f>
        <v>3</v>
      </c>
      <c r="B77" s="243">
        <f>STUD!D37</f>
        <v>0</v>
      </c>
      <c r="C77" s="244">
        <f>SUM(D78:AB78)</f>
        <v>18.799999999999997</v>
      </c>
      <c r="D77" s="14">
        <v>6</v>
      </c>
      <c r="E77" s="14">
        <v>9</v>
      </c>
      <c r="F77" s="14">
        <v>5</v>
      </c>
      <c r="G77" s="14">
        <v>6</v>
      </c>
      <c r="H77" s="14">
        <v>12</v>
      </c>
      <c r="I77" s="14">
        <v>6</v>
      </c>
      <c r="J77" s="14">
        <v>3</v>
      </c>
      <c r="K77" s="14">
        <v>9</v>
      </c>
      <c r="L77" s="14">
        <v>6</v>
      </c>
      <c r="M77" s="14">
        <v>5</v>
      </c>
      <c r="N77" s="14">
        <v>8</v>
      </c>
      <c r="O77" s="139">
        <v>2</v>
      </c>
      <c r="P77" s="14">
        <v>12</v>
      </c>
      <c r="Q77" s="14">
        <v>2</v>
      </c>
      <c r="R77" s="14">
        <v>14</v>
      </c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243">
        <f>SUM(D78:AB78)</f>
        <v>18.799999999999997</v>
      </c>
      <c r="AE77" s="174">
        <v>4</v>
      </c>
      <c r="AF77" s="171" t="str">
        <f>IF(ISBLANK(STUD!D53)," ",STUD!D53)</f>
        <v xml:space="preserve"> </v>
      </c>
      <c r="AG77" s="183">
        <f t="shared" si="41"/>
        <v>0</v>
      </c>
      <c r="AH77" s="183">
        <f t="shared" si="46"/>
        <v>0</v>
      </c>
      <c r="AI77" s="182" t="str">
        <f t="shared" si="42"/>
        <v xml:space="preserve"> </v>
      </c>
      <c r="AJ77" s="182" t="str">
        <f>IF(AI77="","",IFERROR(IF(VLOOKUP(AI77,Programa!$L$3:$M$18,2,0)="","",VLOOKUP(AI77,Programa!$L$3:$M$18,2,0)),""))</f>
        <v/>
      </c>
      <c r="AK77" s="182" t="str">
        <f t="shared" si="43"/>
        <v xml:space="preserve"> </v>
      </c>
      <c r="AL77" s="182" t="str">
        <f>IF(AK77="","",IFERROR(IF(VLOOKUP(AK77,Programa!$L$19:$M$34,2,0)="","",VLOOKUP(AK77,Programa!$L$19:$M$34,2,0)),""))</f>
        <v/>
      </c>
      <c r="AM77" s="182" t="str">
        <f t="shared" si="44"/>
        <v xml:space="preserve"> </v>
      </c>
      <c r="AN77" s="182" t="str">
        <f>IF(AM77="","",IFERROR(IF(VLOOKUP(AM77,Programa!$L$35:$M$50,2,0)="","",VLOOKUP(AM77,Programa!$L$35:$M$50,2,0)),""))</f>
        <v/>
      </c>
    </row>
    <row r="78" spans="1:40" ht="15.75" customHeight="1" x14ac:dyDescent="0.4">
      <c r="A78" s="242"/>
      <c r="B78" s="243"/>
      <c r="C78" s="245"/>
      <c r="D78" s="138">
        <f t="shared" ref="D78:AB78" si="47">IF(IFERROR(IF(VLOOKUP(D77,D$151:D$155,1,0)&gt;=1,D$150,0),D77)=D$132,D$136,IF(IFERROR(IF(VLOOKUP(D77,D$151:D$155,1,0)&gt;=1,D$150,0),D77)=D$139,D$142,IF(IFERROR(IF(VLOOKUP(D77,D$151:D$155,1,0)&gt;=1,D$150,0),D77)=D$145,D$147,0)))</f>
        <v>4.5999999999999996</v>
      </c>
      <c r="E78" s="138">
        <f t="shared" si="47"/>
        <v>0</v>
      </c>
      <c r="F78" s="138">
        <f t="shared" si="47"/>
        <v>0</v>
      </c>
      <c r="G78" s="138">
        <f t="shared" si="47"/>
        <v>0</v>
      </c>
      <c r="H78" s="138">
        <f t="shared" si="47"/>
        <v>1.8</v>
      </c>
      <c r="I78" s="138">
        <f t="shared" si="47"/>
        <v>0</v>
      </c>
      <c r="J78" s="138">
        <f t="shared" si="47"/>
        <v>0</v>
      </c>
      <c r="K78" s="138">
        <f t="shared" si="47"/>
        <v>0</v>
      </c>
      <c r="L78" s="138">
        <f t="shared" si="47"/>
        <v>1.5</v>
      </c>
      <c r="M78" s="138">
        <f t="shared" si="47"/>
        <v>3</v>
      </c>
      <c r="N78" s="138">
        <f t="shared" si="47"/>
        <v>0</v>
      </c>
      <c r="O78" s="138">
        <f t="shared" si="47"/>
        <v>7.9</v>
      </c>
      <c r="P78" s="138">
        <f t="shared" si="47"/>
        <v>0</v>
      </c>
      <c r="Q78" s="138">
        <f t="shared" si="47"/>
        <v>0</v>
      </c>
      <c r="R78" s="138">
        <f t="shared" si="47"/>
        <v>0</v>
      </c>
      <c r="S78" s="138">
        <f t="shared" si="47"/>
        <v>0</v>
      </c>
      <c r="T78" s="138">
        <f t="shared" si="47"/>
        <v>0</v>
      </c>
      <c r="U78" s="138">
        <f t="shared" si="47"/>
        <v>0</v>
      </c>
      <c r="V78" s="138">
        <f t="shared" si="47"/>
        <v>0</v>
      </c>
      <c r="W78" s="138">
        <f t="shared" si="47"/>
        <v>0</v>
      </c>
      <c r="X78" s="138">
        <f t="shared" si="47"/>
        <v>0</v>
      </c>
      <c r="Y78" s="138">
        <f t="shared" si="47"/>
        <v>0</v>
      </c>
      <c r="Z78" s="138">
        <f t="shared" si="47"/>
        <v>0</v>
      </c>
      <c r="AA78" s="138">
        <f t="shared" si="47"/>
        <v>0</v>
      </c>
      <c r="AB78" s="138">
        <f t="shared" si="47"/>
        <v>0</v>
      </c>
      <c r="AC78" s="243"/>
      <c r="AE78" s="175">
        <v>5</v>
      </c>
      <c r="AF78" s="171" t="str">
        <f>IF(ISBLANK(STUD!D46)," ",STUD!D46)</f>
        <v xml:space="preserve"> </v>
      </c>
      <c r="AG78" s="183">
        <f t="shared" si="41"/>
        <v>0</v>
      </c>
      <c r="AH78" s="183">
        <f t="shared" si="46"/>
        <v>0</v>
      </c>
      <c r="AI78" s="182" t="str">
        <f t="shared" si="42"/>
        <v xml:space="preserve"> </v>
      </c>
      <c r="AJ78" s="182" t="str">
        <f>IF(AI78="","",IFERROR(IF(VLOOKUP(AI78,Programa!$L$3:$M$18,2,0)="","",VLOOKUP(AI78,Programa!$L$3:$M$18,2,0)),""))</f>
        <v/>
      </c>
      <c r="AK78" s="182" t="str">
        <f t="shared" si="43"/>
        <v xml:space="preserve"> </v>
      </c>
      <c r="AL78" s="182" t="str">
        <f>IF(AK78="","",IFERROR(IF(VLOOKUP(AK78,Programa!$L$19:$M$34,2,0)="","",VLOOKUP(AK78,Programa!$L$19:$M$34,2,0)),""))</f>
        <v/>
      </c>
      <c r="AM78" s="182" t="str">
        <f t="shared" si="44"/>
        <v xml:space="preserve"> </v>
      </c>
      <c r="AN78" s="182" t="str">
        <f>IF(AM78="","",IFERROR(IF(VLOOKUP(AM78,Programa!$L$35:$M$50,2,0)="","",VLOOKUP(AM78,Programa!$L$35:$M$50,2,0)),""))</f>
        <v/>
      </c>
    </row>
    <row r="79" spans="1:40" ht="15.75" customHeight="1" x14ac:dyDescent="0.4">
      <c r="A79" s="242">
        <f>+A77+1</f>
        <v>4</v>
      </c>
      <c r="B79" s="243">
        <f>STUD!D38</f>
        <v>0</v>
      </c>
      <c r="C79" s="244">
        <f>SUM(D80:AB80)</f>
        <v>34</v>
      </c>
      <c r="D79" s="14">
        <v>2</v>
      </c>
      <c r="E79" s="14">
        <v>3</v>
      </c>
      <c r="F79" s="14">
        <v>3</v>
      </c>
      <c r="G79" s="14">
        <v>10</v>
      </c>
      <c r="H79" s="14">
        <v>6</v>
      </c>
      <c r="I79" s="14">
        <v>8</v>
      </c>
      <c r="J79" s="14">
        <v>3</v>
      </c>
      <c r="K79" s="14">
        <v>4</v>
      </c>
      <c r="L79" s="14">
        <v>3</v>
      </c>
      <c r="M79" s="14">
        <v>9</v>
      </c>
      <c r="N79" s="14">
        <v>9</v>
      </c>
      <c r="O79" s="139">
        <v>4</v>
      </c>
      <c r="P79" s="14">
        <v>14</v>
      </c>
      <c r="Q79" s="14">
        <v>2</v>
      </c>
      <c r="R79" s="14">
        <v>5</v>
      </c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243">
        <f>SUM(D80:AB80)</f>
        <v>34</v>
      </c>
      <c r="AE79" s="176">
        <v>6</v>
      </c>
      <c r="AF79" s="171" t="str">
        <f>IF(ISBLANK(STUD!D48)," ",STUD!D48)</f>
        <v xml:space="preserve"> </v>
      </c>
      <c r="AG79" s="183">
        <f t="shared" si="41"/>
        <v>0</v>
      </c>
      <c r="AH79" s="183">
        <f t="shared" si="46"/>
        <v>0</v>
      </c>
      <c r="AI79" s="182" t="str">
        <f t="shared" si="42"/>
        <v xml:space="preserve"> </v>
      </c>
      <c r="AJ79" s="182" t="str">
        <f>IF(AI79="","",IFERROR(IF(VLOOKUP(AI79,Programa!$L$3:$M$18,2,0)="","",VLOOKUP(AI79,Programa!$L$3:$M$18,2,0)),""))</f>
        <v/>
      </c>
      <c r="AK79" s="182" t="str">
        <f t="shared" si="43"/>
        <v xml:space="preserve"> </v>
      </c>
      <c r="AL79" s="182" t="str">
        <f>IF(AK79="","",IFERROR(IF(VLOOKUP(AK79,Programa!$L$19:$M$34,2,0)="","",VLOOKUP(AK79,Programa!$L$19:$M$34,2,0)),""))</f>
        <v/>
      </c>
      <c r="AM79" s="182" t="str">
        <f t="shared" si="44"/>
        <v xml:space="preserve"> </v>
      </c>
      <c r="AN79" s="182" t="str">
        <f>IF(AM79="","",IFERROR(IF(VLOOKUP(AM79,Programa!$L$35:$M$50,2,0)="","",VLOOKUP(AM79,Programa!$L$35:$M$50,2,0)),""))</f>
        <v/>
      </c>
    </row>
    <row r="80" spans="1:40" ht="15.75" customHeight="1" x14ac:dyDescent="0.4">
      <c r="A80" s="242"/>
      <c r="B80" s="243"/>
      <c r="C80" s="245"/>
      <c r="D80" s="138">
        <f t="shared" ref="D80:AB80" si="48">IF(IFERROR(IF(VLOOKUP(D79,D$151:D$155,1,0)&gt;=1,D$150,0),D79)=D$132,D$136,IF(IFERROR(IF(VLOOKUP(D79,D$151:D$155,1,0)&gt;=1,D$150,0),D79)=D$139,D$142,IF(IFERROR(IF(VLOOKUP(D79,D$151:D$155,1,0)&gt;=1,D$150,0),D79)=D$145,D$147,0)))</f>
        <v>5.3000000000000007</v>
      </c>
      <c r="E80" s="138">
        <f t="shared" si="48"/>
        <v>0</v>
      </c>
      <c r="F80" s="138">
        <f t="shared" si="48"/>
        <v>0</v>
      </c>
      <c r="G80" s="138">
        <f t="shared" si="48"/>
        <v>12.2</v>
      </c>
      <c r="H80" s="138">
        <f t="shared" si="48"/>
        <v>0</v>
      </c>
      <c r="I80" s="138">
        <f t="shared" si="48"/>
        <v>1.6</v>
      </c>
      <c r="J80" s="138">
        <f t="shared" si="48"/>
        <v>0</v>
      </c>
      <c r="K80" s="138">
        <f t="shared" si="48"/>
        <v>4.3</v>
      </c>
      <c r="L80" s="138">
        <f t="shared" si="48"/>
        <v>0</v>
      </c>
      <c r="M80" s="138">
        <f t="shared" si="48"/>
        <v>0</v>
      </c>
      <c r="N80" s="138">
        <f t="shared" si="48"/>
        <v>0</v>
      </c>
      <c r="O80" s="138">
        <f t="shared" si="48"/>
        <v>7.1</v>
      </c>
      <c r="P80" s="138">
        <f t="shared" si="48"/>
        <v>3.5</v>
      </c>
      <c r="Q80" s="138">
        <f t="shared" si="48"/>
        <v>0</v>
      </c>
      <c r="R80" s="138">
        <f t="shared" si="48"/>
        <v>0</v>
      </c>
      <c r="S80" s="138">
        <f t="shared" si="48"/>
        <v>0</v>
      </c>
      <c r="T80" s="138">
        <f t="shared" si="48"/>
        <v>0</v>
      </c>
      <c r="U80" s="138">
        <f t="shared" si="48"/>
        <v>0</v>
      </c>
      <c r="V80" s="138">
        <f t="shared" si="48"/>
        <v>0</v>
      </c>
      <c r="W80" s="138">
        <f t="shared" si="48"/>
        <v>0</v>
      </c>
      <c r="X80" s="138">
        <f t="shared" si="48"/>
        <v>0</v>
      </c>
      <c r="Y80" s="138">
        <f t="shared" si="48"/>
        <v>0</v>
      </c>
      <c r="Z80" s="138">
        <f t="shared" si="48"/>
        <v>0</v>
      </c>
      <c r="AA80" s="138">
        <f t="shared" si="48"/>
        <v>0</v>
      </c>
      <c r="AB80" s="138">
        <f t="shared" si="48"/>
        <v>0</v>
      </c>
      <c r="AC80" s="243"/>
      <c r="AE80" s="177">
        <v>7</v>
      </c>
      <c r="AF80" s="171" t="str">
        <f>IF(ISBLANK(STUD!D50)," ",STUD!D50)</f>
        <v xml:space="preserve"> </v>
      </c>
      <c r="AG80" s="183">
        <f t="shared" si="41"/>
        <v>0</v>
      </c>
      <c r="AH80" s="183">
        <f t="shared" si="46"/>
        <v>0</v>
      </c>
      <c r="AI80" s="182" t="str">
        <f t="shared" si="42"/>
        <v xml:space="preserve"> </v>
      </c>
      <c r="AJ80" s="182" t="str">
        <f>IF(AI80="","",IFERROR(IF(VLOOKUP(AI80,Programa!$L$3:$M$18,2,0)="","",VLOOKUP(AI80,Programa!$L$3:$M$18,2,0)),""))</f>
        <v/>
      </c>
      <c r="AK80" s="182" t="str">
        <f t="shared" si="43"/>
        <v xml:space="preserve"> </v>
      </c>
      <c r="AL80" s="182" t="str">
        <f>IF(AK80="","",IFERROR(IF(VLOOKUP(AK80,Programa!$L$19:$M$34,2,0)="","",VLOOKUP(AK80,Programa!$L$19:$M$34,2,0)),""))</f>
        <v/>
      </c>
      <c r="AM80" s="182" t="str">
        <f t="shared" si="44"/>
        <v xml:space="preserve"> </v>
      </c>
      <c r="AN80" s="182" t="str">
        <f>IF(AM80="","",IFERROR(IF(VLOOKUP(AM80,Programa!$L$35:$M$50,2,0)="","",VLOOKUP(AM80,Programa!$L$35:$M$50,2,0)),""))</f>
        <v/>
      </c>
    </row>
    <row r="81" spans="1:40" ht="15.75" customHeight="1" x14ac:dyDescent="0.4">
      <c r="A81" s="242">
        <f t="shared" ref="A81:A127" si="49">+A79+1</f>
        <v>5</v>
      </c>
      <c r="B81" s="243">
        <f>STUD!D39</f>
        <v>0</v>
      </c>
      <c r="C81" s="244">
        <f>SUM(D82:AB82)</f>
        <v>35.199999999999996</v>
      </c>
      <c r="D81" s="14">
        <v>6</v>
      </c>
      <c r="E81" s="14">
        <v>10</v>
      </c>
      <c r="F81" s="14">
        <v>8</v>
      </c>
      <c r="G81" s="14">
        <v>9</v>
      </c>
      <c r="H81" s="14">
        <v>11</v>
      </c>
      <c r="I81" s="14">
        <v>6</v>
      </c>
      <c r="J81" s="14">
        <v>6</v>
      </c>
      <c r="K81" s="14">
        <v>7</v>
      </c>
      <c r="L81" s="14">
        <v>1</v>
      </c>
      <c r="M81" s="14">
        <v>6</v>
      </c>
      <c r="N81" s="14">
        <v>8</v>
      </c>
      <c r="O81" s="139">
        <v>6</v>
      </c>
      <c r="P81" s="14">
        <v>6</v>
      </c>
      <c r="Q81" s="14">
        <v>6</v>
      </c>
      <c r="R81" s="14">
        <v>3</v>
      </c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243">
        <f>SUM(D82:AB82)</f>
        <v>35.199999999999996</v>
      </c>
      <c r="AE81" s="178">
        <v>8</v>
      </c>
      <c r="AF81" s="171" t="str">
        <f>IF(ISBLANK(STUD!D49)," ",STUD!D49)</f>
        <v xml:space="preserve"> </v>
      </c>
      <c r="AG81" s="183">
        <f t="shared" si="41"/>
        <v>0</v>
      </c>
      <c r="AH81" s="183">
        <f t="shared" si="46"/>
        <v>0</v>
      </c>
      <c r="AI81" s="182" t="str">
        <f t="shared" si="42"/>
        <v xml:space="preserve"> </v>
      </c>
      <c r="AJ81" s="182" t="str">
        <f>IF(AI81="","",IFERROR(IF(VLOOKUP(AI81,Programa!$L$3:$M$18,2,0)="","",VLOOKUP(AI81,Programa!$L$3:$M$18,2,0)),""))</f>
        <v/>
      </c>
      <c r="AK81" s="182" t="str">
        <f t="shared" si="43"/>
        <v xml:space="preserve"> </v>
      </c>
      <c r="AL81" s="182" t="str">
        <f>IF(AK81="","",IFERROR(IF(VLOOKUP(AK81,Programa!$L$19:$M$34,2,0)="","",VLOOKUP(AK81,Programa!$L$19:$M$34,2,0)),""))</f>
        <v/>
      </c>
      <c r="AM81" s="182" t="str">
        <f t="shared" si="44"/>
        <v xml:space="preserve"> </v>
      </c>
      <c r="AN81" s="182" t="str">
        <f>IF(AM81="","",IFERROR(IF(VLOOKUP(AM81,Programa!$L$35:$M$50,2,0)="","",VLOOKUP(AM81,Programa!$L$35:$M$50,2,0)),""))</f>
        <v/>
      </c>
    </row>
    <row r="82" spans="1:40" ht="15.75" customHeight="1" x14ac:dyDescent="0.4">
      <c r="A82" s="242"/>
      <c r="B82" s="243"/>
      <c r="C82" s="245"/>
      <c r="D82" s="138">
        <f t="shared" ref="D82:AB82" si="50">IF(IFERROR(IF(VLOOKUP(D81,D$151:D$155,1,0)&gt;=1,D$150,0),D81)=D$132,D$136,IF(IFERROR(IF(VLOOKUP(D81,D$151:D$155,1,0)&gt;=1,D$150,0),D81)=D$139,D$142,IF(IFERROR(IF(VLOOKUP(D81,D$151:D$155,1,0)&gt;=1,D$150,0),D81)=D$145,D$147,0)))</f>
        <v>4.5999999999999996</v>
      </c>
      <c r="E82" s="138">
        <f t="shared" si="50"/>
        <v>6.4</v>
      </c>
      <c r="F82" s="138">
        <f t="shared" si="50"/>
        <v>2.7</v>
      </c>
      <c r="G82" s="138">
        <f t="shared" si="50"/>
        <v>0</v>
      </c>
      <c r="H82" s="138">
        <f t="shared" si="50"/>
        <v>9.8000000000000007</v>
      </c>
      <c r="I82" s="138">
        <f t="shared" si="50"/>
        <v>0</v>
      </c>
      <c r="J82" s="138">
        <f t="shared" si="50"/>
        <v>4.9000000000000004</v>
      </c>
      <c r="K82" s="138">
        <f t="shared" si="50"/>
        <v>0</v>
      </c>
      <c r="L82" s="138">
        <f t="shared" si="50"/>
        <v>2.7</v>
      </c>
      <c r="M82" s="138">
        <f t="shared" si="50"/>
        <v>0</v>
      </c>
      <c r="N82" s="138">
        <f t="shared" si="50"/>
        <v>0</v>
      </c>
      <c r="O82" s="138">
        <f t="shared" si="50"/>
        <v>0</v>
      </c>
      <c r="P82" s="138">
        <f t="shared" si="50"/>
        <v>0</v>
      </c>
      <c r="Q82" s="138">
        <f t="shared" si="50"/>
        <v>4.0999999999999996</v>
      </c>
      <c r="R82" s="138">
        <f t="shared" si="50"/>
        <v>0</v>
      </c>
      <c r="S82" s="138">
        <f t="shared" si="50"/>
        <v>0</v>
      </c>
      <c r="T82" s="138">
        <f t="shared" si="50"/>
        <v>0</v>
      </c>
      <c r="U82" s="138">
        <f t="shared" si="50"/>
        <v>0</v>
      </c>
      <c r="V82" s="138">
        <f t="shared" si="50"/>
        <v>0</v>
      </c>
      <c r="W82" s="138">
        <f t="shared" si="50"/>
        <v>0</v>
      </c>
      <c r="X82" s="138">
        <f t="shared" si="50"/>
        <v>0</v>
      </c>
      <c r="Y82" s="138">
        <f t="shared" si="50"/>
        <v>0</v>
      </c>
      <c r="Z82" s="138">
        <f t="shared" si="50"/>
        <v>0</v>
      </c>
      <c r="AA82" s="138">
        <f t="shared" si="50"/>
        <v>0</v>
      </c>
      <c r="AB82" s="138">
        <f t="shared" si="50"/>
        <v>0</v>
      </c>
      <c r="AC82" s="243"/>
      <c r="AE82" s="179">
        <v>9</v>
      </c>
      <c r="AF82" s="171" t="str">
        <f>IF(ISBLANK(STUD!D36)," ",STUD!D36)</f>
        <v xml:space="preserve"> </v>
      </c>
      <c r="AG82" s="183">
        <f t="shared" si="41"/>
        <v>0</v>
      </c>
      <c r="AH82" s="183">
        <f t="shared" si="46"/>
        <v>0</v>
      </c>
      <c r="AI82" s="182" t="str">
        <f t="shared" si="42"/>
        <v xml:space="preserve"> </v>
      </c>
      <c r="AJ82" s="182" t="str">
        <f>IF(AI82="","",IFERROR(IF(VLOOKUP(AI82,Programa!$L$3:$M$18,2,0)="","",VLOOKUP(AI82,Programa!$L$3:$M$18,2,0)),""))</f>
        <v/>
      </c>
      <c r="AK82" s="182" t="str">
        <f t="shared" si="43"/>
        <v xml:space="preserve"> </v>
      </c>
      <c r="AL82" s="182" t="str">
        <f>IF(AK82="","",IFERROR(IF(VLOOKUP(AK82,Programa!$L$19:$M$34,2,0)="","",VLOOKUP(AK82,Programa!$L$19:$M$34,2,0)),""))</f>
        <v/>
      </c>
      <c r="AM82" s="182" t="str">
        <f t="shared" si="44"/>
        <v xml:space="preserve"> </v>
      </c>
      <c r="AN82" s="182" t="str">
        <f>IF(AM82="","",IFERROR(IF(VLOOKUP(AM82,Programa!$L$35:$M$50,2,0)="","",VLOOKUP(AM82,Programa!$L$35:$M$50,2,0)),""))</f>
        <v/>
      </c>
    </row>
    <row r="83" spans="1:40" ht="15.75" customHeight="1" x14ac:dyDescent="0.4">
      <c r="A83" s="242">
        <f t="shared" si="49"/>
        <v>6</v>
      </c>
      <c r="B83" s="243">
        <f>STUD!D40</f>
        <v>0</v>
      </c>
      <c r="C83" s="244">
        <f>SUM(D84:AB84)</f>
        <v>30</v>
      </c>
      <c r="D83" s="14">
        <v>5</v>
      </c>
      <c r="E83" s="14">
        <v>6</v>
      </c>
      <c r="F83" s="14">
        <v>8</v>
      </c>
      <c r="G83" s="14">
        <v>6</v>
      </c>
      <c r="H83" s="14">
        <v>5</v>
      </c>
      <c r="I83" s="14">
        <v>6</v>
      </c>
      <c r="J83" s="14">
        <v>3</v>
      </c>
      <c r="K83" s="14">
        <v>9</v>
      </c>
      <c r="L83" s="14">
        <v>1</v>
      </c>
      <c r="M83" s="14">
        <v>9</v>
      </c>
      <c r="N83" s="14">
        <v>5</v>
      </c>
      <c r="O83" s="139">
        <v>1</v>
      </c>
      <c r="P83" s="14">
        <v>5</v>
      </c>
      <c r="Q83" s="14">
        <v>7</v>
      </c>
      <c r="R83" s="14">
        <v>2</v>
      </c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243">
        <f>SUM(D84:AB84)</f>
        <v>30</v>
      </c>
      <c r="AE83" s="180">
        <v>10</v>
      </c>
      <c r="AF83" s="171" t="str">
        <f>IF(ISBLANK(STUD!D39)," ",STUD!D39)</f>
        <v xml:space="preserve"> </v>
      </c>
      <c r="AG83" s="183">
        <f t="shared" si="41"/>
        <v>0</v>
      </c>
      <c r="AH83" s="183">
        <f t="shared" si="46"/>
        <v>0</v>
      </c>
      <c r="AI83" s="182" t="str">
        <f t="shared" si="42"/>
        <v xml:space="preserve"> </v>
      </c>
      <c r="AJ83" s="182" t="str">
        <f>IF(AI83="","",IFERROR(IF(VLOOKUP(AI83,Programa!$L$3:$M$18,2,0)="","",VLOOKUP(AI83,Programa!$L$3:$M$18,2,0)),""))</f>
        <v/>
      </c>
      <c r="AK83" s="182" t="str">
        <f t="shared" si="43"/>
        <v xml:space="preserve"> </v>
      </c>
      <c r="AL83" s="182" t="str">
        <f>IF(AK83="","",IFERROR(IF(VLOOKUP(AK83,Programa!$L$19:$M$34,2,0)="","",VLOOKUP(AK83,Programa!$L$19:$M$34,2,0)),""))</f>
        <v/>
      </c>
      <c r="AM83" s="182" t="str">
        <f t="shared" si="44"/>
        <v xml:space="preserve"> </v>
      </c>
      <c r="AN83" s="182" t="str">
        <f>IF(AM83="","",IFERROR(IF(VLOOKUP(AM83,Programa!$L$35:$M$50,2,0)="","",VLOOKUP(AM83,Programa!$L$35:$M$50,2,0)),""))</f>
        <v/>
      </c>
    </row>
    <row r="84" spans="1:40" ht="15.75" customHeight="1" x14ac:dyDescent="0.4">
      <c r="A84" s="242"/>
      <c r="B84" s="243"/>
      <c r="C84" s="245"/>
      <c r="D84" s="138">
        <f t="shared" ref="D84:AB84" si="51">IF(IFERROR(IF(VLOOKUP(D83,D$151:D$155,1,0)&gt;=1,D$150,0),D83)=D$132,D$136,IF(IFERROR(IF(VLOOKUP(D83,D$151:D$155,1,0)&gt;=1,D$150,0),D83)=D$139,D$142,IF(IFERROR(IF(VLOOKUP(D83,D$151:D$155,1,0)&gt;=1,D$150,0),D83)=D$145,D$147,0)))</f>
        <v>0</v>
      </c>
      <c r="E84" s="138">
        <f t="shared" si="51"/>
        <v>0</v>
      </c>
      <c r="F84" s="138">
        <f t="shared" si="51"/>
        <v>2.7</v>
      </c>
      <c r="G84" s="138">
        <f t="shared" si="51"/>
        <v>0</v>
      </c>
      <c r="H84" s="138">
        <f t="shared" si="51"/>
        <v>0</v>
      </c>
      <c r="I84" s="138">
        <f t="shared" si="51"/>
        <v>0</v>
      </c>
      <c r="J84" s="138">
        <f t="shared" si="51"/>
        <v>0</v>
      </c>
      <c r="K84" s="138">
        <f t="shared" si="51"/>
        <v>0</v>
      </c>
      <c r="L84" s="138">
        <f t="shared" si="51"/>
        <v>2.7</v>
      </c>
      <c r="M84" s="138">
        <f t="shared" si="51"/>
        <v>0</v>
      </c>
      <c r="N84" s="138">
        <f t="shared" si="51"/>
        <v>0</v>
      </c>
      <c r="O84" s="138">
        <f t="shared" si="51"/>
        <v>0</v>
      </c>
      <c r="P84" s="138">
        <f t="shared" si="51"/>
        <v>0</v>
      </c>
      <c r="Q84" s="138">
        <f t="shared" si="51"/>
        <v>0</v>
      </c>
      <c r="R84" s="138">
        <f t="shared" si="51"/>
        <v>24.6</v>
      </c>
      <c r="S84" s="138">
        <f t="shared" si="51"/>
        <v>0</v>
      </c>
      <c r="T84" s="138">
        <f t="shared" si="51"/>
        <v>0</v>
      </c>
      <c r="U84" s="138">
        <f t="shared" si="51"/>
        <v>0</v>
      </c>
      <c r="V84" s="138">
        <f t="shared" si="51"/>
        <v>0</v>
      </c>
      <c r="W84" s="138">
        <f t="shared" si="51"/>
        <v>0</v>
      </c>
      <c r="X84" s="138">
        <f t="shared" si="51"/>
        <v>0</v>
      </c>
      <c r="Y84" s="138">
        <f t="shared" si="51"/>
        <v>0</v>
      </c>
      <c r="Z84" s="138">
        <f t="shared" si="51"/>
        <v>0</v>
      </c>
      <c r="AA84" s="138">
        <f t="shared" si="51"/>
        <v>0</v>
      </c>
      <c r="AB84" s="138">
        <f t="shared" si="51"/>
        <v>0</v>
      </c>
      <c r="AC84" s="243"/>
      <c r="AE84" s="196">
        <v>11</v>
      </c>
      <c r="AF84" s="171" t="str">
        <f>IF(ISBLANK(STUD!D54)," ",STUD!D54)</f>
        <v xml:space="preserve"> </v>
      </c>
      <c r="AG84" s="183">
        <f t="shared" si="41"/>
        <v>0</v>
      </c>
      <c r="AH84" s="183">
        <f t="shared" si="46"/>
        <v>0</v>
      </c>
      <c r="AI84" s="182" t="str">
        <f t="shared" si="42"/>
        <v xml:space="preserve"> </v>
      </c>
      <c r="AJ84" s="182" t="str">
        <f>IF(AI84="","",IFERROR(IF(VLOOKUP(AI84,Programa!$L$3:$M$18,2,0)="","",VLOOKUP(AI84,Programa!$L$3:$M$18,2,0)),""))</f>
        <v/>
      </c>
      <c r="AK84" s="182" t="str">
        <f t="shared" si="43"/>
        <v xml:space="preserve"> </v>
      </c>
      <c r="AL84" s="182" t="str">
        <f>IF(AK84="","",IFERROR(IF(VLOOKUP(AK84,Programa!$L$19:$M$34,2,0)="","",VLOOKUP(AK84,Programa!$L$19:$M$34,2,0)),""))</f>
        <v/>
      </c>
      <c r="AM84" s="182" t="str">
        <f t="shared" si="44"/>
        <v xml:space="preserve"> </v>
      </c>
      <c r="AN84" s="182" t="str">
        <f>IF(AM84="","",IFERROR(IF(VLOOKUP(AM84,Programa!$L$35:$M$50,2,0)="","",VLOOKUP(AM84,Programa!$L$35:$M$50,2,0)),""))</f>
        <v/>
      </c>
    </row>
    <row r="85" spans="1:40" ht="15.75" customHeight="1" x14ac:dyDescent="0.4">
      <c r="A85" s="242">
        <f t="shared" si="49"/>
        <v>7</v>
      </c>
      <c r="B85" s="243">
        <f>STUD!D41</f>
        <v>0</v>
      </c>
      <c r="C85" s="244">
        <f>SUM(D86:AB86)</f>
        <v>29.4</v>
      </c>
      <c r="D85" s="14">
        <v>9</v>
      </c>
      <c r="E85" s="14">
        <v>6</v>
      </c>
      <c r="F85" s="14">
        <v>2</v>
      </c>
      <c r="G85" s="14">
        <v>1</v>
      </c>
      <c r="H85" s="14">
        <v>5</v>
      </c>
      <c r="I85" s="14">
        <v>8</v>
      </c>
      <c r="J85" s="14">
        <v>3</v>
      </c>
      <c r="K85" s="14">
        <v>2</v>
      </c>
      <c r="L85" s="14">
        <v>2</v>
      </c>
      <c r="M85" s="14">
        <v>4</v>
      </c>
      <c r="N85" s="14">
        <v>11</v>
      </c>
      <c r="O85" s="139">
        <v>2</v>
      </c>
      <c r="P85" s="14">
        <v>2</v>
      </c>
      <c r="Q85" s="14">
        <v>12</v>
      </c>
      <c r="R85" s="14">
        <v>6</v>
      </c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243">
        <f>SUM(D86:AB86)</f>
        <v>29.4</v>
      </c>
      <c r="AE85" s="197">
        <v>12</v>
      </c>
      <c r="AF85" s="171" t="str">
        <f>IF(ISBLANK(STUD!D38)," ",STUD!D38)</f>
        <v xml:space="preserve"> </v>
      </c>
      <c r="AG85" s="183">
        <f t="shared" si="41"/>
        <v>0</v>
      </c>
      <c r="AH85" s="183">
        <f t="shared" si="46"/>
        <v>0</v>
      </c>
      <c r="AI85" s="182" t="str">
        <f t="shared" si="42"/>
        <v xml:space="preserve"> </v>
      </c>
      <c r="AJ85" s="182" t="str">
        <f>IF(AI85="","",IFERROR(IF(VLOOKUP(AI85,Programa!$L$3:$M$18,2,0)="","",VLOOKUP(AI85,Programa!$L$3:$M$18,2,0)),""))</f>
        <v/>
      </c>
      <c r="AK85" s="182" t="str">
        <f t="shared" si="43"/>
        <v xml:space="preserve"> </v>
      </c>
      <c r="AL85" s="182" t="str">
        <f>IF(AK85="","",IFERROR(IF(VLOOKUP(AK85,Programa!$L$19:$M$34,2,0)="","",VLOOKUP(AK85,Programa!$L$19:$M$34,2,0)),""))</f>
        <v/>
      </c>
      <c r="AM85" s="182" t="str">
        <f t="shared" si="44"/>
        <v xml:space="preserve"> </v>
      </c>
      <c r="AN85" s="182" t="str">
        <f>IF(AM85="","",IFERROR(IF(VLOOKUP(AM85,Programa!$L$35:$M$50,2,0)="","",VLOOKUP(AM85,Programa!$L$35:$M$50,2,0)),""))</f>
        <v/>
      </c>
    </row>
    <row r="86" spans="1:40" ht="15.75" customHeight="1" x14ac:dyDescent="0.4">
      <c r="A86" s="242"/>
      <c r="B86" s="243"/>
      <c r="C86" s="245"/>
      <c r="D86" s="138">
        <f t="shared" ref="D86:AB86" si="52">IF(IFERROR(IF(VLOOKUP(D85,D$151:D$155,1,0)&gt;=1,D$150,0),D85)=D$132,D$136,IF(IFERROR(IF(VLOOKUP(D85,D$151:D$155,1,0)&gt;=1,D$150,0),D85)=D$139,D$142,IF(IFERROR(IF(VLOOKUP(D85,D$151:D$155,1,0)&gt;=1,D$150,0),D85)=D$145,D$147,0)))</f>
        <v>0</v>
      </c>
      <c r="E86" s="138">
        <f t="shared" si="52"/>
        <v>0</v>
      </c>
      <c r="F86" s="138">
        <f t="shared" si="52"/>
        <v>1</v>
      </c>
      <c r="G86" s="138">
        <f t="shared" si="52"/>
        <v>5.6</v>
      </c>
      <c r="H86" s="138">
        <f t="shared" si="52"/>
        <v>0</v>
      </c>
      <c r="I86" s="138">
        <f t="shared" si="52"/>
        <v>1.6</v>
      </c>
      <c r="J86" s="138">
        <f t="shared" si="52"/>
        <v>0</v>
      </c>
      <c r="K86" s="138">
        <f t="shared" si="52"/>
        <v>0</v>
      </c>
      <c r="L86" s="138">
        <f t="shared" si="52"/>
        <v>0</v>
      </c>
      <c r="M86" s="138">
        <f t="shared" si="52"/>
        <v>0</v>
      </c>
      <c r="N86" s="138">
        <f t="shared" si="52"/>
        <v>5</v>
      </c>
      <c r="O86" s="138">
        <f t="shared" si="52"/>
        <v>7.9</v>
      </c>
      <c r="P86" s="138">
        <f t="shared" si="52"/>
        <v>0</v>
      </c>
      <c r="Q86" s="138">
        <f t="shared" si="52"/>
        <v>8.2999999999999989</v>
      </c>
      <c r="R86" s="138">
        <f t="shared" si="52"/>
        <v>0</v>
      </c>
      <c r="S86" s="138">
        <f t="shared" si="52"/>
        <v>0</v>
      </c>
      <c r="T86" s="138">
        <f t="shared" si="52"/>
        <v>0</v>
      </c>
      <c r="U86" s="138">
        <f t="shared" si="52"/>
        <v>0</v>
      </c>
      <c r="V86" s="138">
        <f t="shared" si="52"/>
        <v>0</v>
      </c>
      <c r="W86" s="138">
        <f t="shared" si="52"/>
        <v>0</v>
      </c>
      <c r="X86" s="138">
        <f t="shared" si="52"/>
        <v>0</v>
      </c>
      <c r="Y86" s="138">
        <f t="shared" si="52"/>
        <v>0</v>
      </c>
      <c r="Z86" s="138">
        <f t="shared" si="52"/>
        <v>0</v>
      </c>
      <c r="AA86" s="138">
        <f t="shared" si="52"/>
        <v>0</v>
      </c>
      <c r="AB86" s="138">
        <f t="shared" si="52"/>
        <v>0</v>
      </c>
      <c r="AC86" s="243"/>
      <c r="AE86" s="198">
        <v>13</v>
      </c>
      <c r="AF86" s="171" t="str">
        <f>IF(ISBLANK(STUD!D45)," ",STUD!D45)</f>
        <v xml:space="preserve"> </v>
      </c>
      <c r="AG86" s="183">
        <f t="shared" si="41"/>
        <v>0</v>
      </c>
      <c r="AH86" s="183">
        <f t="shared" si="46"/>
        <v>0</v>
      </c>
      <c r="AI86" s="182" t="str">
        <f t="shared" si="42"/>
        <v xml:space="preserve"> </v>
      </c>
      <c r="AJ86" s="182" t="str">
        <f>IF(AI86="","",IFERROR(IF(VLOOKUP(AI86,Programa!$L$3:$M$18,2,0)="","",VLOOKUP(AI86,Programa!$L$3:$M$18,2,0)),""))</f>
        <v/>
      </c>
      <c r="AK86" s="182" t="str">
        <f t="shared" si="43"/>
        <v xml:space="preserve"> </v>
      </c>
      <c r="AL86" s="182" t="str">
        <f>IF(AK86="","",IFERROR(IF(VLOOKUP(AK86,Programa!$L$19:$M$34,2,0)="","",VLOOKUP(AK86,Programa!$L$19:$M$34,2,0)),""))</f>
        <v/>
      </c>
      <c r="AM86" s="182" t="str">
        <f t="shared" si="44"/>
        <v xml:space="preserve"> </v>
      </c>
      <c r="AN86" s="182" t="str">
        <f>IF(AM86="","",IFERROR(IF(VLOOKUP(AM86,Programa!$L$35:$M$50,2,0)="","",VLOOKUP(AM86,Programa!$L$35:$M$50,2,0)),""))</f>
        <v/>
      </c>
    </row>
    <row r="87" spans="1:40" ht="15.75" customHeight="1" x14ac:dyDescent="0.4">
      <c r="A87" s="242">
        <f t="shared" si="49"/>
        <v>8</v>
      </c>
      <c r="B87" s="243">
        <f>STUD!D42</f>
        <v>0</v>
      </c>
      <c r="C87" s="244">
        <f>SUM(D88:AB88)</f>
        <v>22.3</v>
      </c>
      <c r="D87" s="14">
        <v>12</v>
      </c>
      <c r="E87" s="14">
        <v>6</v>
      </c>
      <c r="F87" s="14">
        <v>3</v>
      </c>
      <c r="G87" s="14">
        <v>1</v>
      </c>
      <c r="H87" s="14">
        <v>12</v>
      </c>
      <c r="I87" s="14">
        <v>8</v>
      </c>
      <c r="J87" s="14">
        <v>9</v>
      </c>
      <c r="K87" s="14">
        <v>2</v>
      </c>
      <c r="L87" s="14">
        <v>7</v>
      </c>
      <c r="M87" s="14">
        <v>8</v>
      </c>
      <c r="N87" s="14">
        <v>9</v>
      </c>
      <c r="O87" s="139">
        <v>4</v>
      </c>
      <c r="P87" s="14">
        <v>11</v>
      </c>
      <c r="Q87" s="14">
        <v>11</v>
      </c>
      <c r="R87" s="14">
        <v>4</v>
      </c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243">
        <f>SUM(D88:AB88)</f>
        <v>22.3</v>
      </c>
      <c r="AE87" s="199">
        <v>14</v>
      </c>
      <c r="AF87" s="171" t="str">
        <f>IF(ISBLANK(STUD!D40)," ",STUD!D40)</f>
        <v xml:space="preserve"> </v>
      </c>
      <c r="AG87" s="183">
        <f t="shared" si="41"/>
        <v>0</v>
      </c>
      <c r="AH87" s="183">
        <f t="shared" si="46"/>
        <v>0</v>
      </c>
      <c r="AI87" s="182" t="str">
        <f t="shared" si="42"/>
        <v xml:space="preserve"> </v>
      </c>
      <c r="AJ87" s="182" t="str">
        <f>IF(AI87="","",IFERROR(IF(VLOOKUP(AI87,Programa!$L$3:$M$18,2,0)="","",VLOOKUP(AI87,Programa!$L$3:$M$18,2,0)),""))</f>
        <v/>
      </c>
      <c r="AK87" s="182" t="str">
        <f t="shared" si="43"/>
        <v xml:space="preserve"> </v>
      </c>
      <c r="AL87" s="182" t="str">
        <f>IF(AK87="","",IFERROR(IF(VLOOKUP(AK87,Programa!$L$19:$M$34,2,0)="","",VLOOKUP(AK87,Programa!$L$19:$M$34,2,0)),""))</f>
        <v/>
      </c>
      <c r="AM87" s="182" t="str">
        <f t="shared" si="44"/>
        <v xml:space="preserve"> </v>
      </c>
      <c r="AN87" s="182" t="str">
        <f>IF(AM87="","",IFERROR(IF(VLOOKUP(AM87,Programa!$L$35:$M$50,2,0)="","",VLOOKUP(AM87,Programa!$L$35:$M$50,2,0)),""))</f>
        <v/>
      </c>
    </row>
    <row r="88" spans="1:40" ht="15.75" customHeight="1" x14ac:dyDescent="0.4">
      <c r="A88" s="242"/>
      <c r="B88" s="243"/>
      <c r="C88" s="245"/>
      <c r="D88" s="138">
        <f t="shared" ref="D88:AB88" si="53">IF(IFERROR(IF(VLOOKUP(D87,D$151:D$155,1,0)&gt;=1,D$150,0),D87)=D$132,D$136,IF(IFERROR(IF(VLOOKUP(D87,D$151:D$155,1,0)&gt;=1,D$150,0),D87)=D$139,D$142,IF(IFERROR(IF(VLOOKUP(D87,D$151:D$155,1,0)&gt;=1,D$150,0),D87)=D$145,D$147,0)))</f>
        <v>0</v>
      </c>
      <c r="E88" s="138">
        <f t="shared" si="53"/>
        <v>0</v>
      </c>
      <c r="F88" s="138">
        <f t="shared" si="53"/>
        <v>0</v>
      </c>
      <c r="G88" s="138">
        <f t="shared" si="53"/>
        <v>5.6</v>
      </c>
      <c r="H88" s="138">
        <f t="shared" si="53"/>
        <v>1.8</v>
      </c>
      <c r="I88" s="138">
        <f t="shared" si="53"/>
        <v>1.6</v>
      </c>
      <c r="J88" s="138">
        <f t="shared" si="53"/>
        <v>0</v>
      </c>
      <c r="K88" s="138">
        <f t="shared" si="53"/>
        <v>0</v>
      </c>
      <c r="L88" s="138">
        <f t="shared" si="53"/>
        <v>0</v>
      </c>
      <c r="M88" s="138">
        <f t="shared" si="53"/>
        <v>0</v>
      </c>
      <c r="N88" s="138">
        <f t="shared" si="53"/>
        <v>0</v>
      </c>
      <c r="O88" s="138">
        <f t="shared" si="53"/>
        <v>7.1</v>
      </c>
      <c r="P88" s="138">
        <f t="shared" si="53"/>
        <v>0</v>
      </c>
      <c r="Q88" s="138">
        <f t="shared" si="53"/>
        <v>0</v>
      </c>
      <c r="R88" s="138">
        <f t="shared" si="53"/>
        <v>6.2</v>
      </c>
      <c r="S88" s="138">
        <f t="shared" si="53"/>
        <v>0</v>
      </c>
      <c r="T88" s="138">
        <f t="shared" si="53"/>
        <v>0</v>
      </c>
      <c r="U88" s="138">
        <f t="shared" si="53"/>
        <v>0</v>
      </c>
      <c r="V88" s="138">
        <f t="shared" si="53"/>
        <v>0</v>
      </c>
      <c r="W88" s="138">
        <f t="shared" si="53"/>
        <v>0</v>
      </c>
      <c r="X88" s="138">
        <f t="shared" si="53"/>
        <v>0</v>
      </c>
      <c r="Y88" s="138">
        <f t="shared" si="53"/>
        <v>0</v>
      </c>
      <c r="Z88" s="138">
        <f t="shared" si="53"/>
        <v>0</v>
      </c>
      <c r="AA88" s="138">
        <f t="shared" si="53"/>
        <v>0</v>
      </c>
      <c r="AB88" s="138">
        <f t="shared" si="53"/>
        <v>0</v>
      </c>
      <c r="AC88" s="243"/>
      <c r="AE88" s="200">
        <v>15</v>
      </c>
      <c r="AF88" s="171" t="str">
        <f>IF(ISBLANK(STUD!D41)," ",STUD!D41)</f>
        <v xml:space="preserve"> </v>
      </c>
      <c r="AG88" s="183">
        <f t="shared" si="41"/>
        <v>0</v>
      </c>
      <c r="AH88" s="183">
        <f t="shared" si="46"/>
        <v>0</v>
      </c>
      <c r="AI88" s="182" t="str">
        <f t="shared" si="42"/>
        <v xml:space="preserve"> </v>
      </c>
      <c r="AJ88" s="182" t="str">
        <f>IF(AI88="","",IFERROR(IF(VLOOKUP(AI88,Programa!$L$3:$M$18,2,0)="","",VLOOKUP(AI88,Programa!$L$3:$M$18,2,0)),""))</f>
        <v/>
      </c>
      <c r="AK88" s="182" t="str">
        <f t="shared" si="43"/>
        <v xml:space="preserve"> </v>
      </c>
      <c r="AL88" s="182" t="str">
        <f>IF(AK88="","",IFERROR(IF(VLOOKUP(AK88,Programa!$L$19:$M$34,2,0)="","",VLOOKUP(AK88,Programa!$L$19:$M$34,2,0)),""))</f>
        <v/>
      </c>
      <c r="AM88" s="182" t="str">
        <f t="shared" si="44"/>
        <v xml:space="preserve"> </v>
      </c>
      <c r="AN88" s="182" t="str">
        <f>IF(AM88="","",IFERROR(IF(VLOOKUP(AM88,Programa!$L$35:$M$50,2,0)="","",VLOOKUP(AM88,Programa!$L$35:$M$50,2,0)),""))</f>
        <v/>
      </c>
    </row>
    <row r="89" spans="1:40" ht="15.75" customHeight="1" x14ac:dyDescent="0.4">
      <c r="A89" s="242">
        <f t="shared" si="49"/>
        <v>9</v>
      </c>
      <c r="B89" s="243">
        <f>STUD!D43</f>
        <v>0</v>
      </c>
      <c r="C89" s="244">
        <f>SUM(D90:AB90)</f>
        <v>27.9</v>
      </c>
      <c r="D89" s="14">
        <v>12</v>
      </c>
      <c r="E89" s="14">
        <v>4</v>
      </c>
      <c r="F89" s="14">
        <v>6</v>
      </c>
      <c r="G89" s="14">
        <v>9</v>
      </c>
      <c r="H89" s="14">
        <v>12</v>
      </c>
      <c r="I89" s="14">
        <v>3</v>
      </c>
      <c r="J89" s="14">
        <v>3</v>
      </c>
      <c r="K89" s="14">
        <v>4</v>
      </c>
      <c r="L89" s="14">
        <v>7</v>
      </c>
      <c r="M89" s="14">
        <v>9</v>
      </c>
      <c r="N89" s="14">
        <v>8</v>
      </c>
      <c r="O89" s="139">
        <v>4</v>
      </c>
      <c r="P89" s="14">
        <v>5</v>
      </c>
      <c r="Q89" s="14">
        <v>12</v>
      </c>
      <c r="R89" s="14">
        <v>11</v>
      </c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243">
        <f>SUM(D90:AB90)</f>
        <v>27.9</v>
      </c>
      <c r="AE89" s="201">
        <v>16</v>
      </c>
      <c r="AF89" s="171" t="str">
        <f>IF(ISBLANK(STUD!D43)," ",STUD!D43)</f>
        <v xml:space="preserve"> </v>
      </c>
      <c r="AG89" s="183">
        <f t="shared" si="41"/>
        <v>0</v>
      </c>
      <c r="AH89" s="183">
        <f t="shared" si="46"/>
        <v>0</v>
      </c>
      <c r="AI89" s="182" t="str">
        <f t="shared" si="42"/>
        <v xml:space="preserve"> </v>
      </c>
      <c r="AJ89" s="182" t="str">
        <f>IF(AI89="","",IFERROR(IF(VLOOKUP(AI89,Programa!$L$3:$M$18,2,0)="","",VLOOKUP(AI89,Programa!$L$3:$M$18,2,0)),""))</f>
        <v/>
      </c>
      <c r="AK89" s="182" t="str">
        <f t="shared" si="43"/>
        <v xml:space="preserve"> </v>
      </c>
      <c r="AL89" s="182" t="str">
        <f>IF(AK89="","",IFERROR(IF(VLOOKUP(AK89,Programa!$L$19:$M$34,2,0)="","",VLOOKUP(AK89,Programa!$L$19:$M$34,2,0)),""))</f>
        <v/>
      </c>
      <c r="AM89" s="182" t="str">
        <f t="shared" si="44"/>
        <v xml:space="preserve"> </v>
      </c>
      <c r="AN89" s="182" t="str">
        <f>IF(AM89="","",IFERROR(IF(VLOOKUP(AM89,Programa!$L$35:$M$50,2,0)="","",VLOOKUP(AM89,Programa!$L$35:$M$50,2,0)),""))</f>
        <v/>
      </c>
    </row>
    <row r="90" spans="1:40" ht="15.75" customHeight="1" x14ac:dyDescent="0.4">
      <c r="A90" s="242"/>
      <c r="B90" s="243"/>
      <c r="C90" s="245"/>
      <c r="D90" s="138">
        <f t="shared" ref="D90:AB90" si="54">IF(IFERROR(IF(VLOOKUP(D89,D$151:D$155,1,0)&gt;=1,D$150,0),D89)=D$132,D$136,IF(IFERROR(IF(VLOOKUP(D89,D$151:D$155,1,0)&gt;=1,D$150,0),D89)=D$139,D$142,IF(IFERROR(IF(VLOOKUP(D89,D$151:D$155,1,0)&gt;=1,D$150,0),D89)=D$145,D$147,0)))</f>
        <v>0</v>
      </c>
      <c r="E90" s="138">
        <f t="shared" si="54"/>
        <v>6.4</v>
      </c>
      <c r="F90" s="138">
        <f t="shared" si="54"/>
        <v>0</v>
      </c>
      <c r="G90" s="138">
        <f t="shared" si="54"/>
        <v>0</v>
      </c>
      <c r="H90" s="138">
        <f t="shared" si="54"/>
        <v>1.8</v>
      </c>
      <c r="I90" s="138">
        <f t="shared" si="54"/>
        <v>0</v>
      </c>
      <c r="J90" s="138">
        <f t="shared" si="54"/>
        <v>0</v>
      </c>
      <c r="K90" s="138">
        <f t="shared" si="54"/>
        <v>4.3</v>
      </c>
      <c r="L90" s="138">
        <f t="shared" si="54"/>
        <v>0</v>
      </c>
      <c r="M90" s="138">
        <f t="shared" si="54"/>
        <v>0</v>
      </c>
      <c r="N90" s="138">
        <f t="shared" si="54"/>
        <v>0</v>
      </c>
      <c r="O90" s="138">
        <f t="shared" si="54"/>
        <v>7.1</v>
      </c>
      <c r="P90" s="138">
        <f t="shared" si="54"/>
        <v>0</v>
      </c>
      <c r="Q90" s="138">
        <f t="shared" si="54"/>
        <v>8.2999999999999989</v>
      </c>
      <c r="R90" s="138">
        <f t="shared" si="54"/>
        <v>0</v>
      </c>
      <c r="S90" s="138">
        <f t="shared" si="54"/>
        <v>0</v>
      </c>
      <c r="T90" s="138">
        <f t="shared" si="54"/>
        <v>0</v>
      </c>
      <c r="U90" s="138">
        <f t="shared" si="54"/>
        <v>0</v>
      </c>
      <c r="V90" s="138">
        <f t="shared" si="54"/>
        <v>0</v>
      </c>
      <c r="W90" s="138">
        <f t="shared" si="54"/>
        <v>0</v>
      </c>
      <c r="X90" s="138">
        <f t="shared" si="54"/>
        <v>0</v>
      </c>
      <c r="Y90" s="138">
        <f t="shared" si="54"/>
        <v>0</v>
      </c>
      <c r="Z90" s="138">
        <f t="shared" si="54"/>
        <v>0</v>
      </c>
      <c r="AA90" s="138">
        <f t="shared" si="54"/>
        <v>0</v>
      </c>
      <c r="AB90" s="138">
        <f t="shared" si="54"/>
        <v>0</v>
      </c>
      <c r="AC90" s="243"/>
      <c r="AE90" s="202">
        <v>17</v>
      </c>
      <c r="AF90" s="171" t="str">
        <f>IF(ISBLANK(STUD!D35)," ",STUD!D35)</f>
        <v xml:space="preserve"> </v>
      </c>
      <c r="AG90" s="183">
        <f t="shared" si="41"/>
        <v>0</v>
      </c>
      <c r="AH90" s="183">
        <f t="shared" si="46"/>
        <v>0</v>
      </c>
      <c r="AI90" s="182" t="str">
        <f t="shared" si="42"/>
        <v xml:space="preserve"> </v>
      </c>
      <c r="AJ90" s="182" t="str">
        <f>IF(AI90="","",IFERROR(IF(VLOOKUP(AI90,Programa!$L$3:$M$18,2,0)="","",VLOOKUP(AI90,Programa!$L$3:$M$18,2,0)),""))</f>
        <v/>
      </c>
      <c r="AK90" s="182" t="str">
        <f t="shared" si="43"/>
        <v xml:space="preserve"> </v>
      </c>
      <c r="AL90" s="182" t="str">
        <f>IF(AK90="","",IFERROR(IF(VLOOKUP(AK90,Programa!$L$19:$M$34,2,0)="","",VLOOKUP(AK90,Programa!$L$19:$M$34,2,0)),""))</f>
        <v/>
      </c>
      <c r="AM90" s="182" t="str">
        <f t="shared" si="44"/>
        <v xml:space="preserve"> </v>
      </c>
      <c r="AN90" s="182" t="str">
        <f>IF(AM90="","",IFERROR(IF(VLOOKUP(AM90,Programa!$L$35:$M$50,2,0)="","",VLOOKUP(AM90,Programa!$L$35:$M$50,2,0)),""))</f>
        <v/>
      </c>
    </row>
    <row r="91" spans="1:40" ht="15.75" customHeight="1" x14ac:dyDescent="0.4">
      <c r="A91" s="242">
        <f t="shared" si="49"/>
        <v>10</v>
      </c>
      <c r="B91" s="243">
        <f>STUD!D44</f>
        <v>0</v>
      </c>
      <c r="C91" s="244">
        <f>SUM(D92:AB92)</f>
        <v>23.800000000000004</v>
      </c>
      <c r="D91" s="14">
        <v>2</v>
      </c>
      <c r="E91" s="14">
        <v>6</v>
      </c>
      <c r="F91" s="14">
        <v>1</v>
      </c>
      <c r="G91" s="14">
        <v>1</v>
      </c>
      <c r="H91" s="14">
        <v>7</v>
      </c>
      <c r="I91" s="14">
        <v>8</v>
      </c>
      <c r="J91" s="14">
        <v>9</v>
      </c>
      <c r="K91" s="14">
        <v>5</v>
      </c>
      <c r="L91" s="14">
        <v>6</v>
      </c>
      <c r="M91" s="14">
        <v>6</v>
      </c>
      <c r="N91" s="14">
        <v>5</v>
      </c>
      <c r="O91" s="139">
        <v>8</v>
      </c>
      <c r="P91" s="14">
        <v>6</v>
      </c>
      <c r="Q91" s="14">
        <v>10</v>
      </c>
      <c r="R91" s="14">
        <v>13</v>
      </c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243">
        <f>SUM(D92:AB92)</f>
        <v>23.800000000000004</v>
      </c>
      <c r="AE91" s="203">
        <v>18</v>
      </c>
      <c r="AF91" s="171" t="str">
        <f>IF(ISBLANK(STUD!D57)," ",STUD!D57)</f>
        <v xml:space="preserve"> </v>
      </c>
      <c r="AG91" s="183">
        <f t="shared" si="41"/>
        <v>0</v>
      </c>
      <c r="AH91" s="183">
        <f t="shared" si="46"/>
        <v>0</v>
      </c>
      <c r="AI91" s="182" t="str">
        <f t="shared" si="42"/>
        <v xml:space="preserve"> </v>
      </c>
      <c r="AJ91" s="182" t="str">
        <f>IF(AI91="","",IFERROR(IF(VLOOKUP(AI91,Programa!$L$3:$M$18,2,0)="","",VLOOKUP(AI91,Programa!$L$3:$M$18,2,0)),""))</f>
        <v/>
      </c>
      <c r="AK91" s="182" t="str">
        <f t="shared" si="43"/>
        <v xml:space="preserve"> </v>
      </c>
      <c r="AL91" s="182" t="str">
        <f>IF(AK91="","",IFERROR(IF(VLOOKUP(AK91,Programa!$L$19:$M$34,2,0)="","",VLOOKUP(AK91,Programa!$L$19:$M$34,2,0)),""))</f>
        <v/>
      </c>
      <c r="AM91" s="182" t="str">
        <f t="shared" si="44"/>
        <v xml:space="preserve"> </v>
      </c>
      <c r="AN91" s="182" t="str">
        <f>IF(AM91="","",IFERROR(IF(VLOOKUP(AM91,Programa!$L$35:$M$50,2,0)="","",VLOOKUP(AM91,Programa!$L$35:$M$50,2,0)),""))</f>
        <v/>
      </c>
    </row>
    <row r="92" spans="1:40" ht="15.75" customHeight="1" x14ac:dyDescent="0.4">
      <c r="A92" s="242"/>
      <c r="B92" s="243"/>
      <c r="C92" s="245"/>
      <c r="D92" s="138">
        <f t="shared" ref="D92:AB92" si="55">IF(IFERROR(IF(VLOOKUP(D91,D$151:D$155,1,0)&gt;=1,D$150,0),D91)=D$132,D$136,IF(IFERROR(IF(VLOOKUP(D91,D$151:D$155,1,0)&gt;=1,D$150,0),D91)=D$139,D$142,IF(IFERROR(IF(VLOOKUP(D91,D$151:D$155,1,0)&gt;=1,D$150,0),D91)=D$145,D$147,0)))</f>
        <v>5.3000000000000007</v>
      </c>
      <c r="E92" s="138">
        <f t="shared" si="55"/>
        <v>0</v>
      </c>
      <c r="F92" s="138">
        <f t="shared" si="55"/>
        <v>9.8000000000000007</v>
      </c>
      <c r="G92" s="138">
        <f t="shared" si="55"/>
        <v>5.6</v>
      </c>
      <c r="H92" s="138">
        <f t="shared" si="55"/>
        <v>0</v>
      </c>
      <c r="I92" s="138">
        <f t="shared" si="55"/>
        <v>1.6</v>
      </c>
      <c r="J92" s="138">
        <f t="shared" si="55"/>
        <v>0</v>
      </c>
      <c r="K92" s="138">
        <f t="shared" si="55"/>
        <v>0</v>
      </c>
      <c r="L92" s="138">
        <f t="shared" si="55"/>
        <v>1.5</v>
      </c>
      <c r="M92" s="138">
        <f t="shared" si="55"/>
        <v>0</v>
      </c>
      <c r="N92" s="138">
        <f t="shared" si="55"/>
        <v>0</v>
      </c>
      <c r="O92" s="138">
        <f t="shared" si="55"/>
        <v>0</v>
      </c>
      <c r="P92" s="138">
        <f t="shared" si="55"/>
        <v>0</v>
      </c>
      <c r="Q92" s="138">
        <f t="shared" si="55"/>
        <v>0</v>
      </c>
      <c r="R92" s="138">
        <f t="shared" si="55"/>
        <v>0</v>
      </c>
      <c r="S92" s="138">
        <f t="shared" si="55"/>
        <v>0</v>
      </c>
      <c r="T92" s="138">
        <f t="shared" si="55"/>
        <v>0</v>
      </c>
      <c r="U92" s="138">
        <f t="shared" si="55"/>
        <v>0</v>
      </c>
      <c r="V92" s="138">
        <f t="shared" si="55"/>
        <v>0</v>
      </c>
      <c r="W92" s="138">
        <f t="shared" si="55"/>
        <v>0</v>
      </c>
      <c r="X92" s="138">
        <f t="shared" si="55"/>
        <v>0</v>
      </c>
      <c r="Y92" s="138">
        <f t="shared" si="55"/>
        <v>0</v>
      </c>
      <c r="Z92" s="138">
        <f t="shared" si="55"/>
        <v>0</v>
      </c>
      <c r="AA92" s="138">
        <f t="shared" si="55"/>
        <v>0</v>
      </c>
      <c r="AB92" s="138">
        <f t="shared" si="55"/>
        <v>0</v>
      </c>
      <c r="AC92" s="243"/>
      <c r="AE92" s="204">
        <v>19</v>
      </c>
      <c r="AF92" s="171" t="str">
        <f>IF(ISBLANK(STUD!D56)," ",STUD!D56)</f>
        <v xml:space="preserve"> </v>
      </c>
      <c r="AG92" s="183">
        <f t="shared" si="41"/>
        <v>0</v>
      </c>
      <c r="AH92" s="183">
        <f t="shared" si="46"/>
        <v>0</v>
      </c>
      <c r="AI92" s="182" t="str">
        <f t="shared" si="42"/>
        <v xml:space="preserve"> </v>
      </c>
      <c r="AJ92" s="182" t="str">
        <f>IF(AI92="","",IFERROR(IF(VLOOKUP(AI92,Programa!$L$3:$M$18,2,0)="","",VLOOKUP(AI92,Programa!$L$3:$M$18,2,0)),""))</f>
        <v/>
      </c>
      <c r="AK92" s="182" t="str">
        <f t="shared" si="43"/>
        <v xml:space="preserve"> </v>
      </c>
      <c r="AL92" s="182" t="str">
        <f>IF(AK92="","",IFERROR(IF(VLOOKUP(AK92,Programa!$L$19:$M$34,2,0)="","",VLOOKUP(AK92,Programa!$L$19:$M$34,2,0)),""))</f>
        <v/>
      </c>
      <c r="AM92" s="182" t="str">
        <f t="shared" si="44"/>
        <v xml:space="preserve"> </v>
      </c>
      <c r="AN92" s="182" t="str">
        <f>IF(AM92="","",IFERROR(IF(VLOOKUP(AM92,Programa!$L$35:$M$50,2,0)="","",VLOOKUP(AM92,Programa!$L$35:$M$50,2,0)),""))</f>
        <v/>
      </c>
    </row>
    <row r="93" spans="1:40" ht="15.75" customHeight="1" x14ac:dyDescent="0.4">
      <c r="A93" s="242">
        <f t="shared" si="49"/>
        <v>11</v>
      </c>
      <c r="B93" s="243">
        <f>STUD!D45</f>
        <v>0</v>
      </c>
      <c r="C93" s="244">
        <f>SUM(D94:AB94)</f>
        <v>32.9</v>
      </c>
      <c r="D93" s="139">
        <v>6</v>
      </c>
      <c r="E93" s="139">
        <v>2</v>
      </c>
      <c r="F93" s="139">
        <v>1</v>
      </c>
      <c r="G93" s="139">
        <v>3</v>
      </c>
      <c r="H93" s="139">
        <v>1</v>
      </c>
      <c r="I93" s="139">
        <v>1</v>
      </c>
      <c r="J93" s="139">
        <v>11</v>
      </c>
      <c r="K93" s="139">
        <v>4</v>
      </c>
      <c r="L93" s="139">
        <v>3</v>
      </c>
      <c r="M93" s="139">
        <v>6</v>
      </c>
      <c r="N93" s="14">
        <v>5</v>
      </c>
      <c r="O93" s="14">
        <v>7</v>
      </c>
      <c r="P93" s="14">
        <v>14</v>
      </c>
      <c r="Q93" s="14">
        <v>7</v>
      </c>
      <c r="R93" s="14">
        <v>13</v>
      </c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243">
        <f>SUM(D94:AB94)</f>
        <v>32.9</v>
      </c>
      <c r="AE93" s="205">
        <v>20</v>
      </c>
      <c r="AF93" s="171" t="str">
        <f>IF(ISBLANK(STUD!D44)," ",STUD!D44)</f>
        <v xml:space="preserve"> </v>
      </c>
      <c r="AG93" s="183">
        <f t="shared" si="41"/>
        <v>0</v>
      </c>
      <c r="AH93" s="183">
        <f t="shared" si="46"/>
        <v>0</v>
      </c>
      <c r="AI93" s="182" t="str">
        <f t="shared" si="42"/>
        <v xml:space="preserve"> </v>
      </c>
      <c r="AJ93" s="182" t="str">
        <f>IF(AI93="","",IFERROR(IF(VLOOKUP(AI93,Programa!$L$3:$M$18,2,0)="","",VLOOKUP(AI93,Programa!$L$3:$M$18,2,0)),""))</f>
        <v/>
      </c>
      <c r="AK93" s="182" t="str">
        <f t="shared" si="43"/>
        <v xml:space="preserve"> </v>
      </c>
      <c r="AL93" s="182" t="str">
        <f>IF(AK93="","",IFERROR(IF(VLOOKUP(AK93,Programa!$L$19:$M$34,2,0)="","",VLOOKUP(AK93,Programa!$L$19:$M$34,2,0)),""))</f>
        <v/>
      </c>
      <c r="AM93" s="182" t="str">
        <f t="shared" si="44"/>
        <v xml:space="preserve"> </v>
      </c>
      <c r="AN93" s="182" t="str">
        <f>IF(AM93="","",IFERROR(IF(VLOOKUP(AM93,Programa!$L$35:$M$50,2,0)="","",VLOOKUP(AM93,Programa!$L$35:$M$50,2,0)),""))</f>
        <v/>
      </c>
    </row>
    <row r="94" spans="1:40" ht="15.75" customHeight="1" x14ac:dyDescent="0.4">
      <c r="A94" s="242"/>
      <c r="B94" s="243"/>
      <c r="C94" s="245"/>
      <c r="D94" s="138">
        <f t="shared" ref="D94:AB94" si="56">IF(IFERROR(IF(VLOOKUP(D93,D$151:D$155,1,0)&gt;=1,D$150,0),D93)=D$132,D$136,IF(IFERROR(IF(VLOOKUP(D93,D$151:D$155,1,0)&gt;=1,D$150,0),D93)=D$139,D$142,IF(IFERROR(IF(VLOOKUP(D93,D$151:D$155,1,0)&gt;=1,D$150,0),D93)=D$145,D$147,0)))</f>
        <v>4.5999999999999996</v>
      </c>
      <c r="E94" s="138">
        <f t="shared" si="56"/>
        <v>3.3</v>
      </c>
      <c r="F94" s="138">
        <f t="shared" si="56"/>
        <v>9.8000000000000007</v>
      </c>
      <c r="G94" s="138">
        <f t="shared" si="56"/>
        <v>0</v>
      </c>
      <c r="H94" s="138">
        <f t="shared" si="56"/>
        <v>0</v>
      </c>
      <c r="I94" s="138">
        <f t="shared" si="56"/>
        <v>5.6</v>
      </c>
      <c r="J94" s="138">
        <f t="shared" si="56"/>
        <v>1.8</v>
      </c>
      <c r="K94" s="138">
        <f t="shared" si="56"/>
        <v>4.3</v>
      </c>
      <c r="L94" s="138">
        <f t="shared" si="56"/>
        <v>0</v>
      </c>
      <c r="M94" s="138">
        <f t="shared" si="56"/>
        <v>0</v>
      </c>
      <c r="N94" s="138">
        <f t="shared" si="56"/>
        <v>0</v>
      </c>
      <c r="O94" s="138">
        <f t="shared" si="56"/>
        <v>0</v>
      </c>
      <c r="P94" s="138">
        <f t="shared" si="56"/>
        <v>3.5</v>
      </c>
      <c r="Q94" s="138">
        <f t="shared" si="56"/>
        <v>0</v>
      </c>
      <c r="R94" s="138">
        <f t="shared" si="56"/>
        <v>0</v>
      </c>
      <c r="S94" s="138">
        <f t="shared" si="56"/>
        <v>0</v>
      </c>
      <c r="T94" s="138">
        <f t="shared" si="56"/>
        <v>0</v>
      </c>
      <c r="U94" s="138">
        <f t="shared" si="56"/>
        <v>0</v>
      </c>
      <c r="V94" s="138">
        <f t="shared" si="56"/>
        <v>0</v>
      </c>
      <c r="W94" s="138">
        <f t="shared" si="56"/>
        <v>0</v>
      </c>
      <c r="X94" s="138">
        <f t="shared" si="56"/>
        <v>0</v>
      </c>
      <c r="Y94" s="138">
        <f t="shared" si="56"/>
        <v>0</v>
      </c>
      <c r="Z94" s="138">
        <f t="shared" si="56"/>
        <v>0</v>
      </c>
      <c r="AA94" s="138">
        <f t="shared" si="56"/>
        <v>0</v>
      </c>
      <c r="AB94" s="138">
        <f t="shared" si="56"/>
        <v>0</v>
      </c>
      <c r="AC94" s="243"/>
      <c r="AE94" s="206">
        <v>21</v>
      </c>
      <c r="AF94" s="171" t="str">
        <f>IF(ISBLANK(STUD!D42)," ",STUD!D42)</f>
        <v xml:space="preserve"> </v>
      </c>
      <c r="AG94" s="183">
        <f t="shared" si="41"/>
        <v>0</v>
      </c>
      <c r="AH94" s="183">
        <f t="shared" si="46"/>
        <v>0</v>
      </c>
      <c r="AI94" s="182" t="str">
        <f t="shared" si="42"/>
        <v xml:space="preserve"> </v>
      </c>
      <c r="AJ94" s="182" t="str">
        <f>IF(AI94="","",IFERROR(IF(VLOOKUP(AI94,Programa!$L$3:$M$18,2,0)="","",VLOOKUP(AI94,Programa!$L$3:$M$18,2,0)),""))</f>
        <v/>
      </c>
      <c r="AK94" s="182" t="str">
        <f t="shared" si="43"/>
        <v xml:space="preserve"> </v>
      </c>
      <c r="AL94" s="182" t="str">
        <f>IF(AK94="","",IFERROR(IF(VLOOKUP(AK94,Programa!$L$19:$M$34,2,0)="","",VLOOKUP(AK94,Programa!$L$19:$M$34,2,0)),""))</f>
        <v/>
      </c>
      <c r="AM94" s="182" t="str">
        <f t="shared" si="44"/>
        <v xml:space="preserve"> </v>
      </c>
      <c r="AN94" s="182" t="str">
        <f>IF(AM94="","",IFERROR(IF(VLOOKUP(AM94,Programa!$L$35:$M$50,2,0)="","",VLOOKUP(AM94,Programa!$L$35:$M$50,2,0)),""))</f>
        <v/>
      </c>
    </row>
    <row r="95" spans="1:40" ht="15.75" customHeight="1" x14ac:dyDescent="0.4">
      <c r="A95" s="242">
        <f t="shared" si="49"/>
        <v>12</v>
      </c>
      <c r="B95" s="243">
        <f>STUD!D46</f>
        <v>0</v>
      </c>
      <c r="C95" s="244">
        <f>SUM(D96:AB96)</f>
        <v>51.599999999999994</v>
      </c>
      <c r="D95" s="139">
        <v>5</v>
      </c>
      <c r="E95" s="139">
        <v>6</v>
      </c>
      <c r="F95" s="139">
        <v>3</v>
      </c>
      <c r="G95" s="139">
        <v>11</v>
      </c>
      <c r="H95" s="139">
        <v>6</v>
      </c>
      <c r="I95" s="139">
        <v>9</v>
      </c>
      <c r="J95" s="139">
        <v>11</v>
      </c>
      <c r="K95" s="139">
        <v>9</v>
      </c>
      <c r="L95" s="139">
        <v>3</v>
      </c>
      <c r="M95" s="139">
        <v>11</v>
      </c>
      <c r="N95" s="14">
        <v>10</v>
      </c>
      <c r="O95" s="14">
        <v>10</v>
      </c>
      <c r="P95" s="14">
        <v>6</v>
      </c>
      <c r="Q95" s="14">
        <v>11</v>
      </c>
      <c r="R95" s="14">
        <v>12</v>
      </c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243">
        <f>SUM(D96:AB96)</f>
        <v>51.599999999999994</v>
      </c>
      <c r="AE95" s="207">
        <v>22</v>
      </c>
      <c r="AF95" s="171" t="str">
        <f>IF(ISBLANK(STUD!D37)," ",STUD!D37)</f>
        <v xml:space="preserve"> </v>
      </c>
      <c r="AG95" s="183">
        <f t="shared" si="41"/>
        <v>0</v>
      </c>
      <c r="AH95" s="183">
        <f t="shared" si="46"/>
        <v>0</v>
      </c>
      <c r="AI95" s="182" t="str">
        <f t="shared" si="42"/>
        <v xml:space="preserve"> </v>
      </c>
      <c r="AJ95" s="182" t="str">
        <f>IF(AI95="","",IFERROR(IF(VLOOKUP(AI95,Programa!$L$3:$M$18,2,0)="","",VLOOKUP(AI95,Programa!$L$3:$M$18,2,0)),""))</f>
        <v/>
      </c>
      <c r="AK95" s="182" t="str">
        <f t="shared" si="43"/>
        <v xml:space="preserve"> </v>
      </c>
      <c r="AL95" s="182" t="str">
        <f>IF(AK95="","",IFERROR(IF(VLOOKUP(AK95,Programa!$L$19:$M$34,2,0)="","",VLOOKUP(AK95,Programa!$L$19:$M$34,2,0)),""))</f>
        <v/>
      </c>
      <c r="AM95" s="182" t="str">
        <f t="shared" si="44"/>
        <v xml:space="preserve"> </v>
      </c>
      <c r="AN95" s="182" t="str">
        <f>IF(AM95="","",IFERROR(IF(VLOOKUP(AM95,Programa!$L$35:$M$50,2,0)="","",VLOOKUP(AM95,Programa!$L$35:$M$50,2,0)),""))</f>
        <v/>
      </c>
    </row>
    <row r="96" spans="1:40" ht="15.75" customHeight="1" x14ac:dyDescent="0.4">
      <c r="A96" s="242"/>
      <c r="B96" s="243"/>
      <c r="C96" s="245"/>
      <c r="D96" s="138">
        <f t="shared" ref="D96:AB96" si="57">IF(IFERROR(IF(VLOOKUP(D95,D$151:D$155,1,0)&gt;=1,D$150,0),D95)=D$132,D$136,IF(IFERROR(IF(VLOOKUP(D95,D$151:D$155,1,0)&gt;=1,D$150,0),D95)=D$139,D$142,IF(IFERROR(IF(VLOOKUP(D95,D$151:D$155,1,0)&gt;=1,D$150,0),D95)=D$145,D$147,0)))</f>
        <v>0</v>
      </c>
      <c r="E96" s="138">
        <f t="shared" si="57"/>
        <v>0</v>
      </c>
      <c r="F96" s="138">
        <f t="shared" si="57"/>
        <v>0</v>
      </c>
      <c r="G96" s="138">
        <f t="shared" si="57"/>
        <v>1.8</v>
      </c>
      <c r="H96" s="138">
        <f t="shared" si="57"/>
        <v>0</v>
      </c>
      <c r="I96" s="138">
        <f t="shared" si="57"/>
        <v>0</v>
      </c>
      <c r="J96" s="138">
        <f t="shared" si="57"/>
        <v>1.8</v>
      </c>
      <c r="K96" s="138">
        <f t="shared" si="57"/>
        <v>0</v>
      </c>
      <c r="L96" s="138">
        <f t="shared" si="57"/>
        <v>0</v>
      </c>
      <c r="M96" s="138">
        <f t="shared" si="57"/>
        <v>7.7</v>
      </c>
      <c r="N96" s="138">
        <f t="shared" si="57"/>
        <v>0</v>
      </c>
      <c r="O96" s="138">
        <f t="shared" si="57"/>
        <v>2.5</v>
      </c>
      <c r="P96" s="138">
        <f t="shared" si="57"/>
        <v>0</v>
      </c>
      <c r="Q96" s="138">
        <f t="shared" si="57"/>
        <v>0</v>
      </c>
      <c r="R96" s="138">
        <f t="shared" si="57"/>
        <v>37.799999999999997</v>
      </c>
      <c r="S96" s="138">
        <f t="shared" si="57"/>
        <v>0</v>
      </c>
      <c r="T96" s="138">
        <f t="shared" si="57"/>
        <v>0</v>
      </c>
      <c r="U96" s="138">
        <f t="shared" si="57"/>
        <v>0</v>
      </c>
      <c r="V96" s="138">
        <f t="shared" si="57"/>
        <v>0</v>
      </c>
      <c r="W96" s="138">
        <f t="shared" si="57"/>
        <v>0</v>
      </c>
      <c r="X96" s="138">
        <f t="shared" si="57"/>
        <v>0</v>
      </c>
      <c r="Y96" s="138">
        <f t="shared" si="57"/>
        <v>0</v>
      </c>
      <c r="Z96" s="138">
        <f t="shared" si="57"/>
        <v>0</v>
      </c>
      <c r="AA96" s="138">
        <f t="shared" si="57"/>
        <v>0</v>
      </c>
      <c r="AB96" s="138">
        <f t="shared" si="57"/>
        <v>0</v>
      </c>
      <c r="AC96" s="243"/>
      <c r="AE96" s="208">
        <v>23</v>
      </c>
      <c r="AF96" s="171" t="str">
        <f>IF(ISBLANK(STUD!D52)," ",STUD!D52)</f>
        <v xml:space="preserve"> </v>
      </c>
      <c r="AG96" s="183">
        <f t="shared" si="41"/>
        <v>0</v>
      </c>
      <c r="AH96" s="183">
        <f t="shared" si="46"/>
        <v>0</v>
      </c>
      <c r="AI96" s="182" t="str">
        <f t="shared" si="42"/>
        <v xml:space="preserve"> </v>
      </c>
      <c r="AJ96" s="182" t="str">
        <f>IF(AI96="","",IFERROR(IF(VLOOKUP(AI96,Programa!$L$3:$M$18,2,0)="","",VLOOKUP(AI96,Programa!$L$3:$M$18,2,0)),""))</f>
        <v/>
      </c>
      <c r="AK96" s="182" t="str">
        <f t="shared" si="43"/>
        <v xml:space="preserve"> </v>
      </c>
      <c r="AL96" s="182" t="str">
        <f>IF(AK96="","",IFERROR(IF(VLOOKUP(AK96,Programa!$L$19:$M$34,2,0)="","",VLOOKUP(AK96,Programa!$L$19:$M$34,2,0)),""))</f>
        <v/>
      </c>
      <c r="AM96" s="182" t="str">
        <f t="shared" si="44"/>
        <v xml:space="preserve"> </v>
      </c>
      <c r="AN96" s="182" t="str">
        <f>IF(AM96="","",IFERROR(IF(VLOOKUP(AM96,Programa!$L$35:$M$50,2,0)="","",VLOOKUP(AM96,Programa!$L$35:$M$50,2,0)),""))</f>
        <v/>
      </c>
    </row>
    <row r="97" spans="1:40" ht="15.75" customHeight="1" x14ac:dyDescent="0.4">
      <c r="A97" s="242">
        <f t="shared" si="49"/>
        <v>13</v>
      </c>
      <c r="B97" s="243">
        <f>STUD!D47</f>
        <v>0</v>
      </c>
      <c r="C97" s="244">
        <f>SUM(D98:AB98)</f>
        <v>93.1</v>
      </c>
      <c r="D97" s="14">
        <v>8</v>
      </c>
      <c r="E97" s="14">
        <v>4</v>
      </c>
      <c r="F97" s="14">
        <v>5</v>
      </c>
      <c r="G97" s="14">
        <v>1</v>
      </c>
      <c r="H97" s="14">
        <v>4</v>
      </c>
      <c r="I97" s="14">
        <v>8</v>
      </c>
      <c r="J97" s="14">
        <v>9</v>
      </c>
      <c r="K97" s="14">
        <v>6</v>
      </c>
      <c r="L97" s="14">
        <v>7</v>
      </c>
      <c r="M97" s="14">
        <v>6</v>
      </c>
      <c r="N97" s="14">
        <v>4</v>
      </c>
      <c r="O97" s="139">
        <v>2</v>
      </c>
      <c r="P97" s="14">
        <v>6</v>
      </c>
      <c r="Q97" s="14">
        <v>12</v>
      </c>
      <c r="R97" s="14">
        <v>12</v>
      </c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243">
        <f>SUM(D98:AB98)</f>
        <v>93.1</v>
      </c>
      <c r="AE97" s="209">
        <v>24</v>
      </c>
      <c r="AF97" s="171" t="str">
        <f>IF(ISBLANK(STUD!D51)," ",STUD!D51)</f>
        <v xml:space="preserve"> </v>
      </c>
      <c r="AG97" s="183">
        <f t="shared" si="41"/>
        <v>0</v>
      </c>
      <c r="AH97" s="183">
        <f t="shared" si="46"/>
        <v>0</v>
      </c>
      <c r="AI97" s="182" t="str">
        <f t="shared" si="42"/>
        <v xml:space="preserve"> </v>
      </c>
      <c r="AJ97" s="182" t="str">
        <f>IF(AI97="","",IFERROR(IF(VLOOKUP(AI97,Programa!$L$3:$M$18,2,0)="","",VLOOKUP(AI97,Programa!$L$3:$M$18,2,0)),""))</f>
        <v/>
      </c>
      <c r="AK97" s="182" t="str">
        <f t="shared" si="43"/>
        <v xml:space="preserve"> </v>
      </c>
      <c r="AL97" s="182" t="str">
        <f>IF(AK97="","",IFERROR(IF(VLOOKUP(AK97,Programa!$L$19:$M$34,2,0)="","",VLOOKUP(AK97,Programa!$L$19:$M$34,2,0)),""))</f>
        <v/>
      </c>
      <c r="AM97" s="182" t="str">
        <f t="shared" si="44"/>
        <v xml:space="preserve"> </v>
      </c>
      <c r="AN97" s="182" t="str">
        <f>IF(AM97="","",IFERROR(IF(VLOOKUP(AM97,Programa!$L$35:$M$50,2,0)="","",VLOOKUP(AM97,Programa!$L$35:$M$50,2,0)),""))</f>
        <v/>
      </c>
    </row>
    <row r="98" spans="1:40" ht="15.75" customHeight="1" x14ac:dyDescent="0.4">
      <c r="A98" s="242"/>
      <c r="B98" s="243"/>
      <c r="C98" s="245"/>
      <c r="D98" s="138">
        <f t="shared" ref="D98:AB98" si="58">IF(IFERROR(IF(VLOOKUP(D97,D$151:D$155,1,0)&gt;=1,D$150,0),D97)=D$132,D$136,IF(IFERROR(IF(VLOOKUP(D97,D$151:D$155,1,0)&gt;=1,D$150,0),D97)=D$139,D$142,IF(IFERROR(IF(VLOOKUP(D97,D$151:D$155,1,0)&gt;=1,D$150,0),D97)=D$145,D$147,0)))</f>
        <v>0</v>
      </c>
      <c r="E98" s="138">
        <f t="shared" si="58"/>
        <v>6.4</v>
      </c>
      <c r="F98" s="138">
        <f t="shared" si="58"/>
        <v>0</v>
      </c>
      <c r="G98" s="138">
        <f t="shared" si="58"/>
        <v>5.6</v>
      </c>
      <c r="H98" s="138">
        <f t="shared" si="58"/>
        <v>25.5</v>
      </c>
      <c r="I98" s="138">
        <f t="shared" si="58"/>
        <v>1.6</v>
      </c>
      <c r="J98" s="138">
        <f t="shared" si="58"/>
        <v>0</v>
      </c>
      <c r="K98" s="138">
        <f t="shared" si="58"/>
        <v>0</v>
      </c>
      <c r="L98" s="138">
        <f t="shared" si="58"/>
        <v>0</v>
      </c>
      <c r="M98" s="138">
        <f t="shared" si="58"/>
        <v>0</v>
      </c>
      <c r="N98" s="138">
        <f t="shared" si="58"/>
        <v>0</v>
      </c>
      <c r="O98" s="138">
        <f t="shared" si="58"/>
        <v>7.9</v>
      </c>
      <c r="P98" s="138">
        <f t="shared" si="58"/>
        <v>0</v>
      </c>
      <c r="Q98" s="138">
        <f t="shared" si="58"/>
        <v>8.2999999999999989</v>
      </c>
      <c r="R98" s="138">
        <f t="shared" si="58"/>
        <v>37.799999999999997</v>
      </c>
      <c r="S98" s="138">
        <f t="shared" si="58"/>
        <v>0</v>
      </c>
      <c r="T98" s="138">
        <f t="shared" si="58"/>
        <v>0</v>
      </c>
      <c r="U98" s="138">
        <f t="shared" si="58"/>
        <v>0</v>
      </c>
      <c r="V98" s="138">
        <f t="shared" si="58"/>
        <v>0</v>
      </c>
      <c r="W98" s="138">
        <f t="shared" si="58"/>
        <v>0</v>
      </c>
      <c r="X98" s="138">
        <f t="shared" si="58"/>
        <v>0</v>
      </c>
      <c r="Y98" s="138">
        <f t="shared" si="58"/>
        <v>0</v>
      </c>
      <c r="Z98" s="138">
        <f t="shared" si="58"/>
        <v>0</v>
      </c>
      <c r="AA98" s="138">
        <f t="shared" si="58"/>
        <v>0</v>
      </c>
      <c r="AB98" s="138">
        <f t="shared" si="58"/>
        <v>0</v>
      </c>
      <c r="AC98" s="243"/>
      <c r="AE98" s="210">
        <v>25</v>
      </c>
      <c r="AF98" s="236" t="str">
        <f>IF(ISBLANK(STUD!B59)," ",STUD!B59)</f>
        <v>SOSAMAFIA</v>
      </c>
      <c r="AG98" s="183">
        <f t="shared" si="41"/>
        <v>0</v>
      </c>
      <c r="AH98" s="183">
        <f t="shared" si="46"/>
        <v>0</v>
      </c>
      <c r="AI98" s="182" t="str">
        <f t="shared" si="42"/>
        <v xml:space="preserve"> </v>
      </c>
      <c r="AJ98" s="182" t="str">
        <f>IF(AI98="","",IFERROR(IF(VLOOKUP(AI98,Programa!$L$3:$M$18,2,0)="","",VLOOKUP(AI98,Programa!$L$3:$M$18,2,0)),""))</f>
        <v/>
      </c>
      <c r="AK98" s="182" t="str">
        <f t="shared" si="43"/>
        <v xml:space="preserve"> </v>
      </c>
      <c r="AL98" s="182" t="str">
        <f>IF(AK98="","",IFERROR(IF(VLOOKUP(AK98,Programa!$L$19:$M$34,2,0)="","",VLOOKUP(AK98,Programa!$L$19:$M$34,2,0)),""))</f>
        <v/>
      </c>
      <c r="AM98" s="182" t="str">
        <f t="shared" si="44"/>
        <v xml:space="preserve"> </v>
      </c>
      <c r="AN98" s="182" t="str">
        <f>IF(AM98="","",IFERROR(IF(VLOOKUP(AM98,Programa!$L$35:$M$50,2,0)="","",VLOOKUP(AM98,Programa!$L$35:$M$50,2,0)),""))</f>
        <v/>
      </c>
    </row>
    <row r="99" spans="1:40" ht="15.75" customHeight="1" x14ac:dyDescent="0.4">
      <c r="A99" s="242">
        <f t="shared" si="49"/>
        <v>14</v>
      </c>
      <c r="B99" s="243">
        <f>STUD!D48</f>
        <v>0</v>
      </c>
      <c r="C99" s="244">
        <f>SUM(D100:AB100)</f>
        <v>46.3</v>
      </c>
      <c r="D99" s="14">
        <v>10</v>
      </c>
      <c r="E99" s="14">
        <v>9</v>
      </c>
      <c r="F99" s="14">
        <v>7</v>
      </c>
      <c r="G99" s="14">
        <v>1</v>
      </c>
      <c r="H99" s="14">
        <v>6</v>
      </c>
      <c r="I99" s="14">
        <v>7</v>
      </c>
      <c r="J99" s="14">
        <v>9</v>
      </c>
      <c r="K99" s="14">
        <v>9</v>
      </c>
      <c r="L99" s="14">
        <v>8</v>
      </c>
      <c r="M99" s="14">
        <v>6</v>
      </c>
      <c r="N99" s="14">
        <v>8</v>
      </c>
      <c r="O99" s="139">
        <v>9</v>
      </c>
      <c r="P99" s="14">
        <v>11</v>
      </c>
      <c r="Q99" s="14">
        <v>1</v>
      </c>
      <c r="R99" s="14">
        <v>2</v>
      </c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243">
        <f>SUM(D100:AB100)</f>
        <v>46.3</v>
      </c>
      <c r="AE99" s="211">
        <v>26</v>
      </c>
      <c r="AF99" s="236" t="str">
        <f>IF(ISBLANK(STUD!B60)," ",STUD!B60)</f>
        <v>JUAN DE LOS CABALLOS</v>
      </c>
      <c r="AG99" s="183">
        <f t="shared" si="41"/>
        <v>0</v>
      </c>
      <c r="AH99" s="183">
        <f t="shared" si="46"/>
        <v>0</v>
      </c>
      <c r="AI99" s="182" t="str">
        <f t="shared" si="42"/>
        <v xml:space="preserve"> </v>
      </c>
      <c r="AJ99" s="182" t="str">
        <f>IF(AI99="","",IFERROR(IF(VLOOKUP(AI99,Programa!$L$3:$M$18,2,0)="","",VLOOKUP(AI99,Programa!$L$3:$M$18,2,0)),""))</f>
        <v/>
      </c>
      <c r="AK99" s="182" t="str">
        <f t="shared" si="43"/>
        <v xml:space="preserve"> </v>
      </c>
      <c r="AL99" s="182" t="str">
        <f>IF(AK99="","",IFERROR(IF(VLOOKUP(AK99,Programa!$L$19:$M$34,2,0)="","",VLOOKUP(AK99,Programa!$L$19:$M$34,2,0)),""))</f>
        <v/>
      </c>
      <c r="AM99" s="182" t="str">
        <f t="shared" si="44"/>
        <v xml:space="preserve"> </v>
      </c>
      <c r="AN99" s="182" t="str">
        <f>IF(AM99="","",IFERROR(IF(VLOOKUP(AM99,Programa!$L$35:$M$50,2,0)="","",VLOOKUP(AM99,Programa!$L$35:$M$50,2,0)),""))</f>
        <v/>
      </c>
    </row>
    <row r="100" spans="1:40" ht="15.75" customHeight="1" x14ac:dyDescent="0.4">
      <c r="A100" s="242"/>
      <c r="B100" s="243"/>
      <c r="C100" s="245"/>
      <c r="D100" s="219">
        <f t="shared" ref="D100:AB100" si="59">IF(IFERROR(IF(VLOOKUP(D99,D$151:D$155,1,0)&gt;=1,D$150,0),D99)=D$132,D$136,IF(IFERROR(IF(VLOOKUP(D99,D$151:D$155,1,0)&gt;=1,D$150,0),D99)=D$139,D$142,IF(IFERROR(IF(VLOOKUP(D99,D$151:D$155,1,0)&gt;=1,D$150,0),D99)=D$145,D$147,0)))</f>
        <v>0</v>
      </c>
      <c r="E100" s="219">
        <f t="shared" si="59"/>
        <v>0</v>
      </c>
      <c r="F100" s="219">
        <f t="shared" si="59"/>
        <v>0</v>
      </c>
      <c r="G100" s="219">
        <f t="shared" si="59"/>
        <v>5.6</v>
      </c>
      <c r="H100" s="219">
        <f t="shared" si="59"/>
        <v>0</v>
      </c>
      <c r="I100" s="219">
        <f t="shared" si="59"/>
        <v>4.5999999999999996</v>
      </c>
      <c r="J100" s="219">
        <f t="shared" si="59"/>
        <v>0</v>
      </c>
      <c r="K100" s="219">
        <f t="shared" si="59"/>
        <v>0</v>
      </c>
      <c r="L100" s="219">
        <f t="shared" si="59"/>
        <v>11.5</v>
      </c>
      <c r="M100" s="219">
        <f t="shared" si="59"/>
        <v>0</v>
      </c>
      <c r="N100" s="219">
        <f t="shared" si="59"/>
        <v>0</v>
      </c>
      <c r="O100" s="219">
        <f t="shared" si="59"/>
        <v>0</v>
      </c>
      <c r="P100" s="219">
        <f t="shared" si="59"/>
        <v>0</v>
      </c>
      <c r="Q100" s="219">
        <f t="shared" si="59"/>
        <v>0</v>
      </c>
      <c r="R100" s="219">
        <f t="shared" si="59"/>
        <v>24.6</v>
      </c>
      <c r="S100" s="219">
        <f t="shared" si="59"/>
        <v>0</v>
      </c>
      <c r="T100" s="219">
        <f t="shared" si="59"/>
        <v>0</v>
      </c>
      <c r="U100" s="219">
        <f t="shared" si="59"/>
        <v>0</v>
      </c>
      <c r="V100" s="219">
        <f t="shared" si="59"/>
        <v>0</v>
      </c>
      <c r="W100" s="219">
        <f t="shared" si="59"/>
        <v>0</v>
      </c>
      <c r="X100" s="219">
        <f t="shared" si="59"/>
        <v>0</v>
      </c>
      <c r="Y100" s="219">
        <f t="shared" si="59"/>
        <v>0</v>
      </c>
      <c r="Z100" s="219">
        <f t="shared" si="59"/>
        <v>0</v>
      </c>
      <c r="AA100" s="219">
        <f t="shared" si="59"/>
        <v>0</v>
      </c>
      <c r="AB100" s="219">
        <f t="shared" si="59"/>
        <v>0</v>
      </c>
      <c r="AC100" s="243"/>
      <c r="AE100" s="212">
        <v>27</v>
      </c>
      <c r="AF100" s="236" t="str">
        <f>IF(ISBLANK(STUD!B61)," ",STUD!B61)</f>
        <v>MIS SOBRINOS</v>
      </c>
      <c r="AG100" s="183">
        <f t="shared" si="41"/>
        <v>0</v>
      </c>
      <c r="AH100" s="183">
        <f t="shared" si="46"/>
        <v>0</v>
      </c>
      <c r="AI100" s="182" t="str">
        <f t="shared" si="42"/>
        <v xml:space="preserve"> </v>
      </c>
      <c r="AJ100" s="182" t="str">
        <f>IF(AI100="","",IFERROR(IF(VLOOKUP(AI100,Programa!$L$3:$M$18,2,0)="","",VLOOKUP(AI100,Programa!$L$3:$M$18,2,0)),""))</f>
        <v/>
      </c>
      <c r="AK100" s="182" t="str">
        <f t="shared" si="43"/>
        <v xml:space="preserve"> </v>
      </c>
      <c r="AL100" s="182" t="str">
        <f>IF(AK100="","",IFERROR(IF(VLOOKUP(AK100,Programa!$L$19:$M$34,2,0)="","",VLOOKUP(AK100,Programa!$L$19:$M$34,2,0)),""))</f>
        <v/>
      </c>
      <c r="AM100" s="182" t="str">
        <f t="shared" si="44"/>
        <v xml:space="preserve"> </v>
      </c>
      <c r="AN100" s="182" t="str">
        <f>IF(AM100="","",IFERROR(IF(VLOOKUP(AM100,Programa!$L$35:$M$50,2,0)="","",VLOOKUP(AM100,Programa!$L$35:$M$50,2,0)),""))</f>
        <v/>
      </c>
    </row>
    <row r="101" spans="1:40" ht="15.75" customHeight="1" x14ac:dyDescent="0.4">
      <c r="A101" s="242">
        <f t="shared" si="49"/>
        <v>15</v>
      </c>
      <c r="B101" s="243">
        <f>STUD!D49</f>
        <v>0</v>
      </c>
      <c r="C101" s="244">
        <f>SUM(D102:AB102)</f>
        <v>39.5</v>
      </c>
      <c r="D101" s="14">
        <v>5</v>
      </c>
      <c r="E101" s="14">
        <v>2</v>
      </c>
      <c r="F101" s="14">
        <v>5</v>
      </c>
      <c r="G101" s="14">
        <v>11</v>
      </c>
      <c r="H101" s="14">
        <v>1</v>
      </c>
      <c r="I101" s="14">
        <v>9</v>
      </c>
      <c r="J101" s="14">
        <v>1</v>
      </c>
      <c r="K101" s="14">
        <v>9</v>
      </c>
      <c r="L101" s="14">
        <v>8</v>
      </c>
      <c r="M101" s="14">
        <v>5</v>
      </c>
      <c r="N101" s="14">
        <v>8</v>
      </c>
      <c r="O101" s="139">
        <v>9</v>
      </c>
      <c r="P101" s="14">
        <v>14</v>
      </c>
      <c r="Q101" s="14">
        <v>1</v>
      </c>
      <c r="R101" s="14">
        <v>13</v>
      </c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243">
        <f>SUM(D102:AB102)</f>
        <v>39.5</v>
      </c>
      <c r="AE101" s="213">
        <v>28</v>
      </c>
      <c r="AF101" s="236" t="str">
        <f>IF(ISBLANK(STUD!B62)," ",STUD!B62)</f>
        <v>SANVI</v>
      </c>
      <c r="AG101" s="183">
        <f t="shared" si="41"/>
        <v>0</v>
      </c>
      <c r="AH101" s="183">
        <f t="shared" si="46"/>
        <v>0</v>
      </c>
      <c r="AI101" s="182" t="str">
        <f t="shared" si="42"/>
        <v xml:space="preserve"> </v>
      </c>
      <c r="AJ101" s="182" t="str">
        <f>IF(AI101="","",IFERROR(IF(VLOOKUP(AI101,Programa!$L$3:$M$18,2,0)="","",VLOOKUP(AI101,Programa!$L$3:$M$18,2,0)),""))</f>
        <v/>
      </c>
      <c r="AK101" s="182" t="str">
        <f t="shared" si="43"/>
        <v xml:space="preserve"> </v>
      </c>
      <c r="AL101" s="182" t="str">
        <f>IF(AK101="","",IFERROR(IF(VLOOKUP(AK101,Programa!$L$19:$M$34,2,0)="","",VLOOKUP(AK101,Programa!$L$19:$M$34,2,0)),""))</f>
        <v/>
      </c>
      <c r="AM101" s="182" t="str">
        <f t="shared" si="44"/>
        <v xml:space="preserve"> </v>
      </c>
      <c r="AN101" s="182" t="str">
        <f>IF(AM101="","",IFERROR(IF(VLOOKUP(AM101,Programa!$L$35:$M$50,2,0)="","",VLOOKUP(AM101,Programa!$L$35:$M$50,2,0)),""))</f>
        <v/>
      </c>
    </row>
    <row r="102" spans="1:40" ht="15.75" customHeight="1" x14ac:dyDescent="0.4">
      <c r="A102" s="242"/>
      <c r="B102" s="243"/>
      <c r="C102" s="245"/>
      <c r="D102" s="138">
        <f t="shared" ref="D102:AB102" si="60">IF(IFERROR(IF(VLOOKUP(D101,D$151:D$155,1,0)&gt;=1,D$150,0),D101)=D$132,D$136,IF(IFERROR(IF(VLOOKUP(D101,D$151:D$155,1,0)&gt;=1,D$150,0),D101)=D$139,D$142,IF(IFERROR(IF(VLOOKUP(D101,D$151:D$155,1,0)&gt;=1,D$150,0),D101)=D$145,D$147,0)))</f>
        <v>0</v>
      </c>
      <c r="E102" s="138">
        <f t="shared" si="60"/>
        <v>3.3</v>
      </c>
      <c r="F102" s="138">
        <f t="shared" si="60"/>
        <v>0</v>
      </c>
      <c r="G102" s="138">
        <f t="shared" si="60"/>
        <v>1.8</v>
      </c>
      <c r="H102" s="138">
        <f t="shared" si="60"/>
        <v>0</v>
      </c>
      <c r="I102" s="138">
        <f t="shared" si="60"/>
        <v>0</v>
      </c>
      <c r="J102" s="138">
        <f t="shared" si="60"/>
        <v>16.399999999999999</v>
      </c>
      <c r="K102" s="138">
        <f t="shared" si="60"/>
        <v>0</v>
      </c>
      <c r="L102" s="138">
        <f t="shared" si="60"/>
        <v>11.5</v>
      </c>
      <c r="M102" s="138">
        <f t="shared" si="60"/>
        <v>3</v>
      </c>
      <c r="N102" s="138">
        <f t="shared" si="60"/>
        <v>0</v>
      </c>
      <c r="O102" s="138">
        <f t="shared" si="60"/>
        <v>0</v>
      </c>
      <c r="P102" s="138">
        <f t="shared" si="60"/>
        <v>3.5</v>
      </c>
      <c r="Q102" s="138">
        <f t="shared" si="60"/>
        <v>0</v>
      </c>
      <c r="R102" s="138">
        <f t="shared" si="60"/>
        <v>0</v>
      </c>
      <c r="S102" s="138">
        <f t="shared" si="60"/>
        <v>0</v>
      </c>
      <c r="T102" s="138">
        <f t="shared" si="60"/>
        <v>0</v>
      </c>
      <c r="U102" s="138">
        <f t="shared" si="60"/>
        <v>0</v>
      </c>
      <c r="V102" s="138">
        <f t="shared" si="60"/>
        <v>0</v>
      </c>
      <c r="W102" s="138">
        <f t="shared" si="60"/>
        <v>0</v>
      </c>
      <c r="X102" s="138">
        <f t="shared" si="60"/>
        <v>0</v>
      </c>
      <c r="Y102" s="138">
        <f t="shared" si="60"/>
        <v>0</v>
      </c>
      <c r="Z102" s="138">
        <f t="shared" si="60"/>
        <v>0</v>
      </c>
      <c r="AA102" s="138">
        <f t="shared" si="60"/>
        <v>0</v>
      </c>
      <c r="AB102" s="138">
        <f t="shared" si="60"/>
        <v>0</v>
      </c>
      <c r="AC102" s="243"/>
      <c r="AI102" s="54"/>
      <c r="AJ102" s="54"/>
      <c r="AK102" s="54"/>
      <c r="AL102" s="54"/>
      <c r="AM102" s="54"/>
      <c r="AN102" s="54"/>
    </row>
    <row r="103" spans="1:40" ht="15.75" customHeight="1" x14ac:dyDescent="0.45">
      <c r="A103" s="242">
        <f t="shared" si="49"/>
        <v>16</v>
      </c>
      <c r="B103" s="243">
        <f>STUD!D50</f>
        <v>0</v>
      </c>
      <c r="C103" s="244">
        <f>SUM(D104:AB104)</f>
        <v>43.3</v>
      </c>
      <c r="D103" s="14">
        <v>9</v>
      </c>
      <c r="E103" s="14">
        <v>6</v>
      </c>
      <c r="F103" s="14">
        <v>8</v>
      </c>
      <c r="G103" s="14">
        <v>11</v>
      </c>
      <c r="H103" s="14">
        <v>12</v>
      </c>
      <c r="I103" s="14">
        <v>7</v>
      </c>
      <c r="J103" s="14">
        <v>10</v>
      </c>
      <c r="K103" s="14">
        <v>4</v>
      </c>
      <c r="L103" s="14">
        <v>3</v>
      </c>
      <c r="M103" s="14">
        <v>7</v>
      </c>
      <c r="N103" s="14">
        <v>6</v>
      </c>
      <c r="O103" s="139">
        <v>9</v>
      </c>
      <c r="P103" s="14">
        <v>10</v>
      </c>
      <c r="Q103" s="14">
        <v>10</v>
      </c>
      <c r="R103" s="14">
        <v>13</v>
      </c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243">
        <f>SUM(D104:AB104)</f>
        <v>43.3</v>
      </c>
      <c r="AE103" s="55" t="s">
        <v>51</v>
      </c>
      <c r="AF103" s="57">
        <f>COUNTA(STUD!B35:B68)</f>
        <v>34</v>
      </c>
      <c r="AG103" s="55" t="s">
        <v>16</v>
      </c>
      <c r="AH103" s="56">
        <f>(AF103-1)*5000</f>
        <v>165000</v>
      </c>
    </row>
    <row r="104" spans="1:40" ht="15.75" customHeight="1" x14ac:dyDescent="0.4">
      <c r="A104" s="242"/>
      <c r="B104" s="243"/>
      <c r="C104" s="245"/>
      <c r="D104" s="138">
        <f t="shared" ref="D104:AB104" si="61">IF(IFERROR(IF(VLOOKUP(D103,D$151:D$155,1,0)&gt;=1,D$150,0),D103)=D$132,D$136,IF(IFERROR(IF(VLOOKUP(D103,D$151:D$155,1,0)&gt;=1,D$150,0),D103)=D$139,D$142,IF(IFERROR(IF(VLOOKUP(D103,D$151:D$155,1,0)&gt;=1,D$150,0),D103)=D$145,D$147,0)))</f>
        <v>0</v>
      </c>
      <c r="E104" s="138">
        <f t="shared" si="61"/>
        <v>0</v>
      </c>
      <c r="F104" s="138">
        <f t="shared" si="61"/>
        <v>2.7</v>
      </c>
      <c r="G104" s="138">
        <f t="shared" si="61"/>
        <v>1.8</v>
      </c>
      <c r="H104" s="138">
        <f t="shared" si="61"/>
        <v>1.8</v>
      </c>
      <c r="I104" s="138">
        <f t="shared" si="61"/>
        <v>4.5999999999999996</v>
      </c>
      <c r="J104" s="138">
        <f t="shared" si="61"/>
        <v>1.8</v>
      </c>
      <c r="K104" s="138">
        <f t="shared" si="61"/>
        <v>4.3</v>
      </c>
      <c r="L104" s="138">
        <f t="shared" si="61"/>
        <v>0</v>
      </c>
      <c r="M104" s="138">
        <f t="shared" si="61"/>
        <v>0</v>
      </c>
      <c r="N104" s="138">
        <f t="shared" si="61"/>
        <v>18</v>
      </c>
      <c r="O104" s="138">
        <f t="shared" si="61"/>
        <v>0</v>
      </c>
      <c r="P104" s="138">
        <f t="shared" si="61"/>
        <v>8.2999999999999989</v>
      </c>
      <c r="Q104" s="138">
        <f t="shared" si="61"/>
        <v>0</v>
      </c>
      <c r="R104" s="138">
        <f t="shared" si="61"/>
        <v>0</v>
      </c>
      <c r="S104" s="138">
        <f t="shared" si="61"/>
        <v>0</v>
      </c>
      <c r="T104" s="138">
        <f t="shared" si="61"/>
        <v>0</v>
      </c>
      <c r="U104" s="138">
        <f t="shared" si="61"/>
        <v>0</v>
      </c>
      <c r="V104" s="138">
        <f t="shared" si="61"/>
        <v>0</v>
      </c>
      <c r="W104" s="138">
        <f t="shared" si="61"/>
        <v>0</v>
      </c>
      <c r="X104" s="138">
        <f t="shared" si="61"/>
        <v>0</v>
      </c>
      <c r="Y104" s="138">
        <f t="shared" si="61"/>
        <v>0</v>
      </c>
      <c r="Z104" s="138">
        <f t="shared" si="61"/>
        <v>0</v>
      </c>
      <c r="AA104" s="138">
        <f t="shared" si="61"/>
        <v>0</v>
      </c>
      <c r="AB104" s="138">
        <f t="shared" si="61"/>
        <v>0</v>
      </c>
      <c r="AC104" s="243"/>
      <c r="AE104" s="58" t="s">
        <v>38</v>
      </c>
      <c r="AF104" s="58"/>
      <c r="AG104" s="59">
        <f>($AH$103-$AG$106)*80%</f>
        <v>118800</v>
      </c>
      <c r="AH104" s="59"/>
    </row>
    <row r="105" spans="1:40" ht="15.75" customHeight="1" x14ac:dyDescent="0.4">
      <c r="A105" s="242">
        <f t="shared" si="49"/>
        <v>17</v>
      </c>
      <c r="B105" s="243">
        <f>STUD!D51</f>
        <v>0</v>
      </c>
      <c r="C105" s="244">
        <f>SUM(D106:AB106)</f>
        <v>12.899999999999999</v>
      </c>
      <c r="D105" s="14">
        <v>8</v>
      </c>
      <c r="E105" s="14">
        <v>7</v>
      </c>
      <c r="F105" s="14">
        <v>4</v>
      </c>
      <c r="G105" s="14">
        <v>1</v>
      </c>
      <c r="H105" s="14">
        <v>5</v>
      </c>
      <c r="I105" s="14">
        <v>8</v>
      </c>
      <c r="J105" s="14">
        <v>5</v>
      </c>
      <c r="K105" s="14">
        <v>10</v>
      </c>
      <c r="L105" s="14">
        <v>4</v>
      </c>
      <c r="M105" s="14">
        <v>5</v>
      </c>
      <c r="N105" s="14">
        <v>5</v>
      </c>
      <c r="O105" s="139">
        <v>1</v>
      </c>
      <c r="P105" s="14">
        <v>4</v>
      </c>
      <c r="Q105" s="14">
        <v>5</v>
      </c>
      <c r="R105" s="14">
        <v>14</v>
      </c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243">
        <f>SUM(D106:AB106)</f>
        <v>12.899999999999999</v>
      </c>
      <c r="AE105" s="58" t="s">
        <v>39</v>
      </c>
      <c r="AF105" s="58"/>
      <c r="AG105" s="59">
        <f>($AH$103-$AG$106)*20%</f>
        <v>29700</v>
      </c>
      <c r="AH105" s="59"/>
    </row>
    <row r="106" spans="1:40" ht="15.75" customHeight="1" x14ac:dyDescent="0.4">
      <c r="A106" s="242"/>
      <c r="B106" s="243"/>
      <c r="C106" s="245"/>
      <c r="D106" s="138">
        <f t="shared" ref="D106:AB106" si="62">IF(IFERROR(IF(VLOOKUP(D105,D$151:D$155,1,0)&gt;=1,D$150,0),D105)=D$132,D$136,IF(IFERROR(IF(VLOOKUP(D105,D$151:D$155,1,0)&gt;=1,D$150,0),D105)=D$139,D$142,IF(IFERROR(IF(VLOOKUP(D105,D$151:D$155,1,0)&gt;=1,D$150,0),D105)=D$145,D$147,0)))</f>
        <v>0</v>
      </c>
      <c r="E106" s="138">
        <f t="shared" si="62"/>
        <v>0</v>
      </c>
      <c r="F106" s="138">
        <f t="shared" si="62"/>
        <v>0</v>
      </c>
      <c r="G106" s="138">
        <f t="shared" si="62"/>
        <v>5.6</v>
      </c>
      <c r="H106" s="138">
        <f t="shared" si="62"/>
        <v>0</v>
      </c>
      <c r="I106" s="138">
        <f t="shared" si="62"/>
        <v>1.6</v>
      </c>
      <c r="J106" s="138">
        <f t="shared" si="62"/>
        <v>0</v>
      </c>
      <c r="K106" s="138">
        <f t="shared" si="62"/>
        <v>0</v>
      </c>
      <c r="L106" s="138">
        <f t="shared" si="62"/>
        <v>2.7</v>
      </c>
      <c r="M106" s="138">
        <f t="shared" si="62"/>
        <v>3</v>
      </c>
      <c r="N106" s="138">
        <f t="shared" si="62"/>
        <v>0</v>
      </c>
      <c r="O106" s="138">
        <f t="shared" si="62"/>
        <v>0</v>
      </c>
      <c r="P106" s="138">
        <f t="shared" si="62"/>
        <v>0</v>
      </c>
      <c r="Q106" s="138">
        <f t="shared" si="62"/>
        <v>0</v>
      </c>
      <c r="R106" s="138">
        <f t="shared" si="62"/>
        <v>0</v>
      </c>
      <c r="S106" s="138">
        <f t="shared" si="62"/>
        <v>0</v>
      </c>
      <c r="T106" s="138">
        <f t="shared" si="62"/>
        <v>0</v>
      </c>
      <c r="U106" s="138">
        <f t="shared" si="62"/>
        <v>0</v>
      </c>
      <c r="V106" s="138">
        <f t="shared" si="62"/>
        <v>0</v>
      </c>
      <c r="W106" s="138">
        <f t="shared" si="62"/>
        <v>0</v>
      </c>
      <c r="X106" s="138">
        <f t="shared" si="62"/>
        <v>0</v>
      </c>
      <c r="Y106" s="138">
        <f t="shared" si="62"/>
        <v>0</v>
      </c>
      <c r="Z106" s="138">
        <f t="shared" si="62"/>
        <v>0</v>
      </c>
      <c r="AA106" s="138">
        <f t="shared" si="62"/>
        <v>0</v>
      </c>
      <c r="AB106" s="138">
        <f t="shared" si="62"/>
        <v>0</v>
      </c>
      <c r="AC106" s="243"/>
      <c r="AE106" s="58" t="s">
        <v>40</v>
      </c>
      <c r="AF106" s="58"/>
      <c r="AG106" s="60">
        <f>(AH103*10%)</f>
        <v>16500</v>
      </c>
      <c r="AH106" s="60"/>
    </row>
    <row r="107" spans="1:40" ht="15.75" customHeight="1" x14ac:dyDescent="0.4">
      <c r="A107" s="242">
        <f t="shared" si="49"/>
        <v>18</v>
      </c>
      <c r="B107" s="243">
        <f>STUD!D52</f>
        <v>0</v>
      </c>
      <c r="C107" s="244">
        <f>SUM(D108:AB108)</f>
        <v>13.100000000000001</v>
      </c>
      <c r="D107" s="14">
        <v>11</v>
      </c>
      <c r="E107" s="14">
        <v>9</v>
      </c>
      <c r="F107" s="14">
        <v>1</v>
      </c>
      <c r="G107" s="14">
        <v>8</v>
      </c>
      <c r="H107" s="14">
        <v>3</v>
      </c>
      <c r="I107" s="14">
        <v>9</v>
      </c>
      <c r="J107" s="14">
        <v>11</v>
      </c>
      <c r="K107" s="14">
        <v>9</v>
      </c>
      <c r="L107" s="14">
        <v>6</v>
      </c>
      <c r="M107" s="14">
        <v>6</v>
      </c>
      <c r="N107" s="14">
        <v>3</v>
      </c>
      <c r="O107" s="139">
        <v>3</v>
      </c>
      <c r="P107" s="14">
        <v>5</v>
      </c>
      <c r="Q107" s="14">
        <v>14</v>
      </c>
      <c r="R107" s="14">
        <v>13</v>
      </c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243">
        <f>SUM(D108:AB108)</f>
        <v>13.100000000000001</v>
      </c>
    </row>
    <row r="108" spans="1:40" ht="15.75" customHeight="1" x14ac:dyDescent="0.4">
      <c r="A108" s="242"/>
      <c r="B108" s="243"/>
      <c r="C108" s="245"/>
      <c r="D108" s="138">
        <f t="shared" ref="D108:AB108" si="63">IF(IFERROR(IF(VLOOKUP(D107,D$151:D$155,1,0)&gt;=1,D$150,0),D107)=D$132,D$136,IF(IFERROR(IF(VLOOKUP(D107,D$151:D$155,1,0)&gt;=1,D$150,0),D107)=D$139,D$142,IF(IFERROR(IF(VLOOKUP(D107,D$151:D$155,1,0)&gt;=1,D$150,0),D107)=D$145,D$147,0)))</f>
        <v>0</v>
      </c>
      <c r="E108" s="138">
        <f t="shared" si="63"/>
        <v>0</v>
      </c>
      <c r="F108" s="138">
        <f t="shared" si="63"/>
        <v>9.8000000000000007</v>
      </c>
      <c r="G108" s="138">
        <f t="shared" si="63"/>
        <v>0</v>
      </c>
      <c r="H108" s="138">
        <f t="shared" si="63"/>
        <v>0</v>
      </c>
      <c r="I108" s="138">
        <f t="shared" si="63"/>
        <v>0</v>
      </c>
      <c r="J108" s="138">
        <f t="shared" si="63"/>
        <v>1.8</v>
      </c>
      <c r="K108" s="138">
        <f t="shared" si="63"/>
        <v>0</v>
      </c>
      <c r="L108" s="138">
        <f t="shared" si="63"/>
        <v>1.5</v>
      </c>
      <c r="M108" s="138">
        <f t="shared" si="63"/>
        <v>0</v>
      </c>
      <c r="N108" s="138">
        <f t="shared" si="63"/>
        <v>0</v>
      </c>
      <c r="O108" s="138">
        <f t="shared" si="63"/>
        <v>0</v>
      </c>
      <c r="P108" s="138">
        <f t="shared" si="63"/>
        <v>0</v>
      </c>
      <c r="Q108" s="138">
        <f t="shared" si="63"/>
        <v>0</v>
      </c>
      <c r="R108" s="138">
        <f t="shared" si="63"/>
        <v>0</v>
      </c>
      <c r="S108" s="138">
        <f t="shared" si="63"/>
        <v>0</v>
      </c>
      <c r="T108" s="138">
        <f t="shared" si="63"/>
        <v>0</v>
      </c>
      <c r="U108" s="138">
        <f t="shared" si="63"/>
        <v>0</v>
      </c>
      <c r="V108" s="138">
        <f t="shared" si="63"/>
        <v>0</v>
      </c>
      <c r="W108" s="138">
        <f t="shared" si="63"/>
        <v>0</v>
      </c>
      <c r="X108" s="138">
        <f t="shared" si="63"/>
        <v>0</v>
      </c>
      <c r="Y108" s="138">
        <f t="shared" si="63"/>
        <v>0</v>
      </c>
      <c r="Z108" s="138">
        <f t="shared" si="63"/>
        <v>0</v>
      </c>
      <c r="AA108" s="138">
        <f t="shared" si="63"/>
        <v>0</v>
      </c>
      <c r="AB108" s="138">
        <f t="shared" si="63"/>
        <v>0</v>
      </c>
      <c r="AC108" s="243"/>
    </row>
    <row r="109" spans="1:40" ht="15.75" customHeight="1" x14ac:dyDescent="0.4">
      <c r="A109" s="242">
        <f t="shared" si="49"/>
        <v>19</v>
      </c>
      <c r="B109" s="243">
        <f>STUD!D53</f>
        <v>0</v>
      </c>
      <c r="C109" s="244">
        <f>SUM(D110:AB110)</f>
        <v>56.2</v>
      </c>
      <c r="D109" s="14">
        <v>3</v>
      </c>
      <c r="E109" s="14">
        <v>9</v>
      </c>
      <c r="F109" s="14">
        <v>8</v>
      </c>
      <c r="G109" s="14">
        <v>1</v>
      </c>
      <c r="H109" s="14">
        <v>11</v>
      </c>
      <c r="I109" s="14">
        <v>8</v>
      </c>
      <c r="J109" s="14">
        <v>6</v>
      </c>
      <c r="K109" s="14">
        <v>2</v>
      </c>
      <c r="L109" s="14">
        <v>8</v>
      </c>
      <c r="M109" s="14">
        <v>5</v>
      </c>
      <c r="N109" s="14">
        <v>8</v>
      </c>
      <c r="O109" s="139">
        <v>2</v>
      </c>
      <c r="P109" s="14">
        <v>14</v>
      </c>
      <c r="Q109" s="14">
        <v>6</v>
      </c>
      <c r="R109" s="14">
        <v>3</v>
      </c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243">
        <f>SUM(D110:AB110)</f>
        <v>56.2</v>
      </c>
    </row>
    <row r="110" spans="1:40" ht="15.75" customHeight="1" x14ac:dyDescent="0.4">
      <c r="A110" s="242"/>
      <c r="B110" s="243"/>
      <c r="C110" s="245"/>
      <c r="D110" s="138">
        <f t="shared" ref="D110:AB110" si="64">IF(IFERROR(IF(VLOOKUP(D109,D$151:D$155,1,0)&gt;=1,D$150,0),D109)=D$132,D$136,IF(IFERROR(IF(VLOOKUP(D109,D$151:D$155,1,0)&gt;=1,D$150,0),D109)=D$139,D$142,IF(IFERROR(IF(VLOOKUP(D109,D$151:D$155,1,0)&gt;=1,D$150,0),D109)=D$145,D$147,0)))</f>
        <v>1.6</v>
      </c>
      <c r="E110" s="138">
        <f t="shared" si="64"/>
        <v>0</v>
      </c>
      <c r="F110" s="138">
        <f t="shared" si="64"/>
        <v>2.7</v>
      </c>
      <c r="G110" s="138">
        <f t="shared" si="64"/>
        <v>5.6</v>
      </c>
      <c r="H110" s="138">
        <f t="shared" si="64"/>
        <v>9.8000000000000007</v>
      </c>
      <c r="I110" s="138">
        <f t="shared" si="64"/>
        <v>1.6</v>
      </c>
      <c r="J110" s="138">
        <f t="shared" si="64"/>
        <v>4.9000000000000004</v>
      </c>
      <c r="K110" s="138">
        <f t="shared" si="64"/>
        <v>0</v>
      </c>
      <c r="L110" s="138">
        <f t="shared" si="64"/>
        <v>11.5</v>
      </c>
      <c r="M110" s="138">
        <f t="shared" si="64"/>
        <v>3</v>
      </c>
      <c r="N110" s="138">
        <f t="shared" si="64"/>
        <v>0</v>
      </c>
      <c r="O110" s="138">
        <f t="shared" si="64"/>
        <v>7.9</v>
      </c>
      <c r="P110" s="138">
        <f t="shared" si="64"/>
        <v>3.5</v>
      </c>
      <c r="Q110" s="138">
        <f t="shared" si="64"/>
        <v>4.0999999999999996</v>
      </c>
      <c r="R110" s="138">
        <f t="shared" si="64"/>
        <v>0</v>
      </c>
      <c r="S110" s="138">
        <f t="shared" si="64"/>
        <v>0</v>
      </c>
      <c r="T110" s="138">
        <f t="shared" si="64"/>
        <v>0</v>
      </c>
      <c r="U110" s="138">
        <f t="shared" si="64"/>
        <v>0</v>
      </c>
      <c r="V110" s="138">
        <f t="shared" si="64"/>
        <v>0</v>
      </c>
      <c r="W110" s="138">
        <f t="shared" si="64"/>
        <v>0</v>
      </c>
      <c r="X110" s="138">
        <f t="shared" si="64"/>
        <v>0</v>
      </c>
      <c r="Y110" s="138">
        <f t="shared" si="64"/>
        <v>0</v>
      </c>
      <c r="Z110" s="138">
        <f t="shared" si="64"/>
        <v>0</v>
      </c>
      <c r="AA110" s="138">
        <f t="shared" si="64"/>
        <v>0</v>
      </c>
      <c r="AB110" s="138">
        <f t="shared" si="64"/>
        <v>0</v>
      </c>
      <c r="AC110" s="243"/>
    </row>
    <row r="111" spans="1:40" ht="15.75" customHeight="1" x14ac:dyDescent="0.4">
      <c r="A111" s="242">
        <f t="shared" si="49"/>
        <v>20</v>
      </c>
      <c r="B111" s="243">
        <f>STUD!D54</f>
        <v>0</v>
      </c>
      <c r="C111" s="244">
        <f>SUM(D112:AB112)</f>
        <v>34.699999999999996</v>
      </c>
      <c r="D111" s="14">
        <v>12</v>
      </c>
      <c r="E111" s="14">
        <v>7</v>
      </c>
      <c r="F111" s="14">
        <v>8</v>
      </c>
      <c r="G111" s="14">
        <v>6</v>
      </c>
      <c r="H111" s="14">
        <v>11</v>
      </c>
      <c r="I111" s="14">
        <v>9</v>
      </c>
      <c r="J111" s="14">
        <v>9</v>
      </c>
      <c r="K111" s="14">
        <v>9</v>
      </c>
      <c r="L111" s="14">
        <v>1</v>
      </c>
      <c r="M111" s="14">
        <v>11</v>
      </c>
      <c r="N111" s="14">
        <v>7</v>
      </c>
      <c r="O111" s="139">
        <v>4</v>
      </c>
      <c r="P111" s="14">
        <v>14</v>
      </c>
      <c r="Q111" s="14">
        <v>1</v>
      </c>
      <c r="R111" s="14">
        <v>1</v>
      </c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243">
        <f>SUM(D112:AB112)</f>
        <v>34.699999999999996</v>
      </c>
    </row>
    <row r="112" spans="1:40" ht="15.75" customHeight="1" x14ac:dyDescent="0.4">
      <c r="A112" s="242"/>
      <c r="B112" s="243"/>
      <c r="C112" s="245"/>
      <c r="D112" s="138">
        <f t="shared" ref="D112:AB112" si="65">IF(IFERROR(IF(VLOOKUP(D111,D$151:D$155,1,0)&gt;=1,D$150,0),D111)=D$132,D$136,IF(IFERROR(IF(VLOOKUP(D111,D$151:D$155,1,0)&gt;=1,D$150,0),D111)=D$139,D$142,IF(IFERROR(IF(VLOOKUP(D111,D$151:D$155,1,0)&gt;=1,D$150,0),D111)=D$145,D$147,0)))</f>
        <v>0</v>
      </c>
      <c r="E112" s="138">
        <f t="shared" si="65"/>
        <v>0</v>
      </c>
      <c r="F112" s="138">
        <f t="shared" si="65"/>
        <v>2.7</v>
      </c>
      <c r="G112" s="138">
        <f t="shared" si="65"/>
        <v>0</v>
      </c>
      <c r="H112" s="138">
        <f t="shared" si="65"/>
        <v>9.8000000000000007</v>
      </c>
      <c r="I112" s="138">
        <f t="shared" si="65"/>
        <v>0</v>
      </c>
      <c r="J112" s="138">
        <f t="shared" si="65"/>
        <v>0</v>
      </c>
      <c r="K112" s="138">
        <f t="shared" si="65"/>
        <v>0</v>
      </c>
      <c r="L112" s="138">
        <f t="shared" si="65"/>
        <v>2.7</v>
      </c>
      <c r="M112" s="138">
        <f t="shared" si="65"/>
        <v>7.7</v>
      </c>
      <c r="N112" s="138">
        <f t="shared" si="65"/>
        <v>1.2</v>
      </c>
      <c r="O112" s="138">
        <f t="shared" si="65"/>
        <v>7.1</v>
      </c>
      <c r="P112" s="138">
        <f t="shared" si="65"/>
        <v>3.5</v>
      </c>
      <c r="Q112" s="138">
        <f t="shared" si="65"/>
        <v>0</v>
      </c>
      <c r="R112" s="138">
        <f t="shared" si="65"/>
        <v>0</v>
      </c>
      <c r="S112" s="138">
        <f t="shared" si="65"/>
        <v>0</v>
      </c>
      <c r="T112" s="138">
        <f t="shared" si="65"/>
        <v>0</v>
      </c>
      <c r="U112" s="138">
        <f t="shared" si="65"/>
        <v>0</v>
      </c>
      <c r="V112" s="138">
        <f t="shared" si="65"/>
        <v>0</v>
      </c>
      <c r="W112" s="138">
        <f t="shared" si="65"/>
        <v>0</v>
      </c>
      <c r="X112" s="138">
        <f t="shared" si="65"/>
        <v>0</v>
      </c>
      <c r="Y112" s="138">
        <f t="shared" si="65"/>
        <v>0</v>
      </c>
      <c r="Z112" s="138">
        <f t="shared" si="65"/>
        <v>0</v>
      </c>
      <c r="AA112" s="138">
        <f t="shared" si="65"/>
        <v>0</v>
      </c>
      <c r="AB112" s="138">
        <f t="shared" si="65"/>
        <v>0</v>
      </c>
      <c r="AC112" s="243"/>
    </row>
    <row r="113" spans="1:29" ht="15.75" customHeight="1" x14ac:dyDescent="0.4">
      <c r="A113" s="242">
        <f t="shared" si="49"/>
        <v>21</v>
      </c>
      <c r="B113" s="243">
        <f>STUD!D55</f>
        <v>0</v>
      </c>
      <c r="C113" s="244">
        <f>SUM(D114:AB114)</f>
        <v>58</v>
      </c>
      <c r="D113" s="14">
        <v>6</v>
      </c>
      <c r="E113" s="14">
        <v>4</v>
      </c>
      <c r="F113" s="14">
        <v>3</v>
      </c>
      <c r="G113" s="14">
        <v>10</v>
      </c>
      <c r="H113" s="14">
        <v>1</v>
      </c>
      <c r="I113" s="14">
        <v>5</v>
      </c>
      <c r="J113" s="14">
        <v>1</v>
      </c>
      <c r="K113" s="14">
        <v>1</v>
      </c>
      <c r="L113" s="14">
        <v>6</v>
      </c>
      <c r="M113" s="14">
        <v>4</v>
      </c>
      <c r="N113" s="14">
        <v>4</v>
      </c>
      <c r="O113" s="14">
        <v>8</v>
      </c>
      <c r="P113" s="14">
        <v>8</v>
      </c>
      <c r="Q113" s="14">
        <v>2</v>
      </c>
      <c r="R113" s="14">
        <v>3</v>
      </c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243">
        <f>SUM(D114:AB114)</f>
        <v>58</v>
      </c>
    </row>
    <row r="114" spans="1:29" ht="15.75" customHeight="1" x14ac:dyDescent="0.4">
      <c r="A114" s="242"/>
      <c r="B114" s="243"/>
      <c r="C114" s="245"/>
      <c r="D114" s="138">
        <f t="shared" ref="D114:AB114" si="66">IF(IFERROR(IF(VLOOKUP(D113,D$151:D$155,1,0)&gt;=1,D$150,0),D113)=D$132,D$136,IF(IFERROR(IF(VLOOKUP(D113,D$151:D$155,1,0)&gt;=1,D$150,0),D113)=D$139,D$142,IF(IFERROR(IF(VLOOKUP(D113,D$151:D$155,1,0)&gt;=1,D$150,0),D113)=D$145,D$147,0)))</f>
        <v>4.5999999999999996</v>
      </c>
      <c r="E114" s="138">
        <f t="shared" si="66"/>
        <v>6.4</v>
      </c>
      <c r="F114" s="138">
        <f t="shared" si="66"/>
        <v>0</v>
      </c>
      <c r="G114" s="138">
        <f t="shared" si="66"/>
        <v>12.2</v>
      </c>
      <c r="H114" s="138">
        <f t="shared" si="66"/>
        <v>0</v>
      </c>
      <c r="I114" s="138">
        <f t="shared" si="66"/>
        <v>0</v>
      </c>
      <c r="J114" s="138">
        <f t="shared" si="66"/>
        <v>16.399999999999999</v>
      </c>
      <c r="K114" s="138">
        <f t="shared" si="66"/>
        <v>15.7</v>
      </c>
      <c r="L114" s="138">
        <f t="shared" si="66"/>
        <v>1.5</v>
      </c>
      <c r="M114" s="138">
        <f t="shared" si="66"/>
        <v>0</v>
      </c>
      <c r="N114" s="138">
        <f t="shared" si="66"/>
        <v>0</v>
      </c>
      <c r="O114" s="138">
        <f t="shared" si="66"/>
        <v>0</v>
      </c>
      <c r="P114" s="138">
        <f t="shared" si="66"/>
        <v>1.2</v>
      </c>
      <c r="Q114" s="138">
        <f t="shared" si="66"/>
        <v>0</v>
      </c>
      <c r="R114" s="138">
        <f t="shared" si="66"/>
        <v>0</v>
      </c>
      <c r="S114" s="138">
        <f t="shared" si="66"/>
        <v>0</v>
      </c>
      <c r="T114" s="138">
        <f t="shared" si="66"/>
        <v>0</v>
      </c>
      <c r="U114" s="138">
        <f t="shared" si="66"/>
        <v>0</v>
      </c>
      <c r="V114" s="138">
        <f t="shared" si="66"/>
        <v>0</v>
      </c>
      <c r="W114" s="138">
        <f t="shared" si="66"/>
        <v>0</v>
      </c>
      <c r="X114" s="138">
        <f t="shared" si="66"/>
        <v>0</v>
      </c>
      <c r="Y114" s="138">
        <f t="shared" si="66"/>
        <v>0</v>
      </c>
      <c r="Z114" s="138">
        <f t="shared" si="66"/>
        <v>0</v>
      </c>
      <c r="AA114" s="138">
        <f t="shared" si="66"/>
        <v>0</v>
      </c>
      <c r="AB114" s="138">
        <f t="shared" si="66"/>
        <v>0</v>
      </c>
      <c r="AC114" s="243"/>
    </row>
    <row r="115" spans="1:29" ht="15.75" customHeight="1" x14ac:dyDescent="0.4">
      <c r="A115" s="242">
        <f t="shared" si="49"/>
        <v>22</v>
      </c>
      <c r="B115" s="243">
        <f>STUD!D56</f>
        <v>0</v>
      </c>
      <c r="C115" s="244">
        <f>SUM(D116:AB116)</f>
        <v>24.9</v>
      </c>
      <c r="D115" s="14">
        <v>2</v>
      </c>
      <c r="E115" s="14">
        <v>6</v>
      </c>
      <c r="F115" s="14">
        <v>8</v>
      </c>
      <c r="G115" s="14">
        <v>11</v>
      </c>
      <c r="H115" s="14">
        <v>6</v>
      </c>
      <c r="I115" s="14">
        <v>6</v>
      </c>
      <c r="J115" s="14">
        <v>2</v>
      </c>
      <c r="K115" s="14">
        <v>4</v>
      </c>
      <c r="L115" s="14">
        <v>7</v>
      </c>
      <c r="M115" s="14">
        <v>9</v>
      </c>
      <c r="N115" s="14">
        <v>8</v>
      </c>
      <c r="O115" s="14">
        <v>10</v>
      </c>
      <c r="P115" s="14">
        <v>10</v>
      </c>
      <c r="Q115" s="14">
        <v>9</v>
      </c>
      <c r="R115" s="14">
        <v>14</v>
      </c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243">
        <f>SUM(D116:AB116)</f>
        <v>24.9</v>
      </c>
    </row>
    <row r="116" spans="1:29" ht="15.75" customHeight="1" x14ac:dyDescent="0.4">
      <c r="A116" s="242"/>
      <c r="B116" s="243"/>
      <c r="C116" s="245"/>
      <c r="D116" s="138">
        <f t="shared" ref="D116:AB116" si="67">IF(IFERROR(IF(VLOOKUP(D115,D$151:D$155,1,0)&gt;=1,D$150,0),D115)=D$132,D$136,IF(IFERROR(IF(VLOOKUP(D115,D$151:D$155,1,0)&gt;=1,D$150,0),D115)=D$139,D$142,IF(IFERROR(IF(VLOOKUP(D115,D$151:D$155,1,0)&gt;=1,D$150,0),D115)=D$145,D$147,0)))</f>
        <v>5.3000000000000007</v>
      </c>
      <c r="E116" s="138">
        <f t="shared" si="67"/>
        <v>0</v>
      </c>
      <c r="F116" s="138">
        <f t="shared" si="67"/>
        <v>2.7</v>
      </c>
      <c r="G116" s="138">
        <f t="shared" si="67"/>
        <v>1.8</v>
      </c>
      <c r="H116" s="138">
        <f t="shared" si="67"/>
        <v>0</v>
      </c>
      <c r="I116" s="138">
        <f t="shared" si="67"/>
        <v>0</v>
      </c>
      <c r="J116" s="138">
        <f t="shared" si="67"/>
        <v>0</v>
      </c>
      <c r="K116" s="138">
        <f t="shared" si="67"/>
        <v>4.3</v>
      </c>
      <c r="L116" s="138">
        <f t="shared" si="67"/>
        <v>0</v>
      </c>
      <c r="M116" s="138">
        <f t="shared" si="67"/>
        <v>0</v>
      </c>
      <c r="N116" s="138">
        <f t="shared" si="67"/>
        <v>0</v>
      </c>
      <c r="O116" s="138">
        <f t="shared" si="67"/>
        <v>2.5</v>
      </c>
      <c r="P116" s="138">
        <f t="shared" si="67"/>
        <v>8.2999999999999989</v>
      </c>
      <c r="Q116" s="138">
        <f t="shared" si="67"/>
        <v>0</v>
      </c>
      <c r="R116" s="138">
        <f t="shared" si="67"/>
        <v>0</v>
      </c>
      <c r="S116" s="138">
        <f t="shared" si="67"/>
        <v>0</v>
      </c>
      <c r="T116" s="138">
        <f t="shared" si="67"/>
        <v>0</v>
      </c>
      <c r="U116" s="138">
        <f t="shared" si="67"/>
        <v>0</v>
      </c>
      <c r="V116" s="138">
        <f t="shared" si="67"/>
        <v>0</v>
      </c>
      <c r="W116" s="138">
        <f t="shared" si="67"/>
        <v>0</v>
      </c>
      <c r="X116" s="138">
        <f t="shared" si="67"/>
        <v>0</v>
      </c>
      <c r="Y116" s="138">
        <f t="shared" si="67"/>
        <v>0</v>
      </c>
      <c r="Z116" s="138">
        <f t="shared" si="67"/>
        <v>0</v>
      </c>
      <c r="AA116" s="138">
        <f t="shared" si="67"/>
        <v>0</v>
      </c>
      <c r="AB116" s="138">
        <f t="shared" si="67"/>
        <v>0</v>
      </c>
      <c r="AC116" s="243"/>
    </row>
    <row r="117" spans="1:29" ht="15.75" customHeight="1" x14ac:dyDescent="0.4">
      <c r="A117" s="242">
        <f t="shared" si="49"/>
        <v>23</v>
      </c>
      <c r="B117" s="243">
        <f>STUD!D57</f>
        <v>0</v>
      </c>
      <c r="C117" s="244">
        <f>SUM(D118:AB118)</f>
        <v>25.299999999999997</v>
      </c>
      <c r="D117" s="14">
        <v>6</v>
      </c>
      <c r="E117" s="14">
        <v>5</v>
      </c>
      <c r="F117" s="14">
        <v>6</v>
      </c>
      <c r="G117" s="14">
        <v>3</v>
      </c>
      <c r="H117" s="14">
        <v>6</v>
      </c>
      <c r="I117" s="14">
        <v>1</v>
      </c>
      <c r="J117" s="14">
        <v>9</v>
      </c>
      <c r="K117" s="14">
        <v>9</v>
      </c>
      <c r="L117" s="14">
        <v>6</v>
      </c>
      <c r="M117" s="14">
        <v>9</v>
      </c>
      <c r="N117" s="14">
        <v>7</v>
      </c>
      <c r="O117" s="14">
        <v>3</v>
      </c>
      <c r="P117" s="14">
        <v>10</v>
      </c>
      <c r="Q117" s="14">
        <v>6</v>
      </c>
      <c r="R117" s="14">
        <v>3</v>
      </c>
      <c r="S117" s="14"/>
      <c r="T117" s="14"/>
      <c r="U117" s="14"/>
      <c r="V117" s="14"/>
      <c r="W117" s="14"/>
      <c r="X117" s="14"/>
      <c r="Y117" s="226"/>
      <c r="Z117" s="226"/>
      <c r="AA117" s="226"/>
      <c r="AB117" s="226"/>
      <c r="AC117" s="243">
        <f>SUM(D118:AB118)</f>
        <v>25.299999999999997</v>
      </c>
    </row>
    <row r="118" spans="1:29" ht="15.75" customHeight="1" x14ac:dyDescent="0.4">
      <c r="A118" s="242"/>
      <c r="B118" s="243"/>
      <c r="C118" s="245"/>
      <c r="D118" s="138">
        <f t="shared" ref="D118:AB118" si="68">IF(IFERROR(IF(VLOOKUP(D117,D$151:D$155,1,0)&gt;=1,D$150,0),D117)=D$132,D$136,IF(IFERROR(IF(VLOOKUP(D117,D$151:D$155,1,0)&gt;=1,D$150,0),D117)=D$139,D$142,IF(IFERROR(IF(VLOOKUP(D117,D$151:D$155,1,0)&gt;=1,D$150,0),D117)=D$145,D$147,0)))</f>
        <v>4.5999999999999996</v>
      </c>
      <c r="E118" s="138">
        <f t="shared" si="68"/>
        <v>0</v>
      </c>
      <c r="F118" s="138">
        <f t="shared" si="68"/>
        <v>0</v>
      </c>
      <c r="G118" s="138">
        <f t="shared" si="68"/>
        <v>0</v>
      </c>
      <c r="H118" s="138">
        <f t="shared" si="68"/>
        <v>0</v>
      </c>
      <c r="I118" s="138">
        <f t="shared" si="68"/>
        <v>5.6</v>
      </c>
      <c r="J118" s="138">
        <f t="shared" si="68"/>
        <v>0</v>
      </c>
      <c r="K118" s="138">
        <f t="shared" si="68"/>
        <v>0</v>
      </c>
      <c r="L118" s="138">
        <f t="shared" si="68"/>
        <v>1.5</v>
      </c>
      <c r="M118" s="138">
        <f t="shared" si="68"/>
        <v>0</v>
      </c>
      <c r="N118" s="138">
        <f t="shared" si="68"/>
        <v>1.2</v>
      </c>
      <c r="O118" s="138">
        <f t="shared" si="68"/>
        <v>0</v>
      </c>
      <c r="P118" s="138">
        <f t="shared" si="68"/>
        <v>8.2999999999999989</v>
      </c>
      <c r="Q118" s="138">
        <f t="shared" si="68"/>
        <v>4.0999999999999996</v>
      </c>
      <c r="R118" s="138">
        <f t="shared" si="68"/>
        <v>0</v>
      </c>
      <c r="S118" s="138">
        <f t="shared" si="68"/>
        <v>0</v>
      </c>
      <c r="T118" s="138">
        <f t="shared" si="68"/>
        <v>0</v>
      </c>
      <c r="U118" s="138">
        <f t="shared" si="68"/>
        <v>0</v>
      </c>
      <c r="V118" s="138">
        <f t="shared" si="68"/>
        <v>0</v>
      </c>
      <c r="W118" s="138">
        <f t="shared" si="68"/>
        <v>0</v>
      </c>
      <c r="X118" s="138">
        <f t="shared" si="68"/>
        <v>0</v>
      </c>
      <c r="Y118" s="138">
        <f t="shared" si="68"/>
        <v>0</v>
      </c>
      <c r="Z118" s="138">
        <f t="shared" si="68"/>
        <v>0</v>
      </c>
      <c r="AA118" s="138">
        <f t="shared" si="68"/>
        <v>0</v>
      </c>
      <c r="AB118" s="138">
        <f t="shared" si="68"/>
        <v>0</v>
      </c>
      <c r="AC118" s="243"/>
    </row>
    <row r="119" spans="1:29" ht="15.75" customHeight="1" x14ac:dyDescent="0.4">
      <c r="A119" s="242">
        <f t="shared" si="49"/>
        <v>24</v>
      </c>
      <c r="B119" s="243">
        <f>STUD!D58</f>
        <v>0</v>
      </c>
      <c r="C119" s="244">
        <f>SUM(D120:AB120)</f>
        <v>57.5</v>
      </c>
      <c r="D119" s="14">
        <v>8</v>
      </c>
      <c r="E119" s="14">
        <v>10</v>
      </c>
      <c r="F119" s="14">
        <v>3</v>
      </c>
      <c r="G119" s="14">
        <v>4</v>
      </c>
      <c r="H119" s="14">
        <v>10</v>
      </c>
      <c r="I119" s="14">
        <v>9</v>
      </c>
      <c r="J119" s="14">
        <v>11</v>
      </c>
      <c r="K119" s="14">
        <v>7</v>
      </c>
      <c r="L119" s="14">
        <v>8</v>
      </c>
      <c r="M119" s="14">
        <v>7</v>
      </c>
      <c r="N119" s="14">
        <v>1</v>
      </c>
      <c r="O119" s="14">
        <v>1</v>
      </c>
      <c r="P119" s="14">
        <v>6</v>
      </c>
      <c r="Q119" s="14">
        <v>3</v>
      </c>
      <c r="R119" s="14">
        <v>12</v>
      </c>
      <c r="S119" s="14"/>
      <c r="T119" s="14"/>
      <c r="U119" s="14"/>
      <c r="V119" s="14"/>
      <c r="W119" s="14"/>
      <c r="X119" s="14"/>
      <c r="Y119" s="226"/>
      <c r="Z119" s="226"/>
      <c r="AA119" s="226"/>
      <c r="AB119" s="226"/>
      <c r="AC119" s="243">
        <f>SUM(D120:AB120)</f>
        <v>57.5</v>
      </c>
    </row>
    <row r="120" spans="1:29" ht="15.75" customHeight="1" x14ac:dyDescent="0.4">
      <c r="A120" s="242"/>
      <c r="B120" s="243"/>
      <c r="C120" s="245"/>
      <c r="D120" s="138">
        <f t="shared" ref="D120:AB120" si="69">IF(IFERROR(IF(VLOOKUP(D119,D$151:D$155,1,0)&gt;=1,D$150,0),D119)=D$132,D$136,IF(IFERROR(IF(VLOOKUP(D119,D$151:D$155,1,0)&gt;=1,D$150,0),D119)=D$139,D$142,IF(IFERROR(IF(VLOOKUP(D119,D$151:D$155,1,0)&gt;=1,D$150,0),D119)=D$145,D$147,0)))</f>
        <v>0</v>
      </c>
      <c r="E120" s="138">
        <f t="shared" si="69"/>
        <v>6.4</v>
      </c>
      <c r="F120" s="138">
        <f t="shared" si="69"/>
        <v>0</v>
      </c>
      <c r="G120" s="138">
        <f t="shared" si="69"/>
        <v>0</v>
      </c>
      <c r="H120" s="138">
        <f t="shared" si="69"/>
        <v>0</v>
      </c>
      <c r="I120" s="138">
        <f t="shared" si="69"/>
        <v>0</v>
      </c>
      <c r="J120" s="138">
        <f t="shared" si="69"/>
        <v>1.8</v>
      </c>
      <c r="K120" s="138">
        <f t="shared" si="69"/>
        <v>0</v>
      </c>
      <c r="L120" s="138">
        <f t="shared" si="69"/>
        <v>11.5</v>
      </c>
      <c r="M120" s="138">
        <f t="shared" si="69"/>
        <v>0</v>
      </c>
      <c r="N120" s="138">
        <f t="shared" si="69"/>
        <v>0</v>
      </c>
      <c r="O120" s="138">
        <f t="shared" si="69"/>
        <v>0</v>
      </c>
      <c r="P120" s="138">
        <f t="shared" si="69"/>
        <v>0</v>
      </c>
      <c r="Q120" s="138">
        <f t="shared" si="69"/>
        <v>0</v>
      </c>
      <c r="R120" s="138">
        <f t="shared" si="69"/>
        <v>37.799999999999997</v>
      </c>
      <c r="S120" s="138">
        <f t="shared" si="69"/>
        <v>0</v>
      </c>
      <c r="T120" s="138">
        <f t="shared" si="69"/>
        <v>0</v>
      </c>
      <c r="U120" s="138">
        <f t="shared" si="69"/>
        <v>0</v>
      </c>
      <c r="V120" s="138">
        <f t="shared" si="69"/>
        <v>0</v>
      </c>
      <c r="W120" s="138">
        <f t="shared" si="69"/>
        <v>0</v>
      </c>
      <c r="X120" s="138">
        <f t="shared" si="69"/>
        <v>0</v>
      </c>
      <c r="Y120" s="138">
        <f t="shared" si="69"/>
        <v>0</v>
      </c>
      <c r="Z120" s="138">
        <f t="shared" si="69"/>
        <v>0</v>
      </c>
      <c r="AA120" s="138">
        <f t="shared" si="69"/>
        <v>0</v>
      </c>
      <c r="AB120" s="138">
        <f t="shared" si="69"/>
        <v>0</v>
      </c>
      <c r="AC120" s="243"/>
    </row>
    <row r="121" spans="1:29" ht="15.75" hidden="1" customHeight="1" x14ac:dyDescent="0.4">
      <c r="A121" s="242">
        <f t="shared" si="49"/>
        <v>25</v>
      </c>
      <c r="B121" s="243">
        <f>STUD!D59</f>
        <v>0</v>
      </c>
      <c r="C121" s="244">
        <f>SUM(D122:AB122)</f>
        <v>0</v>
      </c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9"/>
      <c r="Z121" s="119"/>
      <c r="AA121" s="119"/>
      <c r="AB121" s="119"/>
      <c r="AC121" s="243">
        <f>SUM(D122:AB122)</f>
        <v>0</v>
      </c>
    </row>
    <row r="122" spans="1:29" ht="15.75" hidden="1" customHeight="1" x14ac:dyDescent="0.4">
      <c r="A122" s="242"/>
      <c r="B122" s="243"/>
      <c r="C122" s="245"/>
      <c r="D122" s="108">
        <f t="shared" ref="D122:AB122" si="70">IF(IFERROR(IF(VLOOKUP(D121,D$151:D$155,1,0)&gt;=1,D$150,0),D121)=D$132,D$136,IF(IFERROR(IF(VLOOKUP(D121,D$151:D$155,1,0)&gt;=1,D$150,0),D121)=D$139,D$142,IF(IFERROR(IF(VLOOKUP(D121,D$151:D$155,1,0)&gt;=1,D$150,0),D121)=D$145,D$147,0)))</f>
        <v>0</v>
      </c>
      <c r="E122" s="108">
        <f t="shared" si="70"/>
        <v>0</v>
      </c>
      <c r="F122" s="108">
        <f t="shared" si="70"/>
        <v>0</v>
      </c>
      <c r="G122" s="108">
        <f t="shared" si="70"/>
        <v>0</v>
      </c>
      <c r="H122" s="108">
        <f t="shared" si="70"/>
        <v>0</v>
      </c>
      <c r="I122" s="108">
        <f t="shared" si="70"/>
        <v>0</v>
      </c>
      <c r="J122" s="108">
        <f t="shared" si="70"/>
        <v>0</v>
      </c>
      <c r="K122" s="108">
        <f t="shared" si="70"/>
        <v>0</v>
      </c>
      <c r="L122" s="108">
        <f t="shared" si="70"/>
        <v>0</v>
      </c>
      <c r="M122" s="108">
        <f t="shared" si="70"/>
        <v>0</v>
      </c>
      <c r="N122" s="108">
        <f t="shared" si="70"/>
        <v>0</v>
      </c>
      <c r="O122" s="108">
        <f t="shared" si="70"/>
        <v>0</v>
      </c>
      <c r="P122" s="108">
        <f t="shared" si="70"/>
        <v>0</v>
      </c>
      <c r="Q122" s="108">
        <f t="shared" si="70"/>
        <v>0</v>
      </c>
      <c r="R122" s="108">
        <f t="shared" si="70"/>
        <v>0</v>
      </c>
      <c r="S122" s="108">
        <f t="shared" si="70"/>
        <v>0</v>
      </c>
      <c r="T122" s="108">
        <f t="shared" si="70"/>
        <v>0</v>
      </c>
      <c r="U122" s="108">
        <f t="shared" si="70"/>
        <v>0</v>
      </c>
      <c r="V122" s="108">
        <f t="shared" si="70"/>
        <v>0</v>
      </c>
      <c r="W122" s="108">
        <f t="shared" si="70"/>
        <v>0</v>
      </c>
      <c r="X122" s="108">
        <f t="shared" si="70"/>
        <v>0</v>
      </c>
      <c r="Y122" s="108">
        <f t="shared" si="70"/>
        <v>0</v>
      </c>
      <c r="Z122" s="108">
        <f t="shared" si="70"/>
        <v>0</v>
      </c>
      <c r="AA122" s="108">
        <f t="shared" si="70"/>
        <v>0</v>
      </c>
      <c r="AB122" s="108">
        <f t="shared" si="70"/>
        <v>0</v>
      </c>
      <c r="AC122" s="243"/>
    </row>
    <row r="123" spans="1:29" ht="15.75" hidden="1" customHeight="1" x14ac:dyDescent="0.4">
      <c r="A123" s="285">
        <f t="shared" si="49"/>
        <v>26</v>
      </c>
      <c r="B123" s="243">
        <f>STUD!D60</f>
        <v>0</v>
      </c>
      <c r="C123" s="244">
        <f>SUM(D124:AB124)</f>
        <v>0</v>
      </c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9"/>
      <c r="Y123" s="119"/>
      <c r="Z123" s="119"/>
      <c r="AA123" s="119"/>
      <c r="AB123" s="119"/>
      <c r="AC123" s="243">
        <f>SUM(D124:AB124)</f>
        <v>0</v>
      </c>
    </row>
    <row r="124" spans="1:29" ht="19.5" hidden="1" x14ac:dyDescent="0.4">
      <c r="A124" s="286"/>
      <c r="B124" s="243"/>
      <c r="C124" s="245"/>
      <c r="D124" s="108">
        <f t="shared" ref="D124:AB124" si="71">IF(IFERROR(IF(VLOOKUP(D123,D$151:D$155,1,0)&gt;=1,D$150,0),D123)=D$132,D$136,IF(IFERROR(IF(VLOOKUP(D123,D$151:D$155,1,0)&gt;=1,D$150,0),D123)=D$139,D$142,IF(IFERROR(IF(VLOOKUP(D123,D$151:D$155,1,0)&gt;=1,D$150,0),D123)=D$145,D$147,0)))</f>
        <v>0</v>
      </c>
      <c r="E124" s="108">
        <f t="shared" si="71"/>
        <v>0</v>
      </c>
      <c r="F124" s="108">
        <f t="shared" si="71"/>
        <v>0</v>
      </c>
      <c r="G124" s="108">
        <f t="shared" si="71"/>
        <v>0</v>
      </c>
      <c r="H124" s="108">
        <f t="shared" si="71"/>
        <v>0</v>
      </c>
      <c r="I124" s="108">
        <f t="shared" si="71"/>
        <v>0</v>
      </c>
      <c r="J124" s="108">
        <f t="shared" si="71"/>
        <v>0</v>
      </c>
      <c r="K124" s="108">
        <f t="shared" si="71"/>
        <v>0</v>
      </c>
      <c r="L124" s="108">
        <f t="shared" si="71"/>
        <v>0</v>
      </c>
      <c r="M124" s="108">
        <f t="shared" si="71"/>
        <v>0</v>
      </c>
      <c r="N124" s="108">
        <f t="shared" si="71"/>
        <v>0</v>
      </c>
      <c r="O124" s="108">
        <f t="shared" si="71"/>
        <v>0</v>
      </c>
      <c r="P124" s="108">
        <f t="shared" si="71"/>
        <v>0</v>
      </c>
      <c r="Q124" s="108">
        <f t="shared" si="71"/>
        <v>0</v>
      </c>
      <c r="R124" s="108">
        <f t="shared" si="71"/>
        <v>0</v>
      </c>
      <c r="S124" s="108">
        <f t="shared" si="71"/>
        <v>0</v>
      </c>
      <c r="T124" s="108">
        <f t="shared" si="71"/>
        <v>0</v>
      </c>
      <c r="U124" s="108">
        <f t="shared" si="71"/>
        <v>0</v>
      </c>
      <c r="V124" s="108">
        <f t="shared" si="71"/>
        <v>0</v>
      </c>
      <c r="W124" s="108">
        <f t="shared" si="71"/>
        <v>0</v>
      </c>
      <c r="X124" s="108">
        <f t="shared" si="71"/>
        <v>0</v>
      </c>
      <c r="Y124" s="108">
        <f t="shared" si="71"/>
        <v>0</v>
      </c>
      <c r="Z124" s="108">
        <f t="shared" si="71"/>
        <v>0</v>
      </c>
      <c r="AA124" s="108">
        <f t="shared" si="71"/>
        <v>0</v>
      </c>
      <c r="AB124" s="108">
        <f t="shared" si="71"/>
        <v>0</v>
      </c>
      <c r="AC124" s="243"/>
    </row>
    <row r="125" spans="1:29" ht="19.5" hidden="1" x14ac:dyDescent="0.4">
      <c r="A125" s="285">
        <f t="shared" si="49"/>
        <v>27</v>
      </c>
      <c r="B125" s="243">
        <f>STUD!D61</f>
        <v>0</v>
      </c>
      <c r="C125" s="244">
        <f>SUM(D126:AB126)</f>
        <v>0</v>
      </c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9"/>
      <c r="Y125" s="119"/>
      <c r="Z125" s="119"/>
      <c r="AA125" s="119"/>
      <c r="AB125" s="119"/>
      <c r="AC125" s="243">
        <f>SUM(D126:AB126)</f>
        <v>0</v>
      </c>
    </row>
    <row r="126" spans="1:29" ht="19.5" hidden="1" x14ac:dyDescent="0.4">
      <c r="A126" s="286"/>
      <c r="B126" s="243"/>
      <c r="C126" s="245"/>
      <c r="D126" s="108">
        <f t="shared" ref="D126:AB126" si="72">IF(IFERROR(IF(VLOOKUP(D125,D$151:D$155,1,0)&gt;=1,D$150,0),D125)=D$132,D$136,IF(IFERROR(IF(VLOOKUP(D125,D$151:D$155,1,0)&gt;=1,D$150,0),D125)=D$139,D$142,IF(IFERROR(IF(VLOOKUP(D125,D$151:D$155,1,0)&gt;=1,D$150,0),D125)=D$145,D$147,0)))</f>
        <v>0</v>
      </c>
      <c r="E126" s="108">
        <f t="shared" si="72"/>
        <v>0</v>
      </c>
      <c r="F126" s="108">
        <f t="shared" si="72"/>
        <v>0</v>
      </c>
      <c r="G126" s="108">
        <f t="shared" si="72"/>
        <v>0</v>
      </c>
      <c r="H126" s="108">
        <f t="shared" si="72"/>
        <v>0</v>
      </c>
      <c r="I126" s="108">
        <f t="shared" si="72"/>
        <v>0</v>
      </c>
      <c r="J126" s="108">
        <f t="shared" si="72"/>
        <v>0</v>
      </c>
      <c r="K126" s="108">
        <f t="shared" si="72"/>
        <v>0</v>
      </c>
      <c r="L126" s="108">
        <f t="shared" si="72"/>
        <v>0</v>
      </c>
      <c r="M126" s="108">
        <f t="shared" si="72"/>
        <v>0</v>
      </c>
      <c r="N126" s="108">
        <f t="shared" si="72"/>
        <v>0</v>
      </c>
      <c r="O126" s="108">
        <f t="shared" si="72"/>
        <v>0</v>
      </c>
      <c r="P126" s="108">
        <f t="shared" si="72"/>
        <v>0</v>
      </c>
      <c r="Q126" s="108">
        <f t="shared" si="72"/>
        <v>0</v>
      </c>
      <c r="R126" s="108">
        <f t="shared" si="72"/>
        <v>0</v>
      </c>
      <c r="S126" s="108">
        <f t="shared" si="72"/>
        <v>0</v>
      </c>
      <c r="T126" s="108">
        <f t="shared" si="72"/>
        <v>0</v>
      </c>
      <c r="U126" s="108">
        <f t="shared" si="72"/>
        <v>0</v>
      </c>
      <c r="V126" s="108">
        <f t="shared" si="72"/>
        <v>0</v>
      </c>
      <c r="W126" s="108">
        <f t="shared" si="72"/>
        <v>0</v>
      </c>
      <c r="X126" s="108">
        <f t="shared" si="72"/>
        <v>0</v>
      </c>
      <c r="Y126" s="108">
        <f t="shared" si="72"/>
        <v>0</v>
      </c>
      <c r="Z126" s="108">
        <f t="shared" si="72"/>
        <v>0</v>
      </c>
      <c r="AA126" s="108">
        <f t="shared" si="72"/>
        <v>0</v>
      </c>
      <c r="AB126" s="108">
        <f t="shared" si="72"/>
        <v>0</v>
      </c>
      <c r="AC126" s="243"/>
    </row>
    <row r="127" spans="1:29" ht="19.5" hidden="1" x14ac:dyDescent="0.4">
      <c r="A127" s="285">
        <f t="shared" si="49"/>
        <v>28</v>
      </c>
      <c r="B127" s="243">
        <f>STUD!D62</f>
        <v>0</v>
      </c>
      <c r="C127" s="244">
        <f>SUM(D128:AB128)</f>
        <v>0</v>
      </c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9"/>
      <c r="Y127" s="119"/>
      <c r="Z127" s="119"/>
      <c r="AA127" s="119"/>
      <c r="AB127" s="119"/>
      <c r="AC127" s="243">
        <f>SUM(D128:AB128)</f>
        <v>0</v>
      </c>
    </row>
    <row r="128" spans="1:29" ht="19.5" hidden="1" x14ac:dyDescent="0.4">
      <c r="A128" s="286"/>
      <c r="B128" s="243"/>
      <c r="C128" s="245"/>
      <c r="D128" s="108">
        <f t="shared" ref="D128:AB128" si="73">IF(IFERROR(IF(VLOOKUP(D127,D$151:D$155,1,0)&gt;=1,D$150,0),D127)=D$132,D$136,IF(IFERROR(IF(VLOOKUP(D127,D$151:D$155,1,0)&gt;=1,D$150,0),D127)=D$139,D$142,IF(IFERROR(IF(VLOOKUP(D127,D$151:D$155,1,0)&gt;=1,D$150,0),D127)=D$145,D$147,0)))</f>
        <v>0</v>
      </c>
      <c r="E128" s="108">
        <f t="shared" si="73"/>
        <v>0</v>
      </c>
      <c r="F128" s="108">
        <f t="shared" si="73"/>
        <v>0</v>
      </c>
      <c r="G128" s="108">
        <f t="shared" si="73"/>
        <v>0</v>
      </c>
      <c r="H128" s="108">
        <f t="shared" si="73"/>
        <v>0</v>
      </c>
      <c r="I128" s="108">
        <f t="shared" si="73"/>
        <v>0</v>
      </c>
      <c r="J128" s="108">
        <f t="shared" si="73"/>
        <v>0</v>
      </c>
      <c r="K128" s="108">
        <f t="shared" si="73"/>
        <v>0</v>
      </c>
      <c r="L128" s="108">
        <f t="shared" si="73"/>
        <v>0</v>
      </c>
      <c r="M128" s="108">
        <f t="shared" si="73"/>
        <v>0</v>
      </c>
      <c r="N128" s="108">
        <f t="shared" si="73"/>
        <v>0</v>
      </c>
      <c r="O128" s="108">
        <f t="shared" si="73"/>
        <v>0</v>
      </c>
      <c r="P128" s="108">
        <f t="shared" si="73"/>
        <v>0</v>
      </c>
      <c r="Q128" s="108">
        <f t="shared" si="73"/>
        <v>0</v>
      </c>
      <c r="R128" s="108">
        <f t="shared" si="73"/>
        <v>0</v>
      </c>
      <c r="S128" s="108">
        <f t="shared" si="73"/>
        <v>0</v>
      </c>
      <c r="T128" s="108">
        <f t="shared" si="73"/>
        <v>0</v>
      </c>
      <c r="U128" s="108">
        <f t="shared" si="73"/>
        <v>0</v>
      </c>
      <c r="V128" s="108">
        <f t="shared" si="73"/>
        <v>0</v>
      </c>
      <c r="W128" s="108">
        <f t="shared" si="73"/>
        <v>0</v>
      </c>
      <c r="X128" s="108">
        <f t="shared" si="73"/>
        <v>0</v>
      </c>
      <c r="Y128" s="108">
        <f t="shared" si="73"/>
        <v>0</v>
      </c>
      <c r="Z128" s="108">
        <f t="shared" si="73"/>
        <v>0</v>
      </c>
      <c r="AA128" s="108">
        <f t="shared" si="73"/>
        <v>0</v>
      </c>
      <c r="AB128" s="108">
        <f t="shared" si="73"/>
        <v>0</v>
      </c>
      <c r="AC128" s="243"/>
    </row>
    <row r="129" spans="1:29" hidden="1" x14ac:dyDescent="0.4">
      <c r="A129" s="13"/>
      <c r="B129" s="10"/>
      <c r="C129" s="10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0"/>
    </row>
    <row r="130" spans="1:29" ht="13.5" thickBot="1" x14ac:dyDescent="0.45">
      <c r="A130" s="3"/>
    </row>
    <row r="131" spans="1:29" ht="19.899999999999999" thickBot="1" x14ac:dyDescent="0.65">
      <c r="A131" s="3"/>
      <c r="C131" s="17" t="s">
        <v>21</v>
      </c>
      <c r="D131" s="18">
        <v>1</v>
      </c>
      <c r="E131" s="18">
        <v>2</v>
      </c>
      <c r="F131" s="18">
        <v>3</v>
      </c>
      <c r="G131" s="18">
        <v>4</v>
      </c>
      <c r="H131" s="18">
        <v>5</v>
      </c>
      <c r="I131" s="18">
        <v>6</v>
      </c>
      <c r="J131" s="18">
        <v>7</v>
      </c>
      <c r="K131" s="18">
        <v>8</v>
      </c>
      <c r="L131" s="18">
        <v>9</v>
      </c>
      <c r="M131" s="18">
        <v>10</v>
      </c>
      <c r="N131" s="18">
        <v>11</v>
      </c>
      <c r="O131" s="18">
        <v>12</v>
      </c>
      <c r="P131" s="18">
        <v>13</v>
      </c>
      <c r="Q131" s="18">
        <v>14</v>
      </c>
      <c r="R131" s="18">
        <v>15</v>
      </c>
      <c r="S131" s="18">
        <v>16</v>
      </c>
      <c r="T131" s="18">
        <v>17</v>
      </c>
      <c r="U131" s="18">
        <v>18</v>
      </c>
      <c r="V131" s="18">
        <v>19</v>
      </c>
      <c r="W131" s="18">
        <v>20</v>
      </c>
      <c r="X131" s="18">
        <v>21</v>
      </c>
      <c r="Y131" s="18">
        <v>22</v>
      </c>
      <c r="Z131" s="18">
        <v>23</v>
      </c>
      <c r="AA131" s="4">
        <v>24</v>
      </c>
      <c r="AB131" s="4">
        <v>25</v>
      </c>
    </row>
    <row r="132" spans="1:29" ht="19.5" x14ac:dyDescent="0.6">
      <c r="A132" s="3"/>
      <c r="C132" s="19" t="s">
        <v>22</v>
      </c>
      <c r="D132" s="20">
        <v>6</v>
      </c>
      <c r="E132" s="20">
        <v>4</v>
      </c>
      <c r="F132" s="20">
        <v>1</v>
      </c>
      <c r="G132" s="20">
        <v>10</v>
      </c>
      <c r="H132" s="20">
        <v>11</v>
      </c>
      <c r="I132" s="20">
        <v>1</v>
      </c>
      <c r="J132" s="20">
        <v>1</v>
      </c>
      <c r="K132" s="20">
        <v>1</v>
      </c>
      <c r="L132" s="20">
        <v>8</v>
      </c>
      <c r="M132" s="41">
        <v>1</v>
      </c>
      <c r="N132" s="41">
        <v>6</v>
      </c>
      <c r="O132" s="41">
        <v>4</v>
      </c>
      <c r="P132" s="20">
        <v>10</v>
      </c>
      <c r="Q132" s="20">
        <v>12</v>
      </c>
      <c r="R132" s="20">
        <v>12</v>
      </c>
      <c r="S132" s="41"/>
      <c r="T132" s="41"/>
      <c r="U132" s="41"/>
      <c r="V132" s="20"/>
      <c r="W132" s="20"/>
      <c r="X132" s="41"/>
      <c r="Y132" s="5"/>
      <c r="Z132" s="5"/>
      <c r="AA132" s="5"/>
      <c r="AB132" s="5"/>
    </row>
    <row r="133" spans="1:29" ht="19.5" x14ac:dyDescent="0.6">
      <c r="A133" s="3"/>
      <c r="C133" s="22" t="s">
        <v>23</v>
      </c>
      <c r="D133" s="37">
        <v>2.1</v>
      </c>
      <c r="E133" s="37">
        <v>3</v>
      </c>
      <c r="F133" s="37">
        <v>6.2</v>
      </c>
      <c r="G133" s="37">
        <v>5.9</v>
      </c>
      <c r="H133" s="37">
        <v>4.7</v>
      </c>
      <c r="I133" s="37">
        <v>2.5</v>
      </c>
      <c r="J133" s="37">
        <v>8.1</v>
      </c>
      <c r="K133" s="37">
        <v>7.8</v>
      </c>
      <c r="L133" s="37">
        <v>6.9</v>
      </c>
      <c r="M133" s="42">
        <v>13</v>
      </c>
      <c r="N133" s="43">
        <v>10.4</v>
      </c>
      <c r="O133" s="43">
        <v>3.8</v>
      </c>
      <c r="P133" s="37">
        <v>4.5999999999999996</v>
      </c>
      <c r="Q133" s="37">
        <v>4.5999999999999996</v>
      </c>
      <c r="R133" s="37">
        <v>19.600000000000001</v>
      </c>
      <c r="S133" s="43"/>
      <c r="T133" s="43"/>
      <c r="U133" s="43"/>
      <c r="V133" s="37"/>
      <c r="W133" s="37"/>
      <c r="X133" s="43"/>
      <c r="Y133" s="6"/>
      <c r="Z133" s="6"/>
      <c r="AA133" s="6"/>
      <c r="AB133" s="6"/>
    </row>
    <row r="134" spans="1:29" ht="19.5" x14ac:dyDescent="0.6">
      <c r="A134" s="3"/>
      <c r="C134" s="22" t="s">
        <v>24</v>
      </c>
      <c r="D134" s="37">
        <v>1.4</v>
      </c>
      <c r="E134" s="37">
        <v>1.9</v>
      </c>
      <c r="F134" s="37">
        <v>2.6</v>
      </c>
      <c r="G134" s="37">
        <v>4</v>
      </c>
      <c r="H134" s="37">
        <v>3.2</v>
      </c>
      <c r="I134" s="37">
        <v>1.6</v>
      </c>
      <c r="J134" s="37">
        <v>5.0999999999999996</v>
      </c>
      <c r="K134" s="37">
        <v>4.2</v>
      </c>
      <c r="L134" s="37">
        <v>2.6</v>
      </c>
      <c r="M134" s="43">
        <v>8.9</v>
      </c>
      <c r="N134" s="43">
        <v>5.3</v>
      </c>
      <c r="O134" s="43">
        <v>1.8</v>
      </c>
      <c r="P134" s="37">
        <v>2.5</v>
      </c>
      <c r="Q134" s="37">
        <v>2.2999999999999998</v>
      </c>
      <c r="R134" s="37">
        <v>11.2</v>
      </c>
      <c r="S134" s="43"/>
      <c r="T134" s="43"/>
      <c r="U134" s="43"/>
      <c r="V134" s="37"/>
      <c r="W134" s="37"/>
      <c r="X134" s="43"/>
      <c r="Y134" s="6"/>
      <c r="Z134" s="6"/>
      <c r="AA134" s="6"/>
      <c r="AB134" s="6"/>
    </row>
    <row r="135" spans="1:29" ht="19.5" x14ac:dyDescent="0.6">
      <c r="A135" s="3"/>
      <c r="C135" s="22" t="s">
        <v>25</v>
      </c>
      <c r="D135" s="37">
        <v>1.1000000000000001</v>
      </c>
      <c r="E135" s="37">
        <v>1.5</v>
      </c>
      <c r="F135" s="37">
        <v>1</v>
      </c>
      <c r="G135" s="37">
        <v>2.2999999999999998</v>
      </c>
      <c r="H135" s="37">
        <v>1.9</v>
      </c>
      <c r="I135" s="37">
        <v>1.5</v>
      </c>
      <c r="J135" s="37">
        <v>3.2</v>
      </c>
      <c r="K135" s="37">
        <v>3.7</v>
      </c>
      <c r="L135" s="37">
        <v>2</v>
      </c>
      <c r="M135" s="43">
        <v>5.3</v>
      </c>
      <c r="N135" s="43">
        <v>2.2999999999999998</v>
      </c>
      <c r="O135" s="43">
        <v>1.5</v>
      </c>
      <c r="P135" s="37">
        <v>1.2</v>
      </c>
      <c r="Q135" s="37">
        <v>1.4</v>
      </c>
      <c r="R135" s="37">
        <v>7</v>
      </c>
      <c r="S135" s="43"/>
      <c r="T135" s="43"/>
      <c r="U135" s="43"/>
      <c r="V135" s="37"/>
      <c r="W135" s="37"/>
      <c r="X135" s="43"/>
      <c r="Y135" s="6"/>
      <c r="Z135" s="6"/>
      <c r="AA135" s="6"/>
      <c r="AB135" s="6"/>
    </row>
    <row r="136" spans="1:29" ht="19.899999999999999" thickBot="1" x14ac:dyDescent="0.65">
      <c r="A136" s="3"/>
      <c r="C136" s="24" t="s">
        <v>26</v>
      </c>
      <c r="D136" s="40">
        <f>IF(D130="U",D137*2,D137)</f>
        <v>4.5999999999999996</v>
      </c>
      <c r="E136" s="40">
        <f t="shared" ref="E136:AC136" si="74">IF(E130="U",E137*2,E137)</f>
        <v>6.4</v>
      </c>
      <c r="F136" s="40">
        <f t="shared" si="74"/>
        <v>9.8000000000000007</v>
      </c>
      <c r="G136" s="40">
        <f t="shared" si="74"/>
        <v>12.2</v>
      </c>
      <c r="H136" s="40">
        <f t="shared" si="74"/>
        <v>9.8000000000000007</v>
      </c>
      <c r="I136" s="40">
        <f t="shared" si="74"/>
        <v>5.6</v>
      </c>
      <c r="J136" s="40">
        <f t="shared" si="74"/>
        <v>16.399999999999999</v>
      </c>
      <c r="K136" s="40">
        <f t="shared" si="74"/>
        <v>15.7</v>
      </c>
      <c r="L136" s="40">
        <f t="shared" si="74"/>
        <v>11.5</v>
      </c>
      <c r="M136" s="40">
        <f t="shared" si="74"/>
        <v>27.2</v>
      </c>
      <c r="N136" s="40">
        <f t="shared" si="74"/>
        <v>18</v>
      </c>
      <c r="O136" s="40">
        <f t="shared" si="74"/>
        <v>7.1</v>
      </c>
      <c r="P136" s="40">
        <f t="shared" si="74"/>
        <v>8.2999999999999989</v>
      </c>
      <c r="Q136" s="40">
        <f t="shared" si="74"/>
        <v>8.2999999999999989</v>
      </c>
      <c r="R136" s="40">
        <f t="shared" si="74"/>
        <v>37.799999999999997</v>
      </c>
      <c r="S136" s="40">
        <f t="shared" si="74"/>
        <v>0</v>
      </c>
      <c r="T136" s="40">
        <f t="shared" si="74"/>
        <v>0</v>
      </c>
      <c r="U136" s="40">
        <f t="shared" si="74"/>
        <v>0</v>
      </c>
      <c r="V136" s="40">
        <f t="shared" si="74"/>
        <v>0</v>
      </c>
      <c r="W136" s="40">
        <f t="shared" si="74"/>
        <v>0</v>
      </c>
      <c r="X136" s="40">
        <f t="shared" si="74"/>
        <v>0</v>
      </c>
      <c r="Y136" s="40">
        <f t="shared" si="74"/>
        <v>0</v>
      </c>
      <c r="Z136" s="40">
        <f t="shared" si="74"/>
        <v>0</v>
      </c>
      <c r="AA136" s="40">
        <f t="shared" si="74"/>
        <v>0</v>
      </c>
      <c r="AB136" s="40">
        <f t="shared" si="74"/>
        <v>0</v>
      </c>
      <c r="AC136" s="40">
        <f t="shared" si="74"/>
        <v>0</v>
      </c>
    </row>
    <row r="137" spans="1:29" ht="19.5" x14ac:dyDescent="0.6">
      <c r="A137" s="3"/>
      <c r="C137" s="26"/>
      <c r="D137" s="27">
        <f>SUM(D133:D135)</f>
        <v>4.5999999999999996</v>
      </c>
      <c r="E137" s="27">
        <f t="shared" ref="E137:AC137" si="75">SUM(E133:E135)</f>
        <v>6.4</v>
      </c>
      <c r="F137" s="27">
        <f t="shared" si="75"/>
        <v>9.8000000000000007</v>
      </c>
      <c r="G137" s="27">
        <f t="shared" si="75"/>
        <v>12.2</v>
      </c>
      <c r="H137" s="27">
        <f t="shared" si="75"/>
        <v>9.8000000000000007</v>
      </c>
      <c r="I137" s="27">
        <f t="shared" si="75"/>
        <v>5.6</v>
      </c>
      <c r="J137" s="27">
        <f t="shared" si="75"/>
        <v>16.399999999999999</v>
      </c>
      <c r="K137" s="27">
        <f t="shared" si="75"/>
        <v>15.7</v>
      </c>
      <c r="L137" s="27">
        <f t="shared" si="75"/>
        <v>11.5</v>
      </c>
      <c r="M137" s="27">
        <f t="shared" si="75"/>
        <v>27.2</v>
      </c>
      <c r="N137" s="27">
        <f t="shared" si="75"/>
        <v>18</v>
      </c>
      <c r="O137" s="27">
        <f t="shared" si="75"/>
        <v>7.1</v>
      </c>
      <c r="P137" s="27">
        <f t="shared" si="75"/>
        <v>8.2999999999999989</v>
      </c>
      <c r="Q137" s="27">
        <f t="shared" si="75"/>
        <v>8.2999999999999989</v>
      </c>
      <c r="R137" s="27">
        <f t="shared" si="75"/>
        <v>37.799999999999997</v>
      </c>
      <c r="S137" s="27">
        <f t="shared" si="75"/>
        <v>0</v>
      </c>
      <c r="T137" s="27">
        <f t="shared" si="75"/>
        <v>0</v>
      </c>
      <c r="U137" s="27">
        <f t="shared" si="75"/>
        <v>0</v>
      </c>
      <c r="V137" s="27">
        <f t="shared" si="75"/>
        <v>0</v>
      </c>
      <c r="W137" s="27">
        <f t="shared" si="75"/>
        <v>0</v>
      </c>
      <c r="X137" s="27">
        <f t="shared" si="75"/>
        <v>0</v>
      </c>
      <c r="Y137" s="27">
        <f t="shared" si="75"/>
        <v>0</v>
      </c>
      <c r="Z137" s="27">
        <f t="shared" si="75"/>
        <v>0</v>
      </c>
      <c r="AA137" s="27">
        <f t="shared" si="75"/>
        <v>0</v>
      </c>
      <c r="AB137" s="27">
        <f t="shared" si="75"/>
        <v>0</v>
      </c>
      <c r="AC137" s="27">
        <f t="shared" si="75"/>
        <v>0</v>
      </c>
    </row>
    <row r="138" spans="1:29" ht="19.899999999999999" thickBot="1" x14ac:dyDescent="0.65">
      <c r="A138" s="3"/>
      <c r="C138" s="28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8"/>
    </row>
    <row r="139" spans="1:29" ht="19.5" x14ac:dyDescent="0.6">
      <c r="A139" s="3"/>
      <c r="C139" s="30" t="s">
        <v>27</v>
      </c>
      <c r="D139" s="20">
        <v>2</v>
      </c>
      <c r="E139" s="20">
        <v>8</v>
      </c>
      <c r="F139" s="20">
        <v>8</v>
      </c>
      <c r="G139" s="20">
        <v>1</v>
      </c>
      <c r="H139" s="20">
        <v>4</v>
      </c>
      <c r="I139" s="20">
        <v>7</v>
      </c>
      <c r="J139" s="20">
        <v>6</v>
      </c>
      <c r="K139" s="20">
        <v>4</v>
      </c>
      <c r="L139" s="20">
        <v>1</v>
      </c>
      <c r="M139" s="41">
        <v>11</v>
      </c>
      <c r="N139" s="41">
        <v>11</v>
      </c>
      <c r="O139" s="41">
        <v>2</v>
      </c>
      <c r="P139" s="20">
        <v>14</v>
      </c>
      <c r="Q139" s="20">
        <v>6</v>
      </c>
      <c r="R139" s="20">
        <v>2</v>
      </c>
      <c r="S139" s="41"/>
      <c r="T139" s="41"/>
      <c r="U139" s="41"/>
      <c r="V139" s="20"/>
      <c r="W139" s="20"/>
      <c r="X139" s="21"/>
      <c r="Y139" s="5"/>
      <c r="Z139" s="5"/>
      <c r="AA139" s="5"/>
      <c r="AB139" s="5"/>
    </row>
    <row r="140" spans="1:29" ht="19.5" x14ac:dyDescent="0.6">
      <c r="A140" s="3"/>
      <c r="C140" s="22" t="s">
        <v>24</v>
      </c>
      <c r="D140" s="37">
        <v>3.7</v>
      </c>
      <c r="E140" s="37">
        <v>5.3</v>
      </c>
      <c r="F140" s="37">
        <v>1.7</v>
      </c>
      <c r="G140" s="37">
        <v>3.6</v>
      </c>
      <c r="H140" s="37">
        <v>17.2</v>
      </c>
      <c r="I140" s="37">
        <v>2.7</v>
      </c>
      <c r="J140" s="37">
        <v>2.8</v>
      </c>
      <c r="K140" s="37">
        <v>2.2999999999999998</v>
      </c>
      <c r="L140" s="37">
        <v>1.4</v>
      </c>
      <c r="M140" s="43">
        <v>4.4000000000000004</v>
      </c>
      <c r="N140" s="43">
        <v>3.4</v>
      </c>
      <c r="O140" s="43">
        <v>4.5</v>
      </c>
      <c r="P140" s="37">
        <v>2.1</v>
      </c>
      <c r="Q140" s="37">
        <v>2.2000000000000002</v>
      </c>
      <c r="R140" s="37">
        <v>15</v>
      </c>
      <c r="S140" s="43"/>
      <c r="T140" s="43"/>
      <c r="U140" s="43"/>
      <c r="V140" s="37"/>
      <c r="W140" s="37"/>
      <c r="X140" s="38"/>
      <c r="Y140" s="6"/>
      <c r="Z140" s="6"/>
      <c r="AA140" s="6"/>
      <c r="AB140" s="6"/>
    </row>
    <row r="141" spans="1:29" ht="19.5" x14ac:dyDescent="0.6">
      <c r="A141" s="3"/>
      <c r="C141" s="22" t="s">
        <v>25</v>
      </c>
      <c r="D141" s="37">
        <v>1.6</v>
      </c>
      <c r="E141" s="37">
        <v>3.2</v>
      </c>
      <c r="F141" s="37">
        <v>1</v>
      </c>
      <c r="G141" s="37">
        <v>2</v>
      </c>
      <c r="H141" s="37">
        <v>8.3000000000000007</v>
      </c>
      <c r="I141" s="37">
        <v>1.9</v>
      </c>
      <c r="J141" s="37">
        <v>2.1</v>
      </c>
      <c r="K141" s="37">
        <v>2</v>
      </c>
      <c r="L141" s="37">
        <v>1.3</v>
      </c>
      <c r="M141" s="43">
        <v>3.3</v>
      </c>
      <c r="N141" s="43">
        <v>1.6</v>
      </c>
      <c r="O141" s="43">
        <v>3.4</v>
      </c>
      <c r="P141" s="37">
        <v>1.4</v>
      </c>
      <c r="Q141" s="37">
        <v>1.9</v>
      </c>
      <c r="R141" s="37">
        <v>9.6</v>
      </c>
      <c r="S141" s="43"/>
      <c r="T141" s="43"/>
      <c r="U141" s="43"/>
      <c r="V141" s="37"/>
      <c r="W141" s="37"/>
      <c r="X141" s="38"/>
      <c r="Y141" s="6"/>
      <c r="Z141" s="6"/>
      <c r="AA141" s="6"/>
      <c r="AB141" s="6"/>
    </row>
    <row r="142" spans="1:29" ht="19.899999999999999" thickBot="1" x14ac:dyDescent="0.65">
      <c r="A142" s="3"/>
      <c r="C142" s="24" t="s">
        <v>28</v>
      </c>
      <c r="D142" s="40">
        <f>IF(D130="U",D143*2,D143)</f>
        <v>5.3000000000000007</v>
      </c>
      <c r="E142" s="40">
        <f t="shared" ref="E142:Z142" si="76">IF(E130="U",E143*2,E143)</f>
        <v>8.5</v>
      </c>
      <c r="F142" s="40">
        <f t="shared" si="76"/>
        <v>2.7</v>
      </c>
      <c r="G142" s="40">
        <f t="shared" si="76"/>
        <v>5.6</v>
      </c>
      <c r="H142" s="40">
        <f t="shared" si="76"/>
        <v>25.5</v>
      </c>
      <c r="I142" s="40">
        <f t="shared" si="76"/>
        <v>4.5999999999999996</v>
      </c>
      <c r="J142" s="40">
        <f t="shared" si="76"/>
        <v>4.9000000000000004</v>
      </c>
      <c r="K142" s="40">
        <f t="shared" si="76"/>
        <v>4.3</v>
      </c>
      <c r="L142" s="40">
        <f t="shared" si="76"/>
        <v>2.7</v>
      </c>
      <c r="M142" s="40">
        <f t="shared" si="76"/>
        <v>7.7</v>
      </c>
      <c r="N142" s="40">
        <f t="shared" si="76"/>
        <v>5</v>
      </c>
      <c r="O142" s="40">
        <f t="shared" si="76"/>
        <v>7.9</v>
      </c>
      <c r="P142" s="40">
        <f t="shared" si="76"/>
        <v>3.5</v>
      </c>
      <c r="Q142" s="40">
        <f t="shared" si="76"/>
        <v>4.0999999999999996</v>
      </c>
      <c r="R142" s="40">
        <f t="shared" si="76"/>
        <v>24.6</v>
      </c>
      <c r="S142" s="40">
        <f t="shared" si="76"/>
        <v>0</v>
      </c>
      <c r="T142" s="40">
        <f t="shared" si="76"/>
        <v>0</v>
      </c>
      <c r="U142" s="40">
        <f t="shared" si="76"/>
        <v>0</v>
      </c>
      <c r="V142" s="40">
        <f t="shared" si="76"/>
        <v>0</v>
      </c>
      <c r="W142" s="40">
        <f t="shared" si="76"/>
        <v>0</v>
      </c>
      <c r="X142" s="40">
        <f t="shared" si="76"/>
        <v>0</v>
      </c>
      <c r="Y142" s="40">
        <f t="shared" si="76"/>
        <v>0</v>
      </c>
      <c r="Z142" s="40">
        <f t="shared" si="76"/>
        <v>0</v>
      </c>
      <c r="AA142" s="7">
        <f>+SUM(AA140:AA141)</f>
        <v>0</v>
      </c>
      <c r="AB142" s="7">
        <f>+SUM(AB140:AB141)</f>
        <v>0</v>
      </c>
    </row>
    <row r="143" spans="1:29" ht="19.5" x14ac:dyDescent="0.6">
      <c r="A143" s="3"/>
      <c r="C143" s="26"/>
      <c r="D143" s="27">
        <f>SUM(D140:D141)</f>
        <v>5.3000000000000007</v>
      </c>
      <c r="E143" s="27">
        <f t="shared" ref="E143:Z143" si="77">SUM(E140:E141)</f>
        <v>8.5</v>
      </c>
      <c r="F143" s="27">
        <f t="shared" si="77"/>
        <v>2.7</v>
      </c>
      <c r="G143" s="27">
        <f t="shared" si="77"/>
        <v>5.6</v>
      </c>
      <c r="H143" s="27">
        <f t="shared" si="77"/>
        <v>25.5</v>
      </c>
      <c r="I143" s="27">
        <f t="shared" si="77"/>
        <v>4.5999999999999996</v>
      </c>
      <c r="J143" s="27">
        <f t="shared" si="77"/>
        <v>4.9000000000000004</v>
      </c>
      <c r="K143" s="27">
        <f t="shared" si="77"/>
        <v>4.3</v>
      </c>
      <c r="L143" s="27">
        <f t="shared" si="77"/>
        <v>2.7</v>
      </c>
      <c r="M143" s="27">
        <f t="shared" si="77"/>
        <v>7.7</v>
      </c>
      <c r="N143" s="27">
        <f t="shared" si="77"/>
        <v>5</v>
      </c>
      <c r="O143" s="27">
        <f t="shared" si="77"/>
        <v>7.9</v>
      </c>
      <c r="P143" s="27">
        <f t="shared" si="77"/>
        <v>3.5</v>
      </c>
      <c r="Q143" s="27">
        <f t="shared" si="77"/>
        <v>4.0999999999999996</v>
      </c>
      <c r="R143" s="27">
        <f t="shared" si="77"/>
        <v>24.6</v>
      </c>
      <c r="S143" s="27">
        <f t="shared" si="77"/>
        <v>0</v>
      </c>
      <c r="T143" s="27">
        <f t="shared" si="77"/>
        <v>0</v>
      </c>
      <c r="U143" s="27">
        <f t="shared" si="77"/>
        <v>0</v>
      </c>
      <c r="V143" s="27">
        <f t="shared" si="77"/>
        <v>0</v>
      </c>
      <c r="W143" s="27">
        <f t="shared" si="77"/>
        <v>0</v>
      </c>
      <c r="X143" s="27">
        <f t="shared" si="77"/>
        <v>0</v>
      </c>
      <c r="Y143" s="27">
        <f t="shared" si="77"/>
        <v>0</v>
      </c>
      <c r="Z143" s="27">
        <f t="shared" si="77"/>
        <v>0</v>
      </c>
      <c r="AA143" s="12"/>
      <c r="AB143" s="12"/>
    </row>
    <row r="144" spans="1:29" ht="19.899999999999999" thickBot="1" x14ac:dyDescent="0.65">
      <c r="A144" s="3"/>
      <c r="C144" s="28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8"/>
    </row>
    <row r="145" spans="1:28" ht="19.5" x14ac:dyDescent="0.6">
      <c r="A145" s="3"/>
      <c r="C145" s="30" t="s">
        <v>29</v>
      </c>
      <c r="D145" s="20">
        <v>3</v>
      </c>
      <c r="E145" s="20">
        <v>2</v>
      </c>
      <c r="F145" s="20">
        <v>2</v>
      </c>
      <c r="G145" s="20">
        <v>11</v>
      </c>
      <c r="H145" s="20">
        <v>12</v>
      </c>
      <c r="I145" s="20">
        <v>8</v>
      </c>
      <c r="J145" s="20">
        <v>11</v>
      </c>
      <c r="K145" s="20">
        <v>3</v>
      </c>
      <c r="L145" s="20">
        <v>6</v>
      </c>
      <c r="M145" s="41">
        <v>5</v>
      </c>
      <c r="N145" s="20">
        <v>7</v>
      </c>
      <c r="O145" s="20">
        <v>10</v>
      </c>
      <c r="P145" s="20">
        <v>8</v>
      </c>
      <c r="Q145" s="20">
        <v>8</v>
      </c>
      <c r="R145" s="20">
        <v>4</v>
      </c>
      <c r="S145" s="41"/>
      <c r="T145" s="41"/>
      <c r="U145" s="41"/>
      <c r="V145" s="20"/>
      <c r="W145" s="20"/>
      <c r="X145" s="21"/>
      <c r="Y145" s="5"/>
      <c r="Z145" s="5"/>
      <c r="AA145" s="5"/>
      <c r="AB145" s="5"/>
    </row>
    <row r="146" spans="1:28" ht="19.5" x14ac:dyDescent="0.6">
      <c r="A146" s="3"/>
      <c r="C146" s="22" t="s">
        <v>25</v>
      </c>
      <c r="D146" s="39">
        <v>1.6</v>
      </c>
      <c r="E146" s="39">
        <v>3.3</v>
      </c>
      <c r="F146" s="39">
        <v>1</v>
      </c>
      <c r="G146" s="39">
        <v>1.8</v>
      </c>
      <c r="H146" s="39">
        <v>1.8</v>
      </c>
      <c r="I146" s="39">
        <v>1.6</v>
      </c>
      <c r="J146" s="39">
        <v>1.8</v>
      </c>
      <c r="K146" s="39">
        <v>4.0999999999999996</v>
      </c>
      <c r="L146" s="39">
        <v>1.5</v>
      </c>
      <c r="M146" s="44">
        <v>3</v>
      </c>
      <c r="N146" s="39">
        <v>1.2</v>
      </c>
      <c r="O146" s="39">
        <v>2.5</v>
      </c>
      <c r="P146" s="39">
        <v>1.2</v>
      </c>
      <c r="Q146" s="39">
        <v>1.6</v>
      </c>
      <c r="R146" s="39">
        <v>6.2</v>
      </c>
      <c r="S146" s="44"/>
      <c r="T146" s="44"/>
      <c r="U146" s="44"/>
      <c r="V146" s="39"/>
      <c r="W146" s="39"/>
      <c r="X146" s="38"/>
      <c r="Y146" s="6"/>
      <c r="Z146" s="6"/>
      <c r="AA146" s="6"/>
      <c r="AB146" s="6"/>
    </row>
    <row r="147" spans="1:28" ht="19.899999999999999" thickBot="1" x14ac:dyDescent="0.65">
      <c r="A147" s="3"/>
      <c r="C147" s="24" t="s">
        <v>30</v>
      </c>
      <c r="D147" s="40">
        <f>IF(D130="U",D148*2,D148)</f>
        <v>1.6</v>
      </c>
      <c r="E147" s="40">
        <f t="shared" ref="E147:Z147" si="78">IF(E130="U",E148*2,E148)</f>
        <v>3.3</v>
      </c>
      <c r="F147" s="40">
        <f t="shared" si="78"/>
        <v>1</v>
      </c>
      <c r="G147" s="40">
        <f t="shared" si="78"/>
        <v>1.8</v>
      </c>
      <c r="H147" s="40">
        <f t="shared" si="78"/>
        <v>1.8</v>
      </c>
      <c r="I147" s="40">
        <f t="shared" si="78"/>
        <v>1.6</v>
      </c>
      <c r="J147" s="40">
        <f t="shared" si="78"/>
        <v>1.8</v>
      </c>
      <c r="K147" s="40">
        <f t="shared" si="78"/>
        <v>4.0999999999999996</v>
      </c>
      <c r="L147" s="40">
        <f t="shared" si="78"/>
        <v>1.5</v>
      </c>
      <c r="M147" s="40">
        <f t="shared" si="78"/>
        <v>3</v>
      </c>
      <c r="N147" s="40">
        <f t="shared" si="78"/>
        <v>1.2</v>
      </c>
      <c r="O147" s="40">
        <f t="shared" si="78"/>
        <v>2.5</v>
      </c>
      <c r="P147" s="40">
        <f t="shared" si="78"/>
        <v>1.2</v>
      </c>
      <c r="Q147" s="40">
        <f t="shared" si="78"/>
        <v>1.6</v>
      </c>
      <c r="R147" s="40">
        <f t="shared" si="78"/>
        <v>6.2</v>
      </c>
      <c r="S147" s="40">
        <f t="shared" si="78"/>
        <v>0</v>
      </c>
      <c r="T147" s="40">
        <f t="shared" si="78"/>
        <v>0</v>
      </c>
      <c r="U147" s="40">
        <f t="shared" si="78"/>
        <v>0</v>
      </c>
      <c r="V147" s="40">
        <f t="shared" si="78"/>
        <v>0</v>
      </c>
      <c r="W147" s="40">
        <f t="shared" si="78"/>
        <v>0</v>
      </c>
      <c r="X147" s="40">
        <f t="shared" si="78"/>
        <v>0</v>
      </c>
      <c r="Y147" s="40">
        <f t="shared" si="78"/>
        <v>0</v>
      </c>
      <c r="Z147" s="40">
        <f t="shared" si="78"/>
        <v>0</v>
      </c>
      <c r="AA147" s="7">
        <f>+SUM(AA146)</f>
        <v>0</v>
      </c>
      <c r="AB147" s="7">
        <f>+SUM(AB146)</f>
        <v>0</v>
      </c>
    </row>
    <row r="148" spans="1:28" ht="19.5" x14ac:dyDescent="0.6">
      <c r="A148" s="3"/>
      <c r="C148" s="26"/>
      <c r="D148" s="27">
        <f>D146</f>
        <v>1.6</v>
      </c>
      <c r="E148" s="27">
        <f t="shared" ref="E148:Z148" si="79">E146</f>
        <v>3.3</v>
      </c>
      <c r="F148" s="27">
        <f t="shared" si="79"/>
        <v>1</v>
      </c>
      <c r="G148" s="27">
        <f t="shared" si="79"/>
        <v>1.8</v>
      </c>
      <c r="H148" s="27">
        <f t="shared" si="79"/>
        <v>1.8</v>
      </c>
      <c r="I148" s="27">
        <f t="shared" si="79"/>
        <v>1.6</v>
      </c>
      <c r="J148" s="27">
        <f t="shared" si="79"/>
        <v>1.8</v>
      </c>
      <c r="K148" s="27">
        <f t="shared" si="79"/>
        <v>4.0999999999999996</v>
      </c>
      <c r="L148" s="27">
        <f t="shared" si="79"/>
        <v>1.5</v>
      </c>
      <c r="M148" s="27">
        <f t="shared" si="79"/>
        <v>3</v>
      </c>
      <c r="N148" s="27">
        <f t="shared" si="79"/>
        <v>1.2</v>
      </c>
      <c r="O148" s="27">
        <f t="shared" si="79"/>
        <v>2.5</v>
      </c>
      <c r="P148" s="27">
        <f t="shared" si="79"/>
        <v>1.2</v>
      </c>
      <c r="Q148" s="27">
        <f t="shared" si="79"/>
        <v>1.6</v>
      </c>
      <c r="R148" s="27">
        <f t="shared" si="79"/>
        <v>6.2</v>
      </c>
      <c r="S148" s="27">
        <f t="shared" si="79"/>
        <v>0</v>
      </c>
      <c r="T148" s="27">
        <f t="shared" si="79"/>
        <v>0</v>
      </c>
      <c r="U148" s="27">
        <f t="shared" si="79"/>
        <v>0</v>
      </c>
      <c r="V148" s="27">
        <f t="shared" si="79"/>
        <v>0</v>
      </c>
      <c r="W148" s="27">
        <f t="shared" si="79"/>
        <v>0</v>
      </c>
      <c r="X148" s="27">
        <f t="shared" si="79"/>
        <v>0</v>
      </c>
      <c r="Y148" s="27">
        <f t="shared" si="79"/>
        <v>0</v>
      </c>
      <c r="Z148" s="27">
        <f t="shared" si="79"/>
        <v>0</v>
      </c>
      <c r="AA148" s="12"/>
      <c r="AB148" s="12"/>
    </row>
    <row r="149" spans="1:28" ht="19.899999999999999" thickBot="1" x14ac:dyDescent="0.65">
      <c r="A149" s="3"/>
      <c r="C149" s="28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8"/>
    </row>
    <row r="150" spans="1:28" ht="19.5" x14ac:dyDescent="0.6">
      <c r="A150" s="3"/>
      <c r="C150" s="31" t="s">
        <v>31</v>
      </c>
      <c r="D150" s="32">
        <v>6</v>
      </c>
      <c r="E150" s="32">
        <v>4</v>
      </c>
      <c r="F150" s="32">
        <v>8</v>
      </c>
      <c r="G150" s="32">
        <v>6</v>
      </c>
      <c r="H150" s="32">
        <v>12</v>
      </c>
      <c r="I150" s="32">
        <v>1</v>
      </c>
      <c r="J150" s="32">
        <v>11</v>
      </c>
      <c r="K150" s="32">
        <v>2</v>
      </c>
      <c r="L150" s="32">
        <v>1</v>
      </c>
      <c r="M150" s="32">
        <v>7</v>
      </c>
      <c r="N150" s="32">
        <v>7</v>
      </c>
      <c r="O150" s="32">
        <v>9</v>
      </c>
      <c r="P150" s="32">
        <v>8</v>
      </c>
      <c r="Q150" s="32">
        <v>2</v>
      </c>
      <c r="R150" s="32">
        <v>1</v>
      </c>
      <c r="S150" s="32"/>
      <c r="T150" s="32"/>
      <c r="U150" s="32"/>
      <c r="V150" s="32"/>
      <c r="W150" s="32"/>
      <c r="X150" s="33"/>
      <c r="Y150" s="5"/>
      <c r="Z150" s="5"/>
      <c r="AA150" s="5"/>
      <c r="AB150" s="5"/>
    </row>
    <row r="151" spans="1:28" ht="19.5" x14ac:dyDescent="0.6">
      <c r="A151" s="3"/>
      <c r="C151" s="34" t="s">
        <v>32</v>
      </c>
      <c r="D151" s="35"/>
      <c r="E151" s="35">
        <v>10</v>
      </c>
      <c r="F151" s="35"/>
      <c r="G151" s="35"/>
      <c r="H151" s="35"/>
      <c r="I151" s="35"/>
      <c r="J151" s="35">
        <v>10</v>
      </c>
      <c r="K151" s="35"/>
      <c r="L151" s="35">
        <v>4</v>
      </c>
      <c r="M151" s="35">
        <v>2</v>
      </c>
      <c r="N151" s="35"/>
      <c r="O151" s="35"/>
      <c r="P151" s="35">
        <v>13</v>
      </c>
      <c r="Q151" s="35"/>
      <c r="R151" s="35">
        <v>5</v>
      </c>
      <c r="S151" s="35"/>
      <c r="T151" s="35"/>
      <c r="U151" s="35"/>
      <c r="V151" s="35"/>
      <c r="W151" s="35"/>
      <c r="X151" s="23"/>
      <c r="Y151" s="6"/>
      <c r="Z151" s="6"/>
      <c r="AA151" s="6"/>
      <c r="AB151" s="6"/>
    </row>
    <row r="152" spans="1:28" ht="19.5" x14ac:dyDescent="0.6">
      <c r="A152" s="3"/>
      <c r="C152" s="34" t="s">
        <v>33</v>
      </c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25"/>
      <c r="R152" s="36"/>
      <c r="S152" s="23"/>
      <c r="T152" s="36"/>
      <c r="U152" s="36"/>
      <c r="V152" s="36"/>
      <c r="W152" s="36"/>
      <c r="X152" s="23"/>
      <c r="Y152" s="6"/>
      <c r="Z152" s="6"/>
      <c r="AA152" s="6"/>
      <c r="AB152" s="6"/>
    </row>
    <row r="153" spans="1:28" ht="19.5" x14ac:dyDescent="0.6">
      <c r="A153" s="3"/>
      <c r="C153" s="34" t="s">
        <v>34</v>
      </c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8"/>
      <c r="Z153" s="8"/>
      <c r="AA153" s="8"/>
      <c r="AB153" s="8"/>
    </row>
    <row r="154" spans="1:28" ht="19.5" x14ac:dyDescent="0.6">
      <c r="A154" s="3"/>
      <c r="C154" s="34" t="s">
        <v>35</v>
      </c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8"/>
      <c r="Z154" s="8"/>
      <c r="AA154" s="8"/>
      <c r="AB154" s="8"/>
    </row>
    <row r="155" spans="1:28" ht="19.5" x14ac:dyDescent="0.6">
      <c r="A155" s="3"/>
      <c r="C155" s="34" t="s">
        <v>36</v>
      </c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8"/>
      <c r="Z155" s="8"/>
      <c r="AA155" s="8"/>
      <c r="AB155" s="8"/>
    </row>
    <row r="156" spans="1:28" x14ac:dyDescent="0.4">
      <c r="A156" s="3"/>
    </row>
  </sheetData>
  <sortState xmlns:xlrd2="http://schemas.microsoft.com/office/spreadsheetml/2017/richdata2" ref="AQ4:AU31">
    <sortCondition descending="1" ref="AU3"/>
    <sortCondition descending="1" ref="AQ3"/>
  </sortState>
  <mergeCells count="245">
    <mergeCell ref="A125:A126"/>
    <mergeCell ref="B125:B126"/>
    <mergeCell ref="C125:C126"/>
    <mergeCell ref="AC125:AC126"/>
    <mergeCell ref="A127:A128"/>
    <mergeCell ref="B127:B128"/>
    <mergeCell ref="C127:C128"/>
    <mergeCell ref="AC127:AC128"/>
    <mergeCell ref="A121:A122"/>
    <mergeCell ref="B121:B122"/>
    <mergeCell ref="C121:C122"/>
    <mergeCell ref="AC121:AC122"/>
    <mergeCell ref="A123:A124"/>
    <mergeCell ref="B123:B124"/>
    <mergeCell ref="C123:C124"/>
    <mergeCell ref="AC123:AC124"/>
    <mergeCell ref="A117:A118"/>
    <mergeCell ref="B117:B118"/>
    <mergeCell ref="C117:C118"/>
    <mergeCell ref="AC117:AC118"/>
    <mergeCell ref="A119:A120"/>
    <mergeCell ref="B119:B120"/>
    <mergeCell ref="C119:C120"/>
    <mergeCell ref="AC119:AC120"/>
    <mergeCell ref="A113:A114"/>
    <mergeCell ref="B113:B114"/>
    <mergeCell ref="C113:C114"/>
    <mergeCell ref="AC113:AC114"/>
    <mergeCell ref="A115:A116"/>
    <mergeCell ref="B115:B116"/>
    <mergeCell ref="C115:C116"/>
    <mergeCell ref="AC115:AC116"/>
    <mergeCell ref="A109:A110"/>
    <mergeCell ref="B109:B110"/>
    <mergeCell ref="C109:C110"/>
    <mergeCell ref="AC109:AC110"/>
    <mergeCell ref="A111:A112"/>
    <mergeCell ref="B111:B112"/>
    <mergeCell ref="C111:C112"/>
    <mergeCell ref="AC111:AC112"/>
    <mergeCell ref="A105:A106"/>
    <mergeCell ref="B105:B106"/>
    <mergeCell ref="C105:C106"/>
    <mergeCell ref="AC105:AC106"/>
    <mergeCell ref="A107:A108"/>
    <mergeCell ref="B107:B108"/>
    <mergeCell ref="C107:C108"/>
    <mergeCell ref="AC107:AC108"/>
    <mergeCell ref="A101:A102"/>
    <mergeCell ref="B101:B102"/>
    <mergeCell ref="C101:C102"/>
    <mergeCell ref="AC101:AC102"/>
    <mergeCell ref="A103:A104"/>
    <mergeCell ref="B103:B104"/>
    <mergeCell ref="C103:C104"/>
    <mergeCell ref="AC103:AC104"/>
    <mergeCell ref="A97:A98"/>
    <mergeCell ref="B97:B98"/>
    <mergeCell ref="C97:C98"/>
    <mergeCell ref="AC97:AC98"/>
    <mergeCell ref="A99:A100"/>
    <mergeCell ref="B99:B100"/>
    <mergeCell ref="C99:C100"/>
    <mergeCell ref="AC99:AC100"/>
    <mergeCell ref="A93:A94"/>
    <mergeCell ref="B93:B94"/>
    <mergeCell ref="C93:C94"/>
    <mergeCell ref="AC93:AC94"/>
    <mergeCell ref="A95:A96"/>
    <mergeCell ref="B95:B96"/>
    <mergeCell ref="C95:C96"/>
    <mergeCell ref="AC95:AC96"/>
    <mergeCell ref="A89:A90"/>
    <mergeCell ref="B89:B90"/>
    <mergeCell ref="C89:C90"/>
    <mergeCell ref="AC89:AC90"/>
    <mergeCell ref="A91:A92"/>
    <mergeCell ref="B91:B92"/>
    <mergeCell ref="C91:C92"/>
    <mergeCell ref="AC91:AC92"/>
    <mergeCell ref="A85:A86"/>
    <mergeCell ref="B85:B86"/>
    <mergeCell ref="C85:C86"/>
    <mergeCell ref="AC85:AC86"/>
    <mergeCell ref="A87:A88"/>
    <mergeCell ref="B87:B88"/>
    <mergeCell ref="C87:C88"/>
    <mergeCell ref="AC87:AC88"/>
    <mergeCell ref="A81:A82"/>
    <mergeCell ref="B81:B82"/>
    <mergeCell ref="C81:C82"/>
    <mergeCell ref="AC81:AC82"/>
    <mergeCell ref="A83:A84"/>
    <mergeCell ref="B83:B84"/>
    <mergeCell ref="C83:C84"/>
    <mergeCell ref="AC83:AC84"/>
    <mergeCell ref="A77:A78"/>
    <mergeCell ref="B77:B78"/>
    <mergeCell ref="C77:C78"/>
    <mergeCell ref="AC77:AC78"/>
    <mergeCell ref="A79:A80"/>
    <mergeCell ref="B79:B80"/>
    <mergeCell ref="C79:C80"/>
    <mergeCell ref="AC79:AC80"/>
    <mergeCell ref="A73:A74"/>
    <mergeCell ref="B73:B74"/>
    <mergeCell ref="C73:C74"/>
    <mergeCell ref="AC73:AC74"/>
    <mergeCell ref="A75:A76"/>
    <mergeCell ref="B75:B76"/>
    <mergeCell ref="C75:C76"/>
    <mergeCell ref="AC75:AC76"/>
    <mergeCell ref="A67:A68"/>
    <mergeCell ref="B67:B68"/>
    <mergeCell ref="C67:C68"/>
    <mergeCell ref="AC67:AC68"/>
    <mergeCell ref="A69:AC71"/>
    <mergeCell ref="AE72:AH72"/>
    <mergeCell ref="A63:A64"/>
    <mergeCell ref="B63:B64"/>
    <mergeCell ref="C63:C64"/>
    <mergeCell ref="AC63:AC64"/>
    <mergeCell ref="A65:A66"/>
    <mergeCell ref="B65:B66"/>
    <mergeCell ref="C65:C66"/>
    <mergeCell ref="AC65:AC66"/>
    <mergeCell ref="A59:A60"/>
    <mergeCell ref="B59:B60"/>
    <mergeCell ref="C59:C60"/>
    <mergeCell ref="AC59:AC60"/>
    <mergeCell ref="A61:A62"/>
    <mergeCell ref="B61:B62"/>
    <mergeCell ref="C61:C62"/>
    <mergeCell ref="AC61:AC62"/>
    <mergeCell ref="A55:A56"/>
    <mergeCell ref="B55:B56"/>
    <mergeCell ref="C55:C56"/>
    <mergeCell ref="AC55:AC56"/>
    <mergeCell ref="A57:A58"/>
    <mergeCell ref="B57:B58"/>
    <mergeCell ref="C57:C58"/>
    <mergeCell ref="AC57:AC58"/>
    <mergeCell ref="A51:A52"/>
    <mergeCell ref="B51:B52"/>
    <mergeCell ref="C51:C52"/>
    <mergeCell ref="AC51:AC52"/>
    <mergeCell ref="A53:A54"/>
    <mergeCell ref="B53:B54"/>
    <mergeCell ref="C53:C54"/>
    <mergeCell ref="AC53:AC54"/>
    <mergeCell ref="A47:A48"/>
    <mergeCell ref="B47:B48"/>
    <mergeCell ref="C47:C48"/>
    <mergeCell ref="AC47:AC48"/>
    <mergeCell ref="A49:A50"/>
    <mergeCell ref="B49:B50"/>
    <mergeCell ref="C49:C50"/>
    <mergeCell ref="AC49:AC50"/>
    <mergeCell ref="A43:A44"/>
    <mergeCell ref="B43:B44"/>
    <mergeCell ref="C43:C44"/>
    <mergeCell ref="AC43:AC44"/>
    <mergeCell ref="A45:A46"/>
    <mergeCell ref="B45:B46"/>
    <mergeCell ref="C45:C46"/>
    <mergeCell ref="AC45:AC46"/>
    <mergeCell ref="A39:A40"/>
    <mergeCell ref="B39:B40"/>
    <mergeCell ref="C39:C40"/>
    <mergeCell ref="AC39:AC40"/>
    <mergeCell ref="A41:A42"/>
    <mergeCell ref="B41:B42"/>
    <mergeCell ref="C41:C42"/>
    <mergeCell ref="AC41:AC42"/>
    <mergeCell ref="A35:A36"/>
    <mergeCell ref="B35:B36"/>
    <mergeCell ref="C35:C36"/>
    <mergeCell ref="AC35:AC36"/>
    <mergeCell ref="A37:A38"/>
    <mergeCell ref="B37:B38"/>
    <mergeCell ref="C37:C38"/>
    <mergeCell ref="AC37:AC38"/>
    <mergeCell ref="A31:A32"/>
    <mergeCell ref="B31:B32"/>
    <mergeCell ref="C31:C32"/>
    <mergeCell ref="AC31:AC32"/>
    <mergeCell ref="A33:A34"/>
    <mergeCell ref="B33:B34"/>
    <mergeCell ref="C33:C34"/>
    <mergeCell ref="AC33:AC34"/>
    <mergeCell ref="A27:A28"/>
    <mergeCell ref="B27:B28"/>
    <mergeCell ref="C27:C28"/>
    <mergeCell ref="AC27:AC28"/>
    <mergeCell ref="A29:A30"/>
    <mergeCell ref="B29:B30"/>
    <mergeCell ref="C29:C30"/>
    <mergeCell ref="AC29:AC30"/>
    <mergeCell ref="A23:A24"/>
    <mergeCell ref="B23:B24"/>
    <mergeCell ref="C23:C24"/>
    <mergeCell ref="AC23:AC24"/>
    <mergeCell ref="A25:A26"/>
    <mergeCell ref="B25:B26"/>
    <mergeCell ref="C25:C26"/>
    <mergeCell ref="AC25:AC26"/>
    <mergeCell ref="A19:A20"/>
    <mergeCell ref="B19:B20"/>
    <mergeCell ref="C19:C20"/>
    <mergeCell ref="AC19:AC20"/>
    <mergeCell ref="A21:A22"/>
    <mergeCell ref="B21:B22"/>
    <mergeCell ref="C21:C22"/>
    <mergeCell ref="AC21:AC22"/>
    <mergeCell ref="A15:A16"/>
    <mergeCell ref="B15:B16"/>
    <mergeCell ref="C15:C16"/>
    <mergeCell ref="AC15:AC16"/>
    <mergeCell ref="A17:A18"/>
    <mergeCell ref="B17:B18"/>
    <mergeCell ref="C17:C18"/>
    <mergeCell ref="AC17:AC18"/>
    <mergeCell ref="A13:A14"/>
    <mergeCell ref="B13:B14"/>
    <mergeCell ref="C13:C14"/>
    <mergeCell ref="AC13:AC14"/>
    <mergeCell ref="A7:A8"/>
    <mergeCell ref="B7:B8"/>
    <mergeCell ref="C7:C8"/>
    <mergeCell ref="AC7:AC8"/>
    <mergeCell ref="A9:A10"/>
    <mergeCell ref="B9:B10"/>
    <mergeCell ref="C9:C10"/>
    <mergeCell ref="AC9:AC10"/>
    <mergeCell ref="A1:AC3"/>
    <mergeCell ref="AE2:AH2"/>
    <mergeCell ref="AP2:AV2"/>
    <mergeCell ref="A5:A6"/>
    <mergeCell ref="B5:B6"/>
    <mergeCell ref="C5:C6"/>
    <mergeCell ref="AC5:AC6"/>
    <mergeCell ref="A11:A12"/>
    <mergeCell ref="B11:B12"/>
    <mergeCell ref="C11:C12"/>
    <mergeCell ref="AC11:AC12"/>
  </mergeCells>
  <conditionalFormatting sqref="D6:AB6 D8:AB8 D10:AB10 D12:AB12 D14:AB14 D16:AB16 D18:AB18 D20:AB20 D22:AB22 D24:AB24 D26:AB26 D28:AB28 D30:AB30 D32:AB32 D34:AB34 D36:AB36 D38:AB38 D40:AB40 D42:AB42 D44:AB44 D46:AB46 D48:AB48 D50:AB50 D52:AB52 D58:AB58 D60:AB60 D62:AB62 D64:AB64 D66:AB66 D68:AB68 D74:AB74 D76:AB76 D78:AB78 D80:AB80 D82:AB82 D84:AB84 D86:AB86 D88:AB88 D90:AB90 D92:AB92 D94:AB94 D96:AB96 D98:AB98 D100:AB100 D102:AB102 D104:AB104 D106:AB106 D108:AB108 D110:AB110 D112:AB112 D114:AB114 D116:AB116 D118:AB118 D120:AB120 D122:AB122 D124:AB124 D126:AB126 D128:AB129">
    <cfRule type="cellIs" dxfId="36" priority="5" operator="greaterThan">
      <formula>0</formula>
    </cfRule>
  </conditionalFormatting>
  <conditionalFormatting sqref="AF4:AH31 AQ4:AV31">
    <cfRule type="expression" dxfId="35" priority="3">
      <formula>AND(ROW()&gt;=4,ROW()&lt;=5)</formula>
    </cfRule>
    <cfRule type="expression" dxfId="34" priority="4">
      <formula>TRUE</formula>
    </cfRule>
  </conditionalFormatting>
  <conditionalFormatting sqref="AF74:AH101">
    <cfRule type="expression" dxfId="33" priority="1">
      <formula>AND(ROW()&gt;=74,ROW()&lt;=75)</formula>
    </cfRule>
    <cfRule type="expression" dxfId="32" priority="2">
      <formula>TRUE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Ordenar_Tres_TablasMier">
                <anchor moveWithCells="1" sizeWithCells="1">
                  <from>
                    <xdr:col>20</xdr:col>
                    <xdr:colOff>342900</xdr:colOff>
                    <xdr:row>0</xdr:row>
                    <xdr:rowOff>123825</xdr:rowOff>
                  </from>
                  <to>
                    <xdr:col>22</xdr:col>
                    <xdr:colOff>276225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Limpiar_Por_Rangos">
                <anchor moveWithCells="1" sizeWithCells="1">
                  <from>
                    <xdr:col>18</xdr:col>
                    <xdr:colOff>323850</xdr:colOff>
                    <xdr:row>0</xdr:row>
                    <xdr:rowOff>66675</xdr:rowOff>
                  </from>
                  <to>
                    <xdr:col>20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AW156"/>
  <sheetViews>
    <sheetView showGridLines="0" topLeftCell="AH1" zoomScaleNormal="100" workbookViewId="0">
      <selection activeCell="O24" sqref="O24"/>
    </sheetView>
  </sheetViews>
  <sheetFormatPr baseColWidth="10" defaultColWidth="14.3984375" defaultRowHeight="13.15" x14ac:dyDescent="0.4"/>
  <cols>
    <col min="1" max="1" width="4.59765625" style="1" bestFit="1" customWidth="1"/>
    <col min="2" max="2" width="30.1328125" style="2" bestFit="1" customWidth="1"/>
    <col min="3" max="3" width="13.73046875" style="2" bestFit="1" customWidth="1"/>
    <col min="4" max="4" width="7.265625" style="2" bestFit="1" customWidth="1"/>
    <col min="5" max="11" width="7.86328125" style="2" bestFit="1" customWidth="1"/>
    <col min="12" max="15" width="6.3984375" style="2" bestFit="1" customWidth="1"/>
    <col min="16" max="18" width="7.86328125" style="2" bestFit="1" customWidth="1"/>
    <col min="19" max="20" width="6.3984375" style="2" bestFit="1" customWidth="1"/>
    <col min="21" max="21" width="7" style="2" bestFit="1" customWidth="1"/>
    <col min="22" max="22" width="7.86328125" style="2" bestFit="1" customWidth="1"/>
    <col min="23" max="23" width="6.3984375" style="2" bestFit="1" customWidth="1"/>
    <col min="24" max="24" width="7.86328125" style="2" bestFit="1" customWidth="1"/>
    <col min="25" max="25" width="6.73046875" style="2" hidden="1" customWidth="1"/>
    <col min="26" max="28" width="4.86328125" style="2" hidden="1" customWidth="1"/>
    <col min="29" max="29" width="9.73046875" style="2" customWidth="1"/>
    <col min="30" max="30" width="3.265625" style="2" customWidth="1"/>
    <col min="31" max="31" width="9.1328125" style="2" customWidth="1"/>
    <col min="32" max="32" width="30.1328125" style="2" bestFit="1" customWidth="1"/>
    <col min="33" max="33" width="11.73046875" style="2" bestFit="1" customWidth="1"/>
    <col min="34" max="34" width="9" style="2" bestFit="1" customWidth="1"/>
    <col min="35" max="36" width="14.3984375" style="2"/>
    <col min="37" max="37" width="16.265625" style="2" bestFit="1" customWidth="1"/>
    <col min="38" max="38" width="14.3984375" style="2"/>
    <col min="39" max="39" width="16.265625" style="2" bestFit="1" customWidth="1"/>
    <col min="40" max="40" width="18.59765625" style="2" bestFit="1" customWidth="1"/>
    <col min="41" max="41" width="14.3984375" style="2"/>
    <col min="42" max="42" width="7" style="2" customWidth="1"/>
    <col min="43" max="43" width="30.1328125" style="2" bestFit="1" customWidth="1"/>
    <col min="44" max="16384" width="14.3984375" style="2"/>
  </cols>
  <sheetData>
    <row r="1" spans="1:49" s="46" customFormat="1" ht="11.25" customHeight="1" x14ac:dyDescent="0.4">
      <c r="A1" s="267" t="s">
        <v>17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</row>
    <row r="2" spans="1:49" ht="22.5" customHeight="1" x14ac:dyDescent="0.5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E2" s="264" t="s">
        <v>54</v>
      </c>
      <c r="AF2" s="265"/>
      <c r="AG2" s="265"/>
      <c r="AH2" s="266"/>
      <c r="AI2" s="52">
        <v>9</v>
      </c>
      <c r="AJ2" s="52"/>
      <c r="AK2" s="52">
        <v>10</v>
      </c>
      <c r="AL2" s="52"/>
      <c r="AM2" s="52">
        <v>11</v>
      </c>
      <c r="AN2" s="52"/>
      <c r="AP2" s="264" t="s">
        <v>55</v>
      </c>
      <c r="AQ2" s="265"/>
      <c r="AR2" s="265"/>
      <c r="AS2" s="265"/>
      <c r="AT2" s="265"/>
      <c r="AU2" s="265"/>
      <c r="AV2" s="265"/>
      <c r="AW2" s="266"/>
    </row>
    <row r="3" spans="1:49" ht="19.5" x14ac:dyDescent="0.5">
      <c r="A3" s="268"/>
      <c r="B3" s="268"/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E3" s="47" t="s">
        <v>37</v>
      </c>
      <c r="AF3" s="89" t="s">
        <v>14</v>
      </c>
      <c r="AG3" s="90" t="s">
        <v>15</v>
      </c>
      <c r="AH3" s="90" t="s">
        <v>52</v>
      </c>
      <c r="AI3" s="51" t="str">
        <f>"Prono Carrera "&amp;AI2</f>
        <v>Prono Carrera 9</v>
      </c>
      <c r="AJ3" s="51" t="s">
        <v>42</v>
      </c>
      <c r="AK3" s="51" t="str">
        <f>"Prono Carrera "&amp;AK2</f>
        <v>Prono Carrera 10</v>
      </c>
      <c r="AL3" s="51" t="s">
        <v>42</v>
      </c>
      <c r="AM3" s="51" t="str">
        <f>"Prono Carrera "&amp;AM2</f>
        <v>Prono Carrera 11</v>
      </c>
      <c r="AN3" s="51" t="s">
        <v>42</v>
      </c>
      <c r="AP3" s="141" t="s">
        <v>37</v>
      </c>
      <c r="AQ3" s="142" t="s">
        <v>14</v>
      </c>
      <c r="AR3" s="143" t="s">
        <v>44</v>
      </c>
      <c r="AS3" s="143" t="s">
        <v>45</v>
      </c>
      <c r="AT3" s="143" t="s">
        <v>46</v>
      </c>
      <c r="AU3" s="143" t="s">
        <v>47</v>
      </c>
      <c r="AV3" s="143" t="s">
        <v>15</v>
      </c>
      <c r="AW3" s="143" t="s">
        <v>52</v>
      </c>
    </row>
    <row r="4" spans="1:49" ht="15" customHeight="1" x14ac:dyDescent="0.4">
      <c r="A4" s="115" t="s">
        <v>0</v>
      </c>
      <c r="B4" s="115" t="s">
        <v>14</v>
      </c>
      <c r="C4" s="115" t="s">
        <v>18</v>
      </c>
      <c r="D4" s="115">
        <v>1</v>
      </c>
      <c r="E4" s="115">
        <v>2</v>
      </c>
      <c r="F4" s="115">
        <v>3</v>
      </c>
      <c r="G4" s="115">
        <v>4</v>
      </c>
      <c r="H4" s="115">
        <v>5</v>
      </c>
      <c r="I4" s="115">
        <v>6</v>
      </c>
      <c r="J4" s="115">
        <v>7</v>
      </c>
      <c r="K4" s="115">
        <v>8</v>
      </c>
      <c r="L4" s="115">
        <v>9</v>
      </c>
      <c r="M4" s="115">
        <v>10</v>
      </c>
      <c r="N4" s="115">
        <v>11</v>
      </c>
      <c r="O4" s="115">
        <v>12</v>
      </c>
      <c r="P4" s="115">
        <v>13</v>
      </c>
      <c r="Q4" s="115">
        <v>14</v>
      </c>
      <c r="R4" s="115">
        <v>15</v>
      </c>
      <c r="S4" s="115">
        <v>16</v>
      </c>
      <c r="T4" s="115">
        <v>17</v>
      </c>
      <c r="U4" s="115">
        <v>18</v>
      </c>
      <c r="V4" s="115">
        <v>19</v>
      </c>
      <c r="W4" s="115">
        <v>20</v>
      </c>
      <c r="X4" s="115">
        <v>21</v>
      </c>
      <c r="Y4" s="115">
        <v>22</v>
      </c>
      <c r="Z4" s="115">
        <v>23</v>
      </c>
      <c r="AA4" s="115">
        <v>24</v>
      </c>
      <c r="AB4" s="115">
        <v>25</v>
      </c>
      <c r="AC4" s="115" t="s">
        <v>19</v>
      </c>
      <c r="AE4" s="49">
        <v>1</v>
      </c>
      <c r="AF4" s="91" t="str">
        <f>IF(ISBLANK(STUD!B16)," ",STUD!B16)</f>
        <v xml:space="preserve"> </v>
      </c>
      <c r="AG4" s="91">
        <f t="shared" ref="AG4:AG31" si="0">IFERROR(VLOOKUP(AF4,$B$5:$C$68,2,0),0)</f>
        <v>0</v>
      </c>
      <c r="AH4" s="91"/>
      <c r="AI4" s="88" t="str">
        <f t="shared" ref="AI4:AI31" si="1">IFERROR(
   VLOOKUP(AF4, $B$5:$Y$68, CHOOSE($AI$2, 3, 4, 5, 6, 7, 8, 9, 10, 11, 12, 13, 14, 15, 16, 17, 18, 19, 20, 21, 22, 23, 24, 25, 26, 27, 28, 29), 0),
   " "
)</f>
        <v xml:space="preserve"> </v>
      </c>
      <c r="AJ4" s="53" t="str">
        <f>IF(AI4="","",IFERROR(IF(VLOOKUP(AI4,Programa!$Q$3:$R$18,2,0)="","",VLOOKUP(AI4,Programa!$Q$3:$R$18,2,0)),""))</f>
        <v/>
      </c>
      <c r="AK4" s="53" t="str">
        <f t="shared" ref="AK4:AK31" si="2">IFERROR(
   VLOOKUP(AF4, $B$5:$Y$68, CHOOSE($AK$2, 3, 4, 5, 6, 7, 8, 9, 10, 11, 12, 13, 14, 15, 16, 17, 18, 19, 20, 21, 22, 23, 24, 25, 26, 27, 28, 29), 0),
   " "
)</f>
        <v xml:space="preserve"> </v>
      </c>
      <c r="AL4" s="53" t="str">
        <f>IF(AK4="","",IFERROR(IF(VLOOKUP(AK4,Programa!$Q$19:$R$34,2,0)="","",VLOOKUP(AK4,Programa!$Q$19:$R$34,2,0)),""))</f>
        <v/>
      </c>
      <c r="AM4" s="53" t="str">
        <f t="shared" ref="AM4:AM31" si="3">IFERROR(
   VLOOKUP(AF4, $B$5:$Y$68, CHOOSE($AM$2, 3, 4, 5, 6, 7, 8, 9, 10, 11, 12, 13, 14, 15, 16, 17, 18, 19, 20, 21, 22, 23, 24, 25, 26, 27, 28, 29), 0),
   " "
)</f>
        <v xml:space="preserve"> </v>
      </c>
      <c r="AN4" s="53" t="str">
        <f>IF(AM4="","",IFERROR(IF(VLOOKUP(AM4,Programa!$Q$35:$R$50,2,0)="","",VLOOKUP(AM4,Programa!$Q$35:$R$50,2,0)),""))</f>
        <v/>
      </c>
      <c r="AP4" s="228">
        <v>1</v>
      </c>
      <c r="AQ4" s="145" t="str">
        <f>IF(ISBLANK(STUD!B15)," ",STUD!B15)</f>
        <v xml:space="preserve"> </v>
      </c>
      <c r="AR4" s="185">
        <f>IFERROR(VLOOKUP(AQ4,Lunes!$AF$4:$AG$31,2,0),0)</f>
        <v>0</v>
      </c>
      <c r="AS4" s="185">
        <f>IFERROR(VLOOKUP(AQ4,Martes!$AF$4:$AH$31,2,0),0)</f>
        <v>0</v>
      </c>
      <c r="AT4" s="185">
        <f>IFERROR(VLOOKUP(AQ4,Miercoles!$AF$4:$AG$31,2,0),0)</f>
        <v>0</v>
      </c>
      <c r="AU4" s="185">
        <f t="shared" ref="AU4:AU31" si="4">IFERROR(VLOOKUP(AQ4,$B$5:$C$68,2,0),0)</f>
        <v>0</v>
      </c>
      <c r="AV4" s="185">
        <f t="shared" ref="AV4:AV31" si="5">SUM(AR4:AU4)</f>
        <v>0</v>
      </c>
      <c r="AW4" s="185"/>
    </row>
    <row r="5" spans="1:49" ht="15.75" customHeight="1" x14ac:dyDescent="0.4">
      <c r="A5" s="252">
        <v>1</v>
      </c>
      <c r="B5" s="253" t="str">
        <f>+STUD!B2</f>
        <v>SOSAMAFIA</v>
      </c>
      <c r="C5" s="244">
        <f>SUM(D6:AB6)</f>
        <v>46.4</v>
      </c>
      <c r="D5" s="112">
        <v>12</v>
      </c>
      <c r="E5" s="112">
        <v>9</v>
      </c>
      <c r="F5" s="112">
        <v>1</v>
      </c>
      <c r="G5" s="112">
        <v>10</v>
      </c>
      <c r="H5" s="112">
        <v>1</v>
      </c>
      <c r="I5" s="112">
        <v>8</v>
      </c>
      <c r="J5" s="112">
        <v>6</v>
      </c>
      <c r="K5" s="112">
        <v>13</v>
      </c>
      <c r="L5" s="112">
        <v>4</v>
      </c>
      <c r="M5" s="112">
        <v>5</v>
      </c>
      <c r="N5" s="109">
        <v>9</v>
      </c>
      <c r="O5" s="109">
        <v>10</v>
      </c>
      <c r="P5" s="109">
        <v>11</v>
      </c>
      <c r="Q5" s="109">
        <v>2</v>
      </c>
      <c r="R5" s="109">
        <v>14</v>
      </c>
      <c r="S5" s="109">
        <v>12</v>
      </c>
      <c r="T5" s="109">
        <v>6</v>
      </c>
      <c r="U5" s="109">
        <v>14</v>
      </c>
      <c r="V5" s="109">
        <v>7</v>
      </c>
      <c r="W5" s="109"/>
      <c r="X5" s="129"/>
      <c r="Y5" s="109"/>
      <c r="Z5" s="109"/>
      <c r="AA5" s="109"/>
      <c r="AB5" s="109"/>
      <c r="AC5" s="243">
        <f>SUM(D6:AB6)</f>
        <v>46.4</v>
      </c>
      <c r="AE5" s="50">
        <v>2</v>
      </c>
      <c r="AF5" s="91" t="str">
        <f>IF(ISBLANK(STUD!B15)," ",STUD!B15)</f>
        <v xml:space="preserve"> </v>
      </c>
      <c r="AG5" s="91">
        <f t="shared" si="0"/>
        <v>0</v>
      </c>
      <c r="AH5" s="91">
        <f t="shared" ref="AH5:AH31" si="6">$AG$4-AG5</f>
        <v>0</v>
      </c>
      <c r="AI5" s="88" t="str">
        <f t="shared" si="1"/>
        <v xml:space="preserve"> </v>
      </c>
      <c r="AJ5" s="53" t="str">
        <f>IF(AI5="","",IFERROR(IF(VLOOKUP(AI5,Programa!$Q$3:$R$18,2,0)="","",VLOOKUP(AI5,Programa!$Q$3:$R$18,2,0)),""))</f>
        <v/>
      </c>
      <c r="AK5" s="53" t="str">
        <f t="shared" si="2"/>
        <v xml:space="preserve"> </v>
      </c>
      <c r="AL5" s="53" t="str">
        <f>IF(AK5="","",IFERROR(IF(VLOOKUP(AK5,Programa!$Q$19:$R$34,2,0)="","",VLOOKUP(AK5,Programa!$Q$19:$R$34,2,0)),""))</f>
        <v/>
      </c>
      <c r="AM5" s="53" t="str">
        <f t="shared" si="3"/>
        <v xml:space="preserve"> </v>
      </c>
      <c r="AN5" s="53" t="str">
        <f>IF(AM5="","",IFERROR(IF(VLOOKUP(AM5,Programa!$Q$35:$R$50,2,0)="","",VLOOKUP(AM5,Programa!$Q$35:$R$50,2,0)),""))</f>
        <v/>
      </c>
      <c r="AP5" s="228">
        <v>2</v>
      </c>
      <c r="AQ5" s="145" t="str">
        <f>IF(ISBLANK(STUD!B16)," ",STUD!B16)</f>
        <v xml:space="preserve"> </v>
      </c>
      <c r="AR5" s="185">
        <f>IFERROR(VLOOKUP(AQ5,Lunes!$AF$4:$AG$31,2,0),0)</f>
        <v>0</v>
      </c>
      <c r="AS5" s="185">
        <f>IFERROR(VLOOKUP(AQ5,Martes!$AF$4:$AH$31,2,0),0)</f>
        <v>0</v>
      </c>
      <c r="AT5" s="185">
        <f>IFERROR(VLOOKUP(AQ5,Miercoles!$AF$4:$AG$31,2,0),0)</f>
        <v>0</v>
      </c>
      <c r="AU5" s="185">
        <f t="shared" si="4"/>
        <v>0</v>
      </c>
      <c r="AV5" s="185">
        <f t="shared" si="5"/>
        <v>0</v>
      </c>
      <c r="AW5" s="185">
        <f>$AV$4-AV5</f>
        <v>0</v>
      </c>
    </row>
    <row r="6" spans="1:49" ht="15" customHeight="1" x14ac:dyDescent="0.4">
      <c r="A6" s="242"/>
      <c r="B6" s="253"/>
      <c r="C6" s="245"/>
      <c r="D6" s="138">
        <f t="shared" ref="D6:AB6" si="7">IF(IFERROR(IF(VLOOKUP(D5,D$151:D$155,1,0)&gt;=1,D$150,0),D5)=D$132,D$136,IF(IFERROR(IF(VLOOKUP(D5,D$151:D$155,1,0)&gt;=1,D$150,0),D5)=D$139,D$142,IF(IFERROR(IF(VLOOKUP(D5,D$151:D$155,1,0)&gt;=1,D$150,0),D5)=D$145,D$147,0)))</f>
        <v>2.2999999999999998</v>
      </c>
      <c r="E6" s="138">
        <f t="shared" si="7"/>
        <v>0</v>
      </c>
      <c r="F6" s="138">
        <f t="shared" si="7"/>
        <v>0</v>
      </c>
      <c r="G6" s="138">
        <f t="shared" si="7"/>
        <v>0</v>
      </c>
      <c r="H6" s="138">
        <f t="shared" si="7"/>
        <v>2.2999999999999998</v>
      </c>
      <c r="I6" s="138">
        <f t="shared" si="7"/>
        <v>0</v>
      </c>
      <c r="J6" s="138">
        <f t="shared" si="7"/>
        <v>21.9</v>
      </c>
      <c r="K6" s="138">
        <f t="shared" si="7"/>
        <v>0</v>
      </c>
      <c r="L6" s="138">
        <f t="shared" si="7"/>
        <v>0</v>
      </c>
      <c r="M6" s="138">
        <f t="shared" si="7"/>
        <v>3.9000000000000004</v>
      </c>
      <c r="N6" s="138">
        <f t="shared" si="7"/>
        <v>6.2</v>
      </c>
      <c r="O6" s="138">
        <f t="shared" si="7"/>
        <v>0</v>
      </c>
      <c r="P6" s="138">
        <f t="shared" si="7"/>
        <v>0</v>
      </c>
      <c r="Q6" s="138">
        <f t="shared" si="7"/>
        <v>3.8000000000000003</v>
      </c>
      <c r="R6" s="138">
        <f t="shared" si="7"/>
        <v>0</v>
      </c>
      <c r="S6" s="138">
        <f t="shared" si="7"/>
        <v>0</v>
      </c>
      <c r="T6" s="138">
        <f t="shared" si="7"/>
        <v>0</v>
      </c>
      <c r="U6" s="138">
        <f t="shared" si="7"/>
        <v>0</v>
      </c>
      <c r="V6" s="138">
        <f t="shared" si="7"/>
        <v>6</v>
      </c>
      <c r="W6" s="138">
        <f t="shared" si="7"/>
        <v>0</v>
      </c>
      <c r="X6" s="138">
        <f t="shared" si="7"/>
        <v>0</v>
      </c>
      <c r="Y6" s="138">
        <f t="shared" si="7"/>
        <v>0</v>
      </c>
      <c r="Z6" s="138">
        <f t="shared" si="7"/>
        <v>0</v>
      </c>
      <c r="AA6" s="138">
        <f t="shared" si="7"/>
        <v>0</v>
      </c>
      <c r="AB6" s="138">
        <f t="shared" si="7"/>
        <v>0</v>
      </c>
      <c r="AC6" s="243"/>
      <c r="AE6" s="62">
        <v>3</v>
      </c>
      <c r="AF6" s="91" t="str">
        <f>IF(ISBLANK(STUD!B9)," ",STUD!B9)</f>
        <v>SERVIFRENOS</v>
      </c>
      <c r="AG6" s="91">
        <f t="shared" si="0"/>
        <v>55.100000000000009</v>
      </c>
      <c r="AH6" s="91">
        <f t="shared" si="6"/>
        <v>-55.100000000000009</v>
      </c>
      <c r="AI6" s="88">
        <f t="shared" si="1"/>
        <v>13</v>
      </c>
      <c r="AJ6" s="53" t="str">
        <f>IF(AI6="","",IFERROR(IF(VLOOKUP(AI6,Programa!$Q$3:$R$18,2,0)="","",VLOOKUP(AI6,Programa!$Q$3:$R$18,2,0)),""))</f>
        <v/>
      </c>
      <c r="AK6" s="53">
        <f t="shared" si="2"/>
        <v>5</v>
      </c>
      <c r="AL6" s="53" t="str">
        <f>IF(AK6="","",IFERROR(IF(VLOOKUP(AK6,Programa!$Q$19:$R$34,2,0)="","",VLOOKUP(AK6,Programa!$Q$19:$R$34,2,0)),""))</f>
        <v/>
      </c>
      <c r="AM6" s="53">
        <f t="shared" si="3"/>
        <v>10</v>
      </c>
      <c r="AN6" s="53" t="str">
        <f>IF(AM6="","",IFERROR(IF(VLOOKUP(AM6,Programa!$Q$35:$R$50,2,0)="","",VLOOKUP(AM6,Programa!$Q$35:$R$50,2,0)),""))</f>
        <v/>
      </c>
      <c r="AP6" s="228">
        <v>3</v>
      </c>
      <c r="AQ6" s="145" t="str">
        <f>IF(ISBLANK(STUD!B2)," ",STUD!B2)</f>
        <v>SOSAMAFIA</v>
      </c>
      <c r="AR6" s="185">
        <f>IFERROR(VLOOKUP(AQ6,Lunes!$AF$4:$AG$31,2,0),0)</f>
        <v>4</v>
      </c>
      <c r="AS6" s="185">
        <f>IFERROR(VLOOKUP(AQ6,Martes!$AF$4:$AH$31,2,0),0)</f>
        <v>14.9</v>
      </c>
      <c r="AT6" s="185">
        <f>IFERROR(VLOOKUP(AQ6,Miercoles!$AF$4:$AG$31,2,0),0)</f>
        <v>39.200000000000003</v>
      </c>
      <c r="AU6" s="185">
        <f t="shared" si="4"/>
        <v>46.4</v>
      </c>
      <c r="AV6" s="185">
        <f t="shared" si="5"/>
        <v>104.5</v>
      </c>
      <c r="AW6" s="185">
        <f t="shared" ref="AW6:AW31" si="8">$AV$4-AV6</f>
        <v>-104.5</v>
      </c>
    </row>
    <row r="7" spans="1:49" ht="15.75" customHeight="1" x14ac:dyDescent="0.4">
      <c r="A7" s="252">
        <f>+A5+1</f>
        <v>2</v>
      </c>
      <c r="B7" s="253" t="str">
        <f>+STUD!B3</f>
        <v>EL JOYERO</v>
      </c>
      <c r="C7" s="244">
        <f>SUM(D8:AB8)</f>
        <v>32.5</v>
      </c>
      <c r="D7" s="112">
        <v>12</v>
      </c>
      <c r="E7" s="112">
        <v>3</v>
      </c>
      <c r="F7" s="112">
        <v>9</v>
      </c>
      <c r="G7" s="112">
        <v>1</v>
      </c>
      <c r="H7" s="112">
        <v>6</v>
      </c>
      <c r="I7" s="112">
        <v>7</v>
      </c>
      <c r="J7" s="112">
        <v>11</v>
      </c>
      <c r="K7" s="112">
        <v>2</v>
      </c>
      <c r="L7" s="112">
        <v>6</v>
      </c>
      <c r="M7" s="112">
        <v>5</v>
      </c>
      <c r="N7" s="109">
        <v>11</v>
      </c>
      <c r="O7" s="109">
        <v>3</v>
      </c>
      <c r="P7" s="109">
        <v>13</v>
      </c>
      <c r="Q7" s="109">
        <v>5</v>
      </c>
      <c r="R7" s="109">
        <v>7</v>
      </c>
      <c r="S7" s="109">
        <v>11</v>
      </c>
      <c r="T7" s="109">
        <v>6</v>
      </c>
      <c r="U7" s="109">
        <v>3</v>
      </c>
      <c r="V7" s="109">
        <v>11</v>
      </c>
      <c r="W7" s="109"/>
      <c r="X7" s="109"/>
      <c r="Y7" s="109"/>
      <c r="Z7" s="109"/>
      <c r="AA7" s="109"/>
      <c r="AB7" s="109"/>
      <c r="AC7" s="243">
        <f>SUM(D8:AB8)</f>
        <v>32.5</v>
      </c>
      <c r="AE7" s="63">
        <v>4</v>
      </c>
      <c r="AF7" s="91" t="str">
        <f>IF(ISBLANK(STUD!B7)," ",STUD!B7)</f>
        <v>ALF</v>
      </c>
      <c r="AG7" s="91">
        <f t="shared" si="0"/>
        <v>54.599999999999994</v>
      </c>
      <c r="AH7" s="92">
        <f t="shared" si="6"/>
        <v>-54.599999999999994</v>
      </c>
      <c r="AI7" s="88">
        <f t="shared" si="1"/>
        <v>4</v>
      </c>
      <c r="AJ7" s="53" t="str">
        <f>IF(AI7="","",IFERROR(IF(VLOOKUP(AI7,Programa!$Q$3:$R$18,2,0)="","",VLOOKUP(AI7,Programa!$Q$3:$R$18,2,0)),""))</f>
        <v/>
      </c>
      <c r="AK7" s="53">
        <f t="shared" si="2"/>
        <v>5</v>
      </c>
      <c r="AL7" s="53" t="str">
        <f>IF(AK7="","",IFERROR(IF(VLOOKUP(AK7,Programa!$Q$19:$R$34,2,0)="","",VLOOKUP(AK7,Programa!$Q$19:$R$34,2,0)),""))</f>
        <v/>
      </c>
      <c r="AM7" s="53">
        <f t="shared" si="3"/>
        <v>9</v>
      </c>
      <c r="AN7" s="53" t="str">
        <f>IF(AM7="","",IFERROR(IF(VLOOKUP(AM7,Programa!$Q$35:$R$50,2,0)="","",VLOOKUP(AM7,Programa!$Q$35:$R$50,2,0)),""))</f>
        <v/>
      </c>
      <c r="AP7" s="228">
        <v>4</v>
      </c>
      <c r="AQ7" s="145" t="str">
        <f>IF(ISBLANK(STUD!B4)," ",STUD!B4)</f>
        <v>PAP</v>
      </c>
      <c r="AR7" s="185">
        <f>IFERROR(VLOOKUP(AQ7,Lunes!$AF$4:$AG$31,2,0),0)</f>
        <v>0</v>
      </c>
      <c r="AS7" s="185">
        <f>IFERROR(VLOOKUP(AQ7,Martes!$AF$4:$AH$31,2,0),0)</f>
        <v>26.8</v>
      </c>
      <c r="AT7" s="185">
        <f>IFERROR(VLOOKUP(AQ7,Miercoles!$AF$4:$AG$31,2,0),0)</f>
        <v>79.199999999999989</v>
      </c>
      <c r="AU7" s="185">
        <f t="shared" si="4"/>
        <v>26.200000000000003</v>
      </c>
      <c r="AV7" s="185">
        <f t="shared" si="5"/>
        <v>132.19999999999999</v>
      </c>
      <c r="AW7" s="185">
        <f t="shared" si="8"/>
        <v>-132.19999999999999</v>
      </c>
    </row>
    <row r="8" spans="1:49" ht="15" customHeight="1" x14ac:dyDescent="0.4">
      <c r="A8" s="242"/>
      <c r="B8" s="253"/>
      <c r="C8" s="245"/>
      <c r="D8" s="138">
        <f t="shared" ref="D8:AB8" si="9">IF(IFERROR(IF(VLOOKUP(D7,D$151:D$155,1,0)&gt;=1,D$150,0),D7)=D$132,D$136,IF(IFERROR(IF(VLOOKUP(D7,D$151:D$155,1,0)&gt;=1,D$150,0),D7)=D$139,D$142,IF(IFERROR(IF(VLOOKUP(D7,D$151:D$155,1,0)&gt;=1,D$150,0),D7)=D$145,D$147,0)))</f>
        <v>2.2999999999999998</v>
      </c>
      <c r="E8" s="138">
        <f t="shared" si="9"/>
        <v>0</v>
      </c>
      <c r="F8" s="138">
        <f t="shared" si="9"/>
        <v>0</v>
      </c>
      <c r="G8" s="138">
        <f t="shared" si="9"/>
        <v>0</v>
      </c>
      <c r="H8" s="138">
        <f t="shared" si="9"/>
        <v>0</v>
      </c>
      <c r="I8" s="138">
        <f t="shared" si="9"/>
        <v>0</v>
      </c>
      <c r="J8" s="138">
        <f t="shared" si="9"/>
        <v>0</v>
      </c>
      <c r="K8" s="138">
        <f t="shared" si="9"/>
        <v>0</v>
      </c>
      <c r="L8" s="138">
        <f t="shared" si="9"/>
        <v>0</v>
      </c>
      <c r="M8" s="138">
        <f t="shared" si="9"/>
        <v>3.9000000000000004</v>
      </c>
      <c r="N8" s="138">
        <f t="shared" si="9"/>
        <v>1.8</v>
      </c>
      <c r="O8" s="138">
        <f t="shared" si="9"/>
        <v>3.6</v>
      </c>
      <c r="P8" s="138">
        <f t="shared" si="9"/>
        <v>11.8</v>
      </c>
      <c r="Q8" s="138">
        <f t="shared" si="9"/>
        <v>1.4</v>
      </c>
      <c r="R8" s="138">
        <f t="shared" si="9"/>
        <v>0</v>
      </c>
      <c r="S8" s="138">
        <f t="shared" si="9"/>
        <v>0</v>
      </c>
      <c r="T8" s="138">
        <f t="shared" si="9"/>
        <v>0</v>
      </c>
      <c r="U8" s="138">
        <f t="shared" si="9"/>
        <v>1.7</v>
      </c>
      <c r="V8" s="138">
        <f t="shared" si="9"/>
        <v>6</v>
      </c>
      <c r="W8" s="138">
        <f t="shared" si="9"/>
        <v>0</v>
      </c>
      <c r="X8" s="138">
        <f t="shared" si="9"/>
        <v>0</v>
      </c>
      <c r="Y8" s="138">
        <f t="shared" si="9"/>
        <v>0</v>
      </c>
      <c r="Z8" s="138">
        <f t="shared" si="9"/>
        <v>0</v>
      </c>
      <c r="AA8" s="138">
        <f t="shared" si="9"/>
        <v>0</v>
      </c>
      <c r="AB8" s="138">
        <f t="shared" si="9"/>
        <v>0</v>
      </c>
      <c r="AC8" s="243"/>
      <c r="AE8" s="64">
        <v>5</v>
      </c>
      <c r="AF8" s="91" t="str">
        <f>IF(ISBLANK(STUD!B6)," ",STUD!B6)</f>
        <v>TRES COPAS</v>
      </c>
      <c r="AG8" s="91">
        <f t="shared" si="0"/>
        <v>54.599999999999994</v>
      </c>
      <c r="AH8" s="92">
        <f t="shared" si="6"/>
        <v>-54.599999999999994</v>
      </c>
      <c r="AI8" s="88">
        <f t="shared" si="1"/>
        <v>4</v>
      </c>
      <c r="AJ8" s="53" t="str">
        <f>IF(AI8="","",IFERROR(IF(VLOOKUP(AI8,Programa!$Q$3:$R$18,2,0)="","",VLOOKUP(AI8,Programa!$Q$3:$R$18,2,0)),""))</f>
        <v/>
      </c>
      <c r="AK8" s="53">
        <f t="shared" si="2"/>
        <v>5</v>
      </c>
      <c r="AL8" s="53" t="str">
        <f>IF(AK8="","",IFERROR(IF(VLOOKUP(AK8,Programa!$Q$19:$R$34,2,0)="","",VLOOKUP(AK8,Programa!$Q$19:$R$34,2,0)),""))</f>
        <v/>
      </c>
      <c r="AM8" s="53">
        <f t="shared" si="3"/>
        <v>9</v>
      </c>
      <c r="AN8" s="53" t="str">
        <f>IF(AM8="","",IFERROR(IF(VLOOKUP(AM8,Programa!$Q$35:$R$50,2,0)="","",VLOOKUP(AM8,Programa!$Q$35:$R$50,2,0)),""))</f>
        <v/>
      </c>
      <c r="AP8" s="228">
        <v>5</v>
      </c>
      <c r="AQ8" s="145" t="str">
        <f>IF(ISBLANK(STUD!B9)," ",STUD!B9)</f>
        <v>SERVIFRENOS</v>
      </c>
      <c r="AR8" s="185">
        <f>IFERROR(VLOOKUP(AQ8,Lunes!$AF$4:$AG$31,2,0),0)</f>
        <v>13.700000000000001</v>
      </c>
      <c r="AS8" s="185">
        <f>IFERROR(VLOOKUP(AQ8,Martes!$AF$4:$AH$31,2,0),0)</f>
        <v>35.900000000000006</v>
      </c>
      <c r="AT8" s="185">
        <f>IFERROR(VLOOKUP(AQ8,Miercoles!$AF$4:$AG$31,2,0),0)</f>
        <v>34.699999999999996</v>
      </c>
      <c r="AU8" s="185">
        <f t="shared" si="4"/>
        <v>55.100000000000009</v>
      </c>
      <c r="AV8" s="185">
        <f t="shared" si="5"/>
        <v>139.40000000000003</v>
      </c>
      <c r="AW8" s="185">
        <f t="shared" si="8"/>
        <v>-139.40000000000003</v>
      </c>
    </row>
    <row r="9" spans="1:49" ht="15.75" customHeight="1" x14ac:dyDescent="0.4">
      <c r="A9" s="252">
        <f>+A7+1</f>
        <v>3</v>
      </c>
      <c r="B9" s="253" t="str">
        <f>+STUD!B4</f>
        <v>PAP</v>
      </c>
      <c r="C9" s="244">
        <f>SUM(D10:AB10)</f>
        <v>26.200000000000003</v>
      </c>
      <c r="D9" s="129">
        <v>8</v>
      </c>
      <c r="E9" s="129">
        <v>2</v>
      </c>
      <c r="F9" s="129">
        <v>10</v>
      </c>
      <c r="G9" s="129">
        <v>1</v>
      </c>
      <c r="H9" s="129">
        <v>1</v>
      </c>
      <c r="I9" s="129">
        <v>2</v>
      </c>
      <c r="J9" s="129">
        <v>10</v>
      </c>
      <c r="K9" s="129">
        <v>13</v>
      </c>
      <c r="L9" s="129">
        <v>9</v>
      </c>
      <c r="M9" s="129">
        <v>1</v>
      </c>
      <c r="N9" s="129">
        <v>11</v>
      </c>
      <c r="O9" s="130">
        <v>2</v>
      </c>
      <c r="P9" s="129">
        <v>3</v>
      </c>
      <c r="Q9" s="129">
        <v>5</v>
      </c>
      <c r="R9" s="129">
        <v>13</v>
      </c>
      <c r="S9" s="129">
        <v>2</v>
      </c>
      <c r="T9" s="129">
        <v>2</v>
      </c>
      <c r="U9" s="129">
        <v>7</v>
      </c>
      <c r="V9" s="129">
        <v>7</v>
      </c>
      <c r="W9" s="129"/>
      <c r="X9" s="129"/>
      <c r="Y9" s="109"/>
      <c r="Z9" s="109"/>
      <c r="AA9" s="109"/>
      <c r="AB9" s="109"/>
      <c r="AC9" s="243">
        <f>SUM(D10:AB10)</f>
        <v>26.200000000000003</v>
      </c>
      <c r="AE9" s="65">
        <v>6</v>
      </c>
      <c r="AF9" s="91" t="str">
        <f>IF(ISBLANK(STUD!B5)," ",STUD!B5)</f>
        <v>KUME</v>
      </c>
      <c r="AG9" s="91">
        <f t="shared" si="0"/>
        <v>49.099999999999994</v>
      </c>
      <c r="AH9" s="92">
        <f t="shared" si="6"/>
        <v>-49.099999999999994</v>
      </c>
      <c r="AI9" s="88">
        <f t="shared" si="1"/>
        <v>9</v>
      </c>
      <c r="AJ9" s="53" t="str">
        <f>IF(AI9="","",IFERROR(IF(VLOOKUP(AI9,Programa!$Q$3:$R$18,2,0)="","",VLOOKUP(AI9,Programa!$Q$3:$R$18,2,0)),""))</f>
        <v/>
      </c>
      <c r="AK9" s="53">
        <f t="shared" si="2"/>
        <v>5</v>
      </c>
      <c r="AL9" s="53" t="str">
        <f>IF(AK9="","",IFERROR(IF(VLOOKUP(AK9,Programa!$Q$19:$R$34,2,0)="","",VLOOKUP(AK9,Programa!$Q$19:$R$34,2,0)),""))</f>
        <v/>
      </c>
      <c r="AM9" s="53">
        <f t="shared" si="3"/>
        <v>10</v>
      </c>
      <c r="AN9" s="53" t="str">
        <f>IF(AM9="","",IFERROR(IF(VLOOKUP(AM9,Programa!$Q$35:$R$50,2,0)="","",VLOOKUP(AM9,Programa!$Q$35:$R$50,2,0)),""))</f>
        <v/>
      </c>
      <c r="AP9" s="228">
        <v>6</v>
      </c>
      <c r="AQ9" s="145" t="str">
        <f>IF(ISBLANK(STUD!B12)," ",STUD!B12)</f>
        <v xml:space="preserve"> </v>
      </c>
      <c r="AR9" s="185">
        <f>IFERROR(VLOOKUP(AQ9,Lunes!$AF$4:$AG$31,2,0),0)</f>
        <v>0</v>
      </c>
      <c r="AS9" s="185">
        <f>IFERROR(VLOOKUP(AQ9,Martes!$AF$4:$AH$31,2,0),0)</f>
        <v>0</v>
      </c>
      <c r="AT9" s="185">
        <f>IFERROR(VLOOKUP(AQ9,Miercoles!$AF$4:$AG$31,2,0),0)</f>
        <v>0</v>
      </c>
      <c r="AU9" s="185">
        <f t="shared" si="4"/>
        <v>0</v>
      </c>
      <c r="AV9" s="185">
        <f t="shared" si="5"/>
        <v>0</v>
      </c>
      <c r="AW9" s="185">
        <f t="shared" si="8"/>
        <v>0</v>
      </c>
    </row>
    <row r="10" spans="1:49" ht="15" customHeight="1" x14ac:dyDescent="0.4">
      <c r="A10" s="242"/>
      <c r="B10" s="253"/>
      <c r="C10" s="245"/>
      <c r="D10" s="138">
        <f t="shared" ref="D10:AB10" si="10">IF(IFERROR(IF(VLOOKUP(D9,D$151:D$155,1,0)&gt;=1,D$150,0),D9)=D$132,D$136,IF(IFERROR(IF(VLOOKUP(D9,D$151:D$155,1,0)&gt;=1,D$150,0),D9)=D$139,D$142,IF(IFERROR(IF(VLOOKUP(D9,D$151:D$155,1,0)&gt;=1,D$150,0),D9)=D$145,D$147,0)))</f>
        <v>0</v>
      </c>
      <c r="E10" s="138">
        <f t="shared" si="10"/>
        <v>1</v>
      </c>
      <c r="F10" s="138">
        <f t="shared" si="10"/>
        <v>1.3</v>
      </c>
      <c r="G10" s="138">
        <f t="shared" si="10"/>
        <v>0</v>
      </c>
      <c r="H10" s="138">
        <f t="shared" si="10"/>
        <v>2.2999999999999998</v>
      </c>
      <c r="I10" s="138">
        <f t="shared" si="10"/>
        <v>0</v>
      </c>
      <c r="J10" s="138">
        <f t="shared" si="10"/>
        <v>0</v>
      </c>
      <c r="K10" s="138">
        <f t="shared" si="10"/>
        <v>0</v>
      </c>
      <c r="L10" s="138">
        <f t="shared" si="10"/>
        <v>4.5</v>
      </c>
      <c r="M10" s="138">
        <f t="shared" si="10"/>
        <v>2.5</v>
      </c>
      <c r="N10" s="138">
        <f t="shared" si="10"/>
        <v>1.8</v>
      </c>
      <c r="O10" s="138">
        <f t="shared" si="10"/>
        <v>0</v>
      </c>
      <c r="P10" s="138">
        <f t="shared" si="10"/>
        <v>0</v>
      </c>
      <c r="Q10" s="138">
        <f t="shared" si="10"/>
        <v>1.4</v>
      </c>
      <c r="R10" s="138">
        <f t="shared" si="10"/>
        <v>0</v>
      </c>
      <c r="S10" s="138">
        <f t="shared" si="10"/>
        <v>0</v>
      </c>
      <c r="T10" s="138">
        <f t="shared" si="10"/>
        <v>0</v>
      </c>
      <c r="U10" s="138">
        <f t="shared" si="10"/>
        <v>5.4</v>
      </c>
      <c r="V10" s="138">
        <f t="shared" si="10"/>
        <v>6</v>
      </c>
      <c r="W10" s="138">
        <f t="shared" si="10"/>
        <v>0</v>
      </c>
      <c r="X10" s="138">
        <f t="shared" si="10"/>
        <v>0</v>
      </c>
      <c r="Y10" s="138">
        <f t="shared" si="10"/>
        <v>0</v>
      </c>
      <c r="Z10" s="138">
        <f t="shared" si="10"/>
        <v>0</v>
      </c>
      <c r="AA10" s="138">
        <f t="shared" si="10"/>
        <v>0</v>
      </c>
      <c r="AB10" s="138">
        <f t="shared" si="10"/>
        <v>0</v>
      </c>
      <c r="AC10" s="243"/>
      <c r="AE10" s="66">
        <v>7</v>
      </c>
      <c r="AF10" s="91" t="str">
        <f>IF(ISBLANK(STUD!B13)," ",STUD!B13)</f>
        <v xml:space="preserve"> </v>
      </c>
      <c r="AG10" s="91">
        <f t="shared" si="0"/>
        <v>0</v>
      </c>
      <c r="AH10" s="92">
        <f t="shared" si="6"/>
        <v>0</v>
      </c>
      <c r="AI10" s="88" t="str">
        <f t="shared" si="1"/>
        <v xml:space="preserve"> </v>
      </c>
      <c r="AJ10" s="53" t="str">
        <f>IF(AI10="","",IFERROR(IF(VLOOKUP(AI10,Programa!$Q$3:$R$18,2,0)="","",VLOOKUP(AI10,Programa!$Q$3:$R$18,2,0)),""))</f>
        <v/>
      </c>
      <c r="AK10" s="53" t="str">
        <f t="shared" si="2"/>
        <v xml:space="preserve"> </v>
      </c>
      <c r="AL10" s="53" t="str">
        <f>IF(AK10="","",IFERROR(IF(VLOOKUP(AK10,Programa!$Q$19:$R$34,2,0)="","",VLOOKUP(AK10,Programa!$Q$19:$R$34,2,0)),""))</f>
        <v/>
      </c>
      <c r="AM10" s="53" t="str">
        <f t="shared" si="3"/>
        <v xml:space="preserve"> </v>
      </c>
      <c r="AN10" s="53" t="str">
        <f>IF(AM10="","",IFERROR(IF(VLOOKUP(AM10,Programa!$Q$35:$R$50,2,0)="","",VLOOKUP(AM10,Programa!$Q$35:$R$50,2,0)),""))</f>
        <v/>
      </c>
      <c r="AP10" s="228">
        <v>7</v>
      </c>
      <c r="AQ10" s="145" t="str">
        <f>IF(ISBLANK(STUD!B11)," ",STUD!B11)</f>
        <v>PASASTE BANDIDO</v>
      </c>
      <c r="AR10" s="185">
        <f>IFERROR(VLOOKUP(AQ10,Lunes!$AF$4:$AG$31,2,0),0)</f>
        <v>4</v>
      </c>
      <c r="AS10" s="185">
        <f>IFERROR(VLOOKUP(AQ10,Martes!$AF$4:$AH$31,2,0),0)</f>
        <v>59.9</v>
      </c>
      <c r="AT10" s="185">
        <f>IFERROR(VLOOKUP(AQ10,Miercoles!$AF$4:$AG$31,2,0),0)</f>
        <v>12.899999999999999</v>
      </c>
      <c r="AU10" s="185">
        <f t="shared" si="4"/>
        <v>6.8000000000000007</v>
      </c>
      <c r="AV10" s="185">
        <f t="shared" si="5"/>
        <v>83.6</v>
      </c>
      <c r="AW10" s="185">
        <f t="shared" si="8"/>
        <v>-83.6</v>
      </c>
    </row>
    <row r="11" spans="1:49" ht="15.75" customHeight="1" x14ac:dyDescent="0.4">
      <c r="A11" s="252">
        <f>+A9+1</f>
        <v>4</v>
      </c>
      <c r="B11" s="253" t="str">
        <f>+STUD!B5</f>
        <v>KUME</v>
      </c>
      <c r="C11" s="244">
        <f>SUM(D12:AB12)</f>
        <v>49.099999999999994</v>
      </c>
      <c r="D11" s="129">
        <v>3</v>
      </c>
      <c r="E11" s="129">
        <v>2</v>
      </c>
      <c r="F11" s="129">
        <v>10</v>
      </c>
      <c r="G11" s="129">
        <v>8</v>
      </c>
      <c r="H11" s="129">
        <v>1</v>
      </c>
      <c r="I11" s="129">
        <v>11</v>
      </c>
      <c r="J11" s="129">
        <v>3</v>
      </c>
      <c r="K11" s="129">
        <v>12</v>
      </c>
      <c r="L11" s="129">
        <v>9</v>
      </c>
      <c r="M11" s="129">
        <v>5</v>
      </c>
      <c r="N11" s="129">
        <v>10</v>
      </c>
      <c r="O11" s="130">
        <v>3</v>
      </c>
      <c r="P11" s="129">
        <v>7</v>
      </c>
      <c r="Q11" s="129">
        <v>2</v>
      </c>
      <c r="R11" s="129">
        <v>12</v>
      </c>
      <c r="S11" s="129">
        <v>3</v>
      </c>
      <c r="T11" s="129">
        <v>2</v>
      </c>
      <c r="U11" s="129">
        <v>11</v>
      </c>
      <c r="V11" s="129">
        <v>7</v>
      </c>
      <c r="W11" s="129"/>
      <c r="X11" s="129"/>
      <c r="Y11" s="109"/>
      <c r="Z11" s="109"/>
      <c r="AA11" s="109"/>
      <c r="AB11" s="109"/>
      <c r="AC11" s="243">
        <f>SUM(D12:AB12)</f>
        <v>49.099999999999994</v>
      </c>
      <c r="AE11" s="67">
        <v>8</v>
      </c>
      <c r="AF11" s="91" t="str">
        <f>IF(ISBLANK(STUD!B2)," ",STUD!B2)</f>
        <v>SOSAMAFIA</v>
      </c>
      <c r="AG11" s="91">
        <f t="shared" si="0"/>
        <v>46.4</v>
      </c>
      <c r="AH11" s="92">
        <f t="shared" si="6"/>
        <v>-46.4</v>
      </c>
      <c r="AI11" s="88">
        <f t="shared" si="1"/>
        <v>4</v>
      </c>
      <c r="AJ11" s="53" t="str">
        <f>IF(AI11="","",IFERROR(IF(VLOOKUP(AI11,Programa!$Q$3:$R$18,2,0)="","",VLOOKUP(AI11,Programa!$Q$3:$R$18,2,0)),""))</f>
        <v/>
      </c>
      <c r="AK11" s="53">
        <f t="shared" si="2"/>
        <v>5</v>
      </c>
      <c r="AL11" s="53" t="str">
        <f>IF(AK11="","",IFERROR(IF(VLOOKUP(AK11,Programa!$Q$19:$R$34,2,0)="","",VLOOKUP(AK11,Programa!$Q$19:$R$34,2,0)),""))</f>
        <v/>
      </c>
      <c r="AM11" s="53">
        <f t="shared" si="3"/>
        <v>9</v>
      </c>
      <c r="AN11" s="53" t="str">
        <f>IF(AM11="","",IFERROR(IF(VLOOKUP(AM11,Programa!$Q$35:$R$50,2,0)="","",VLOOKUP(AM11,Programa!$Q$35:$R$50,2,0)),""))</f>
        <v/>
      </c>
      <c r="AP11" s="228">
        <v>8</v>
      </c>
      <c r="AQ11" s="145" t="str">
        <f>IF(ISBLANK(STUD!B13)," ",STUD!B13)</f>
        <v xml:space="preserve"> </v>
      </c>
      <c r="AR11" s="185">
        <f>IFERROR(VLOOKUP(AQ11,Lunes!$AF$4:$AG$31,2,0),0)</f>
        <v>0</v>
      </c>
      <c r="AS11" s="185">
        <f>IFERROR(VLOOKUP(AQ11,Martes!$AF$4:$AH$31,2,0),0)</f>
        <v>0</v>
      </c>
      <c r="AT11" s="185">
        <f>IFERROR(VLOOKUP(AQ11,Miercoles!$AF$4:$AG$31,2,0),0)</f>
        <v>0</v>
      </c>
      <c r="AU11" s="185">
        <f t="shared" si="4"/>
        <v>0</v>
      </c>
      <c r="AV11" s="185">
        <f t="shared" si="5"/>
        <v>0</v>
      </c>
      <c r="AW11" s="185">
        <f t="shared" si="8"/>
        <v>0</v>
      </c>
    </row>
    <row r="12" spans="1:49" ht="15" customHeight="1" x14ac:dyDescent="0.4">
      <c r="A12" s="242"/>
      <c r="B12" s="253"/>
      <c r="C12" s="245"/>
      <c r="D12" s="138">
        <f t="shared" ref="D12:AB12" si="11">IF(IFERROR(IF(VLOOKUP(D11,D$151:D$155,1,0)&gt;=1,D$150,0),D11)=D$132,D$136,IF(IFERROR(IF(VLOOKUP(D11,D$151:D$155,1,0)&gt;=1,D$150,0),D11)=D$139,D$142,IF(IFERROR(IF(VLOOKUP(D11,D$151:D$155,1,0)&gt;=1,D$150,0),D11)=D$145,D$147,0)))</f>
        <v>0</v>
      </c>
      <c r="E12" s="138">
        <f t="shared" si="11"/>
        <v>1</v>
      </c>
      <c r="F12" s="138">
        <f t="shared" si="11"/>
        <v>1.3</v>
      </c>
      <c r="G12" s="138">
        <f t="shared" si="11"/>
        <v>8.4</v>
      </c>
      <c r="H12" s="138">
        <f t="shared" si="11"/>
        <v>2.2999999999999998</v>
      </c>
      <c r="I12" s="138">
        <f t="shared" si="11"/>
        <v>2.9000000000000004</v>
      </c>
      <c r="J12" s="138">
        <f t="shared" si="11"/>
        <v>7</v>
      </c>
      <c r="K12" s="138">
        <f t="shared" si="11"/>
        <v>0</v>
      </c>
      <c r="L12" s="138">
        <f t="shared" si="11"/>
        <v>4.5</v>
      </c>
      <c r="M12" s="138">
        <f t="shared" si="11"/>
        <v>3.9000000000000004</v>
      </c>
      <c r="N12" s="138">
        <f t="shared" si="11"/>
        <v>0</v>
      </c>
      <c r="O12" s="138">
        <f t="shared" si="11"/>
        <v>3.6</v>
      </c>
      <c r="P12" s="138">
        <f t="shared" si="11"/>
        <v>0</v>
      </c>
      <c r="Q12" s="138">
        <f t="shared" si="11"/>
        <v>3.8000000000000003</v>
      </c>
      <c r="R12" s="138">
        <f t="shared" si="11"/>
        <v>4.4000000000000004</v>
      </c>
      <c r="S12" s="138">
        <f t="shared" si="11"/>
        <v>0</v>
      </c>
      <c r="T12" s="138">
        <f t="shared" si="11"/>
        <v>0</v>
      </c>
      <c r="U12" s="138">
        <f t="shared" si="11"/>
        <v>0</v>
      </c>
      <c r="V12" s="138">
        <f t="shared" si="11"/>
        <v>6</v>
      </c>
      <c r="W12" s="138">
        <f t="shared" si="11"/>
        <v>0</v>
      </c>
      <c r="X12" s="138">
        <f t="shared" si="11"/>
        <v>0</v>
      </c>
      <c r="Y12" s="138">
        <f t="shared" si="11"/>
        <v>0</v>
      </c>
      <c r="Z12" s="138">
        <f t="shared" si="11"/>
        <v>0</v>
      </c>
      <c r="AA12" s="138">
        <f t="shared" si="11"/>
        <v>0</v>
      </c>
      <c r="AB12" s="138">
        <f t="shared" si="11"/>
        <v>0</v>
      </c>
      <c r="AC12" s="243"/>
      <c r="AE12" s="68">
        <v>9</v>
      </c>
      <c r="AF12" s="91" t="str">
        <f>IF(ISBLANK(STUD!B8)," ",STUD!B8)</f>
        <v>MIS SOBRINOS</v>
      </c>
      <c r="AG12" s="91">
        <f t="shared" si="0"/>
        <v>39.599999999999994</v>
      </c>
      <c r="AH12" s="92">
        <f t="shared" si="6"/>
        <v>-39.599999999999994</v>
      </c>
      <c r="AI12" s="88">
        <f t="shared" si="1"/>
        <v>3</v>
      </c>
      <c r="AJ12" s="53" t="str">
        <f>IF(AI12="","",IFERROR(IF(VLOOKUP(AI12,Programa!$Q$3:$R$18,2,0)="","",VLOOKUP(AI12,Programa!$Q$3:$R$18,2,0)),""))</f>
        <v/>
      </c>
      <c r="AK12" s="53">
        <f t="shared" si="2"/>
        <v>3</v>
      </c>
      <c r="AL12" s="53" t="str">
        <f>IF(AK12="","",IFERROR(IF(VLOOKUP(AK12,Programa!$Q$19:$R$34,2,0)="","",VLOOKUP(AK12,Programa!$Q$19:$R$34,2,0)),""))</f>
        <v/>
      </c>
      <c r="AM12" s="53">
        <f t="shared" si="3"/>
        <v>9</v>
      </c>
      <c r="AN12" s="53" t="str">
        <f>IF(AM12="","",IFERROR(IF(VLOOKUP(AM12,Programa!$Q$35:$R$50,2,0)="","",VLOOKUP(AM12,Programa!$Q$35:$R$50,2,0)),""))</f>
        <v/>
      </c>
      <c r="AP12" s="229">
        <v>9</v>
      </c>
      <c r="AQ12" s="145" t="str">
        <f>IF(ISBLANK(STUD!B5)," ",STUD!B5)</f>
        <v>KUME</v>
      </c>
      <c r="AR12" s="185">
        <f>IFERROR(VLOOKUP(AQ12,Lunes!$AF$4:$AG$31,2,0),0)</f>
        <v>9.7000000000000011</v>
      </c>
      <c r="AS12" s="185">
        <f>IFERROR(VLOOKUP(AQ12,Martes!$AF$4:$AH$31,2,0),0)</f>
        <v>38.200000000000003</v>
      </c>
      <c r="AT12" s="185">
        <f>IFERROR(VLOOKUP(AQ12,Miercoles!$AF$4:$AG$31,2,0),0)</f>
        <v>5.9</v>
      </c>
      <c r="AU12" s="185">
        <f t="shared" si="4"/>
        <v>49.099999999999994</v>
      </c>
      <c r="AV12" s="185">
        <f t="shared" si="5"/>
        <v>102.9</v>
      </c>
      <c r="AW12" s="185">
        <f t="shared" si="8"/>
        <v>-102.9</v>
      </c>
    </row>
    <row r="13" spans="1:49" ht="15.75" customHeight="1" x14ac:dyDescent="0.4">
      <c r="A13" s="252">
        <f>+A11+1</f>
        <v>5</v>
      </c>
      <c r="B13" s="253" t="str">
        <f>+STUD!B6</f>
        <v>TRES COPAS</v>
      </c>
      <c r="C13" s="244">
        <f>SUM(D14:AB14)</f>
        <v>54.599999999999994</v>
      </c>
      <c r="D13" s="129">
        <v>7</v>
      </c>
      <c r="E13" s="129">
        <v>4</v>
      </c>
      <c r="F13" s="129">
        <v>1</v>
      </c>
      <c r="G13" s="129">
        <v>6</v>
      </c>
      <c r="H13" s="129">
        <v>1</v>
      </c>
      <c r="I13" s="129">
        <v>6</v>
      </c>
      <c r="J13" s="129">
        <v>3</v>
      </c>
      <c r="K13" s="129">
        <v>1</v>
      </c>
      <c r="L13" s="129">
        <v>4</v>
      </c>
      <c r="M13" s="129">
        <v>5</v>
      </c>
      <c r="N13" s="129">
        <v>9</v>
      </c>
      <c r="O13" s="130">
        <v>3</v>
      </c>
      <c r="P13" s="129">
        <v>10</v>
      </c>
      <c r="Q13" s="129">
        <v>4</v>
      </c>
      <c r="R13" s="129">
        <v>12</v>
      </c>
      <c r="S13" s="129">
        <v>2</v>
      </c>
      <c r="T13" s="129">
        <v>14</v>
      </c>
      <c r="U13" s="129">
        <v>14</v>
      </c>
      <c r="V13" s="129">
        <v>15</v>
      </c>
      <c r="W13" s="129"/>
      <c r="X13" s="129"/>
      <c r="Y13" s="109"/>
      <c r="Z13" s="109"/>
      <c r="AA13" s="109"/>
      <c r="AB13" s="109"/>
      <c r="AC13" s="243">
        <f>SUM(D14:AB14)</f>
        <v>54.599999999999994</v>
      </c>
      <c r="AE13" s="69">
        <v>10</v>
      </c>
      <c r="AF13" s="91" t="str">
        <f>IF(ISBLANK(STUD!B3)," ",STUD!B3)</f>
        <v>EL JOYERO</v>
      </c>
      <c r="AG13" s="91">
        <f t="shared" si="0"/>
        <v>32.5</v>
      </c>
      <c r="AH13" s="92">
        <f t="shared" si="6"/>
        <v>-32.5</v>
      </c>
      <c r="AI13" s="88">
        <f t="shared" si="1"/>
        <v>6</v>
      </c>
      <c r="AJ13" s="53" t="str">
        <f>IF(AI13="","",IFERROR(IF(VLOOKUP(AI13,Programa!$Q$3:$R$18,2,0)="","",VLOOKUP(AI13,Programa!$Q$3:$R$18,2,0)),""))</f>
        <v/>
      </c>
      <c r="AK13" s="53">
        <f t="shared" si="2"/>
        <v>5</v>
      </c>
      <c r="AL13" s="53" t="str">
        <f>IF(AK13="","",IFERROR(IF(VLOOKUP(AK13,Programa!$Q$19:$R$34,2,0)="","",VLOOKUP(AK13,Programa!$Q$19:$R$34,2,0)),""))</f>
        <v/>
      </c>
      <c r="AM13" s="53">
        <f t="shared" si="3"/>
        <v>11</v>
      </c>
      <c r="AN13" s="53" t="str">
        <f>IF(AM13="","",IFERROR(IF(VLOOKUP(AM13,Programa!$Q$35:$R$50,2,0)="","",VLOOKUP(AM13,Programa!$Q$35:$R$50,2,0)),""))</f>
        <v/>
      </c>
      <c r="AP13" s="229">
        <v>10</v>
      </c>
      <c r="AQ13" s="145" t="str">
        <f>IF(ISBLANK(STUD!B8)," ",STUD!B8)</f>
        <v>MIS SOBRINOS</v>
      </c>
      <c r="AR13" s="185">
        <f>IFERROR(VLOOKUP(AQ13,Lunes!$AF$4:$AG$31,2,0),0)</f>
        <v>7.9</v>
      </c>
      <c r="AS13" s="185">
        <f>IFERROR(VLOOKUP(AQ13,Martes!$AF$4:$AH$31,2,0),0)</f>
        <v>11.5</v>
      </c>
      <c r="AT13" s="185">
        <f>IFERROR(VLOOKUP(AQ13,Miercoles!$AF$4:$AG$31,2,0),0)</f>
        <v>32.9</v>
      </c>
      <c r="AU13" s="185">
        <f t="shared" si="4"/>
        <v>39.599999999999994</v>
      </c>
      <c r="AV13" s="185">
        <f t="shared" si="5"/>
        <v>91.899999999999991</v>
      </c>
      <c r="AW13" s="185">
        <f t="shared" si="8"/>
        <v>-91.899999999999991</v>
      </c>
    </row>
    <row r="14" spans="1:49" ht="15" customHeight="1" x14ac:dyDescent="0.4">
      <c r="A14" s="242"/>
      <c r="B14" s="253"/>
      <c r="C14" s="245"/>
      <c r="D14" s="138">
        <f t="shared" ref="D14:AB14" si="12">IF(IFERROR(IF(VLOOKUP(D13,D$151:D$155,1,0)&gt;=1,D$150,0),D13)=D$132,D$136,IF(IFERROR(IF(VLOOKUP(D13,D$151:D$155,1,0)&gt;=1,D$150,0),D13)=D$139,D$142,IF(IFERROR(IF(VLOOKUP(D13,D$151:D$155,1,0)&gt;=1,D$150,0),D13)=D$145,D$147,0)))</f>
        <v>7.1000000000000005</v>
      </c>
      <c r="E14" s="138">
        <f t="shared" si="12"/>
        <v>0</v>
      </c>
      <c r="F14" s="138">
        <f t="shared" si="12"/>
        <v>0</v>
      </c>
      <c r="G14" s="138">
        <f t="shared" si="12"/>
        <v>0</v>
      </c>
      <c r="H14" s="138">
        <f t="shared" si="12"/>
        <v>2.2999999999999998</v>
      </c>
      <c r="I14" s="138">
        <f t="shared" si="12"/>
        <v>2.9000000000000004</v>
      </c>
      <c r="J14" s="138">
        <f t="shared" si="12"/>
        <v>7</v>
      </c>
      <c r="K14" s="138">
        <f t="shared" si="12"/>
        <v>0</v>
      </c>
      <c r="L14" s="138">
        <f t="shared" si="12"/>
        <v>0</v>
      </c>
      <c r="M14" s="138">
        <f t="shared" si="12"/>
        <v>3.9000000000000004</v>
      </c>
      <c r="N14" s="138">
        <f t="shared" si="12"/>
        <v>6.2</v>
      </c>
      <c r="O14" s="138">
        <f t="shared" si="12"/>
        <v>3.6</v>
      </c>
      <c r="P14" s="138">
        <f t="shared" si="12"/>
        <v>15.799999999999999</v>
      </c>
      <c r="Q14" s="138">
        <f t="shared" si="12"/>
        <v>1.4</v>
      </c>
      <c r="R14" s="138">
        <f t="shared" si="12"/>
        <v>4.4000000000000004</v>
      </c>
      <c r="S14" s="138">
        <f t="shared" si="12"/>
        <v>0</v>
      </c>
      <c r="T14" s="138">
        <f t="shared" si="12"/>
        <v>0</v>
      </c>
      <c r="U14" s="138">
        <f t="shared" si="12"/>
        <v>0</v>
      </c>
      <c r="V14" s="138">
        <f t="shared" si="12"/>
        <v>0</v>
      </c>
      <c r="W14" s="138">
        <f t="shared" si="12"/>
        <v>0</v>
      </c>
      <c r="X14" s="138">
        <f t="shared" si="12"/>
        <v>0</v>
      </c>
      <c r="Y14" s="138">
        <f t="shared" si="12"/>
        <v>0</v>
      </c>
      <c r="Z14" s="138">
        <f t="shared" si="12"/>
        <v>0</v>
      </c>
      <c r="AA14" s="138">
        <f t="shared" si="12"/>
        <v>0</v>
      </c>
      <c r="AB14" s="138">
        <f t="shared" si="12"/>
        <v>0</v>
      </c>
      <c r="AC14" s="243"/>
      <c r="AE14" s="70">
        <v>11</v>
      </c>
      <c r="AF14" s="91" t="str">
        <f>IF(ISBLANK(STUD!B14)," ",STUD!B14)</f>
        <v xml:space="preserve"> </v>
      </c>
      <c r="AG14" s="91">
        <f t="shared" si="0"/>
        <v>0</v>
      </c>
      <c r="AH14" s="92">
        <f t="shared" si="6"/>
        <v>0</v>
      </c>
      <c r="AI14" s="88" t="str">
        <f t="shared" si="1"/>
        <v xml:space="preserve"> </v>
      </c>
      <c r="AJ14" s="53" t="str">
        <f>IF(AI14="","",IFERROR(IF(VLOOKUP(AI14,Programa!$Q$3:$R$18,2,0)="","",VLOOKUP(AI14,Programa!$Q$3:$R$18,2,0)),""))</f>
        <v/>
      </c>
      <c r="AK14" s="53" t="str">
        <f t="shared" si="2"/>
        <v xml:space="preserve"> </v>
      </c>
      <c r="AL14" s="53" t="str">
        <f>IF(AK14="","",IFERROR(IF(VLOOKUP(AK14,Programa!$Q$19:$R$34,2,0)="","",VLOOKUP(AK14,Programa!$Q$19:$R$34,2,0)),""))</f>
        <v/>
      </c>
      <c r="AM14" s="53" t="str">
        <f t="shared" si="3"/>
        <v xml:space="preserve"> </v>
      </c>
      <c r="AN14" s="53" t="str">
        <f>IF(AM14="","",IFERROR(IF(VLOOKUP(AM14,Programa!$Q$35:$R$50,2,0)="","",VLOOKUP(AM14,Programa!$Q$35:$R$50,2,0)),""))</f>
        <v/>
      </c>
      <c r="AP14" s="229">
        <v>11</v>
      </c>
      <c r="AQ14" s="145" t="str">
        <f>IF(ISBLANK(STUD!B6)," ",STUD!B6)</f>
        <v>TRES COPAS</v>
      </c>
      <c r="AR14" s="185">
        <f>IFERROR(VLOOKUP(AQ14,Lunes!$AF$4:$AG$31,2,0),0)</f>
        <v>1.1000000000000001</v>
      </c>
      <c r="AS14" s="185">
        <f>IFERROR(VLOOKUP(AQ14,Martes!$AF$4:$AH$31,2,0),0)</f>
        <v>27</v>
      </c>
      <c r="AT14" s="185">
        <f>IFERROR(VLOOKUP(AQ14,Miercoles!$AF$4:$AG$31,2,0),0)</f>
        <v>30</v>
      </c>
      <c r="AU14" s="185">
        <f t="shared" si="4"/>
        <v>54.599999999999994</v>
      </c>
      <c r="AV14" s="185">
        <f t="shared" si="5"/>
        <v>112.69999999999999</v>
      </c>
      <c r="AW14" s="185">
        <f t="shared" si="8"/>
        <v>-112.69999999999999</v>
      </c>
    </row>
    <row r="15" spans="1:49" ht="15.75" customHeight="1" x14ac:dyDescent="0.4">
      <c r="A15" s="252">
        <f>+A13+1</f>
        <v>6</v>
      </c>
      <c r="B15" s="253" t="str">
        <f>+STUD!B7</f>
        <v>ALF</v>
      </c>
      <c r="C15" s="244">
        <f>SUM(D16:AB16)</f>
        <v>54.599999999999994</v>
      </c>
      <c r="D15" s="129">
        <v>7</v>
      </c>
      <c r="E15" s="129">
        <v>4</v>
      </c>
      <c r="F15" s="129">
        <v>1</v>
      </c>
      <c r="G15" s="129">
        <v>6</v>
      </c>
      <c r="H15" s="129">
        <v>1</v>
      </c>
      <c r="I15" s="129">
        <v>6</v>
      </c>
      <c r="J15" s="129">
        <v>3</v>
      </c>
      <c r="K15" s="129">
        <v>1</v>
      </c>
      <c r="L15" s="129">
        <v>4</v>
      </c>
      <c r="M15" s="129">
        <v>5</v>
      </c>
      <c r="N15" s="129">
        <v>9</v>
      </c>
      <c r="O15" s="130">
        <v>3</v>
      </c>
      <c r="P15" s="129">
        <v>10</v>
      </c>
      <c r="Q15" s="129">
        <v>4</v>
      </c>
      <c r="R15" s="129">
        <v>12</v>
      </c>
      <c r="S15" s="129">
        <v>2</v>
      </c>
      <c r="T15" s="129">
        <v>14</v>
      </c>
      <c r="U15" s="129">
        <v>14</v>
      </c>
      <c r="V15" s="129">
        <v>15</v>
      </c>
      <c r="W15" s="109"/>
      <c r="X15" s="109"/>
      <c r="Y15" s="109"/>
      <c r="Z15" s="109"/>
      <c r="AA15" s="109"/>
      <c r="AB15" s="109"/>
      <c r="AC15" s="243">
        <f>SUM(D16:AB16)</f>
        <v>54.599999999999994</v>
      </c>
      <c r="AE15" s="71">
        <v>12</v>
      </c>
      <c r="AF15" s="91" t="str">
        <f>IF(ISBLANK(STUD!B4)," ",STUD!B4)</f>
        <v>PAP</v>
      </c>
      <c r="AG15" s="91">
        <f t="shared" si="0"/>
        <v>26.200000000000003</v>
      </c>
      <c r="AH15" s="92">
        <f t="shared" si="6"/>
        <v>-26.200000000000003</v>
      </c>
      <c r="AI15" s="88">
        <f t="shared" si="1"/>
        <v>9</v>
      </c>
      <c r="AJ15" s="53" t="str">
        <f>IF(AI15="","",IFERROR(IF(VLOOKUP(AI15,Programa!$Q$3:$R$18,2,0)="","",VLOOKUP(AI15,Programa!$Q$3:$R$18,2,0)),""))</f>
        <v/>
      </c>
      <c r="AK15" s="53">
        <f t="shared" si="2"/>
        <v>1</v>
      </c>
      <c r="AL15" s="53" t="str">
        <f>IF(AK15="","",IFERROR(IF(VLOOKUP(AK15,Programa!$Q$19:$R$34,2,0)="","",VLOOKUP(AK15,Programa!$Q$19:$R$34,2,0)),""))</f>
        <v/>
      </c>
      <c r="AM15" s="53">
        <f t="shared" si="3"/>
        <v>11</v>
      </c>
      <c r="AN15" s="53" t="str">
        <f>IF(AM15="","",IFERROR(IF(VLOOKUP(AM15,Programa!$Q$35:$R$50,2,0)="","",VLOOKUP(AM15,Programa!$Q$35:$R$50,2,0)),""))</f>
        <v/>
      </c>
      <c r="AP15" s="229">
        <v>12</v>
      </c>
      <c r="AQ15" s="145" t="str">
        <f>IF(ISBLANK(STUD!B7)," ",STUD!B7)</f>
        <v>ALF</v>
      </c>
      <c r="AR15" s="185">
        <f>IFERROR(VLOOKUP(AQ15,Lunes!$AF$4:$AG$31,2,0),0)</f>
        <v>4</v>
      </c>
      <c r="AS15" s="185">
        <f>IFERROR(VLOOKUP(AQ15,Martes!$AF$4:$AH$31,2,0),0)</f>
        <v>26</v>
      </c>
      <c r="AT15" s="185">
        <f>IFERROR(VLOOKUP(AQ15,Miercoles!$AF$4:$AG$31,2,0),0)</f>
        <v>5.4</v>
      </c>
      <c r="AU15" s="185">
        <f t="shared" si="4"/>
        <v>54.599999999999994</v>
      </c>
      <c r="AV15" s="185">
        <f t="shared" si="5"/>
        <v>90</v>
      </c>
      <c r="AW15" s="185">
        <f t="shared" si="8"/>
        <v>-90</v>
      </c>
    </row>
    <row r="16" spans="1:49" ht="15" customHeight="1" x14ac:dyDescent="0.4">
      <c r="A16" s="242"/>
      <c r="B16" s="253"/>
      <c r="C16" s="245"/>
      <c r="D16" s="138">
        <f t="shared" ref="D16:AB16" si="13">IF(IFERROR(IF(VLOOKUP(D15,D$151:D$155,1,0)&gt;=1,D$150,0),D15)=D$132,D$136,IF(IFERROR(IF(VLOOKUP(D15,D$151:D$155,1,0)&gt;=1,D$150,0),D15)=D$139,D$142,IF(IFERROR(IF(VLOOKUP(D15,D$151:D$155,1,0)&gt;=1,D$150,0),D15)=D$145,D$147,0)))</f>
        <v>7.1000000000000005</v>
      </c>
      <c r="E16" s="138">
        <f t="shared" si="13"/>
        <v>0</v>
      </c>
      <c r="F16" s="138">
        <f t="shared" si="13"/>
        <v>0</v>
      </c>
      <c r="G16" s="138">
        <f t="shared" si="13"/>
        <v>0</v>
      </c>
      <c r="H16" s="138">
        <f t="shared" si="13"/>
        <v>2.2999999999999998</v>
      </c>
      <c r="I16" s="138">
        <f t="shared" si="13"/>
        <v>2.9000000000000004</v>
      </c>
      <c r="J16" s="138">
        <f t="shared" si="13"/>
        <v>7</v>
      </c>
      <c r="K16" s="138">
        <f t="shared" si="13"/>
        <v>0</v>
      </c>
      <c r="L16" s="138">
        <f t="shared" si="13"/>
        <v>0</v>
      </c>
      <c r="M16" s="138">
        <f t="shared" si="13"/>
        <v>3.9000000000000004</v>
      </c>
      <c r="N16" s="138">
        <f t="shared" si="13"/>
        <v>6.2</v>
      </c>
      <c r="O16" s="138">
        <f t="shared" si="13"/>
        <v>3.6</v>
      </c>
      <c r="P16" s="138">
        <f t="shared" si="13"/>
        <v>15.799999999999999</v>
      </c>
      <c r="Q16" s="138">
        <f t="shared" si="13"/>
        <v>1.4</v>
      </c>
      <c r="R16" s="138">
        <f t="shared" si="13"/>
        <v>4.4000000000000004</v>
      </c>
      <c r="S16" s="138">
        <f t="shared" si="13"/>
        <v>0</v>
      </c>
      <c r="T16" s="138">
        <f t="shared" si="13"/>
        <v>0</v>
      </c>
      <c r="U16" s="138">
        <f t="shared" si="13"/>
        <v>0</v>
      </c>
      <c r="V16" s="138">
        <f t="shared" si="13"/>
        <v>0</v>
      </c>
      <c r="W16" s="138">
        <f t="shared" si="13"/>
        <v>0</v>
      </c>
      <c r="X16" s="138">
        <f t="shared" si="13"/>
        <v>0</v>
      </c>
      <c r="Y16" s="138">
        <f t="shared" si="13"/>
        <v>0</v>
      </c>
      <c r="Z16" s="138">
        <f t="shared" si="13"/>
        <v>0</v>
      </c>
      <c r="AA16" s="138">
        <f t="shared" si="13"/>
        <v>0</v>
      </c>
      <c r="AB16" s="138">
        <f t="shared" si="13"/>
        <v>0</v>
      </c>
      <c r="AC16" s="243"/>
      <c r="AE16" s="72">
        <v>13</v>
      </c>
      <c r="AF16" s="91" t="str">
        <f>IF(ISBLANK(STUD!B10)," ",STUD!B10)</f>
        <v>AUMENTA MEDINA</v>
      </c>
      <c r="AG16" s="91">
        <f t="shared" si="0"/>
        <v>24.199999999999996</v>
      </c>
      <c r="AH16" s="92">
        <f t="shared" si="6"/>
        <v>-24.199999999999996</v>
      </c>
      <c r="AI16" s="88">
        <f t="shared" si="1"/>
        <v>1</v>
      </c>
      <c r="AJ16" s="53" t="str">
        <f>IF(AI16="","",IFERROR(IF(VLOOKUP(AI16,Programa!$Q$3:$R$18,2,0)="","",VLOOKUP(AI16,Programa!$Q$3:$R$18,2,0)),""))</f>
        <v/>
      </c>
      <c r="AK16" s="53">
        <f t="shared" si="2"/>
        <v>4</v>
      </c>
      <c r="AL16" s="53" t="str">
        <f>IF(AK16="","",IFERROR(IF(VLOOKUP(AK16,Programa!$Q$19:$R$34,2,0)="","",VLOOKUP(AK16,Programa!$Q$19:$R$34,2,0)),""))</f>
        <v/>
      </c>
      <c r="AM16" s="53">
        <f t="shared" si="3"/>
        <v>8</v>
      </c>
      <c r="AN16" s="53" t="str">
        <f>IF(AM16="","",IFERROR(IF(VLOOKUP(AM16,Programa!$Q$35:$R$50,2,0)="","",VLOOKUP(AM16,Programa!$Q$35:$R$50,2,0)),""))</f>
        <v/>
      </c>
      <c r="AP16" s="229">
        <v>13</v>
      </c>
      <c r="AQ16" s="145" t="str">
        <f>IF(ISBLANK(STUD!B14)," ",STUD!B14)</f>
        <v xml:space="preserve"> </v>
      </c>
      <c r="AR16" s="185">
        <f>IFERROR(VLOOKUP(AQ16,Lunes!$AF$4:$AG$31,2,0),0)</f>
        <v>0</v>
      </c>
      <c r="AS16" s="185">
        <f>IFERROR(VLOOKUP(AQ16,Martes!$AF$4:$AH$31,2,0),0)</f>
        <v>0</v>
      </c>
      <c r="AT16" s="185">
        <f>IFERROR(VLOOKUP(AQ16,Miercoles!$AF$4:$AG$31,2,0),0)</f>
        <v>0</v>
      </c>
      <c r="AU16" s="185">
        <f t="shared" si="4"/>
        <v>0</v>
      </c>
      <c r="AV16" s="185">
        <f t="shared" si="5"/>
        <v>0</v>
      </c>
      <c r="AW16" s="185">
        <f t="shared" si="8"/>
        <v>0</v>
      </c>
    </row>
    <row r="17" spans="1:49" ht="15.75" customHeight="1" x14ac:dyDescent="0.4">
      <c r="A17" s="252">
        <f>+A15+1</f>
        <v>7</v>
      </c>
      <c r="B17" s="253" t="str">
        <f>+STUD!B8</f>
        <v>MIS SOBRINOS</v>
      </c>
      <c r="C17" s="244">
        <f>SUM(D18:AB18)</f>
        <v>39.599999999999994</v>
      </c>
      <c r="D17" s="112">
        <v>12</v>
      </c>
      <c r="E17" s="112">
        <v>4</v>
      </c>
      <c r="F17" s="112">
        <v>11</v>
      </c>
      <c r="G17" s="112">
        <v>5</v>
      </c>
      <c r="H17" s="112">
        <v>8</v>
      </c>
      <c r="I17" s="112">
        <v>4</v>
      </c>
      <c r="J17" s="112">
        <v>10</v>
      </c>
      <c r="K17" s="112">
        <v>12</v>
      </c>
      <c r="L17" s="112">
        <v>3</v>
      </c>
      <c r="M17" s="112">
        <v>3</v>
      </c>
      <c r="N17" s="109">
        <v>9</v>
      </c>
      <c r="O17" s="109">
        <v>3</v>
      </c>
      <c r="P17" s="109">
        <v>1</v>
      </c>
      <c r="Q17" s="109">
        <v>7</v>
      </c>
      <c r="R17" s="109">
        <v>1</v>
      </c>
      <c r="S17" s="109">
        <v>10</v>
      </c>
      <c r="T17" s="109">
        <v>8</v>
      </c>
      <c r="U17" s="109">
        <v>1</v>
      </c>
      <c r="V17" s="109">
        <v>13</v>
      </c>
      <c r="W17" s="109"/>
      <c r="X17" s="129"/>
      <c r="Y17" s="109"/>
      <c r="Z17" s="109"/>
      <c r="AA17" s="109"/>
      <c r="AB17" s="109"/>
      <c r="AC17" s="243">
        <f>SUM(D18:AB18)</f>
        <v>39.599999999999994</v>
      </c>
      <c r="AE17" s="73">
        <v>14</v>
      </c>
      <c r="AF17" s="91" t="str">
        <f>IF(ISBLANK(STUD!B12)," ",STUD!B12)</f>
        <v xml:space="preserve"> </v>
      </c>
      <c r="AG17" s="91">
        <f t="shared" si="0"/>
        <v>0</v>
      </c>
      <c r="AH17" s="92">
        <f t="shared" si="6"/>
        <v>0</v>
      </c>
      <c r="AI17" s="88" t="str">
        <f t="shared" si="1"/>
        <v xml:space="preserve"> </v>
      </c>
      <c r="AJ17" s="53" t="str">
        <f>IF(AI17="","",IFERROR(IF(VLOOKUP(AI17,Programa!$Q$3:$R$18,2,0)="","",VLOOKUP(AI17,Programa!$Q$3:$R$18,2,0)),""))</f>
        <v/>
      </c>
      <c r="AK17" s="53" t="str">
        <f t="shared" si="2"/>
        <v xml:space="preserve"> </v>
      </c>
      <c r="AL17" s="53" t="str">
        <f>IF(AK17="","",IFERROR(IF(VLOOKUP(AK17,Programa!$Q$19:$R$34,2,0)="","",VLOOKUP(AK17,Programa!$Q$19:$R$34,2,0)),""))</f>
        <v/>
      </c>
      <c r="AM17" s="53" t="str">
        <f t="shared" si="3"/>
        <v xml:space="preserve"> </v>
      </c>
      <c r="AN17" s="53" t="str">
        <f>IF(AM17="","",IFERROR(IF(VLOOKUP(AM17,Programa!$Q$35:$R$50,2,0)="","",VLOOKUP(AM17,Programa!$Q$35:$R$50,2,0)),""))</f>
        <v/>
      </c>
      <c r="AP17" s="229">
        <v>14</v>
      </c>
      <c r="AQ17" s="145" t="str">
        <f>IF(ISBLANK(STUD!B10)," ",STUD!B10)</f>
        <v>AUMENTA MEDINA</v>
      </c>
      <c r="AR17" s="185">
        <f>IFERROR(VLOOKUP(AQ17,Lunes!$AF$4:$AG$31,2,0),0)</f>
        <v>5.0999999999999996</v>
      </c>
      <c r="AS17" s="185">
        <f>IFERROR(VLOOKUP(AQ17,Martes!$AF$4:$AH$31,2,0),0)</f>
        <v>22.7</v>
      </c>
      <c r="AT17" s="185">
        <f>IFERROR(VLOOKUP(AQ17,Miercoles!$AF$4:$AG$31,2,0),0)</f>
        <v>29.4</v>
      </c>
      <c r="AU17" s="185">
        <f t="shared" si="4"/>
        <v>24.199999999999996</v>
      </c>
      <c r="AV17" s="185">
        <f t="shared" si="5"/>
        <v>81.399999999999991</v>
      </c>
      <c r="AW17" s="185">
        <f t="shared" si="8"/>
        <v>-81.399999999999991</v>
      </c>
    </row>
    <row r="18" spans="1:49" ht="15.75" customHeight="1" x14ac:dyDescent="0.4">
      <c r="A18" s="242"/>
      <c r="B18" s="253"/>
      <c r="C18" s="245"/>
      <c r="D18" s="138">
        <f t="shared" ref="D18:AB18" si="14">IF(IFERROR(IF(VLOOKUP(D17,D$151:D$155,1,0)&gt;=1,D$150,0),D17)=D$132,D$136,IF(IFERROR(IF(VLOOKUP(D17,D$151:D$155,1,0)&gt;=1,D$150,0),D17)=D$139,D$142,IF(IFERROR(IF(VLOOKUP(D17,D$151:D$155,1,0)&gt;=1,D$150,0),D17)=D$145,D$147,0)))</f>
        <v>2.2999999999999998</v>
      </c>
      <c r="E18" s="138">
        <f t="shared" si="14"/>
        <v>0</v>
      </c>
      <c r="F18" s="138">
        <f t="shared" si="14"/>
        <v>11.399999999999999</v>
      </c>
      <c r="G18" s="138">
        <f t="shared" si="14"/>
        <v>0</v>
      </c>
      <c r="H18" s="138">
        <f t="shared" si="14"/>
        <v>1.6</v>
      </c>
      <c r="I18" s="138">
        <f t="shared" si="14"/>
        <v>1.6</v>
      </c>
      <c r="J18" s="138">
        <f t="shared" si="14"/>
        <v>0</v>
      </c>
      <c r="K18" s="138">
        <f t="shared" si="14"/>
        <v>0</v>
      </c>
      <c r="L18" s="138">
        <f t="shared" si="14"/>
        <v>0</v>
      </c>
      <c r="M18" s="138">
        <f t="shared" si="14"/>
        <v>0</v>
      </c>
      <c r="N18" s="138">
        <f t="shared" si="14"/>
        <v>6.2</v>
      </c>
      <c r="O18" s="138">
        <f t="shared" si="14"/>
        <v>3.6</v>
      </c>
      <c r="P18" s="138">
        <f t="shared" si="14"/>
        <v>0</v>
      </c>
      <c r="Q18" s="138">
        <f t="shared" si="14"/>
        <v>0</v>
      </c>
      <c r="R18" s="138">
        <f t="shared" si="14"/>
        <v>0</v>
      </c>
      <c r="S18" s="138">
        <f t="shared" si="14"/>
        <v>3.2</v>
      </c>
      <c r="T18" s="138">
        <f t="shared" si="14"/>
        <v>9.6999999999999993</v>
      </c>
      <c r="U18" s="138">
        <f t="shared" si="14"/>
        <v>0</v>
      </c>
      <c r="V18" s="138">
        <f t="shared" si="14"/>
        <v>0</v>
      </c>
      <c r="W18" s="138">
        <f t="shared" si="14"/>
        <v>0</v>
      </c>
      <c r="X18" s="138">
        <f t="shared" si="14"/>
        <v>0</v>
      </c>
      <c r="Y18" s="138">
        <f t="shared" si="14"/>
        <v>0</v>
      </c>
      <c r="Z18" s="138">
        <f t="shared" si="14"/>
        <v>0</v>
      </c>
      <c r="AA18" s="138">
        <f t="shared" si="14"/>
        <v>0</v>
      </c>
      <c r="AB18" s="138">
        <f t="shared" si="14"/>
        <v>0</v>
      </c>
      <c r="AC18" s="243"/>
      <c r="AE18" s="74">
        <v>15</v>
      </c>
      <c r="AF18" s="91" t="str">
        <f>IF(ISBLANK(STUD!B11)," ",STUD!B11)</f>
        <v>PASASTE BANDIDO</v>
      </c>
      <c r="AG18" s="91">
        <f t="shared" si="0"/>
        <v>6.8000000000000007</v>
      </c>
      <c r="AH18" s="92">
        <f t="shared" si="6"/>
        <v>-6.8000000000000007</v>
      </c>
      <c r="AI18" s="88">
        <f t="shared" si="1"/>
        <v>1</v>
      </c>
      <c r="AJ18" s="53" t="str">
        <f>IF(AI18="","",IFERROR(IF(VLOOKUP(AI18,Programa!$Q$3:$R$18,2,0)="","",VLOOKUP(AI18,Programa!$Q$3:$R$18,2,0)),""))</f>
        <v/>
      </c>
      <c r="AK18" s="53">
        <f t="shared" si="2"/>
        <v>9</v>
      </c>
      <c r="AL18" s="53" t="str">
        <f>IF(AK18="","",IFERROR(IF(VLOOKUP(AK18,Programa!$Q$19:$R$34,2,0)="","",VLOOKUP(AK18,Programa!$Q$19:$R$34,2,0)),""))</f>
        <v/>
      </c>
      <c r="AM18" s="53">
        <f t="shared" si="3"/>
        <v>13</v>
      </c>
      <c r="AN18" s="53" t="str">
        <f>IF(AM18="","",IFERROR(IF(VLOOKUP(AM18,Programa!$Q$35:$R$50,2,0)="","",VLOOKUP(AM18,Programa!$Q$35:$R$50,2,0)),""))</f>
        <v/>
      </c>
      <c r="AP18" s="229">
        <v>15</v>
      </c>
      <c r="AQ18" s="145" t="str">
        <f>IF(ISBLANK(STUD!B3)," ",STUD!B3)</f>
        <v>EL JOYERO</v>
      </c>
      <c r="AR18" s="185">
        <f>IFERROR(VLOOKUP(AQ18,Lunes!$AF$4:$AG$31,2,0),0)</f>
        <v>4</v>
      </c>
      <c r="AS18" s="185">
        <f>IFERROR(VLOOKUP(AQ18,Martes!$AF$4:$AH$31,2,0),0)</f>
        <v>25.4</v>
      </c>
      <c r="AT18" s="185">
        <f>IFERROR(VLOOKUP(AQ18,Miercoles!$AF$4:$AG$31,2,0),0)</f>
        <v>18.799999999999997</v>
      </c>
      <c r="AU18" s="185">
        <f t="shared" si="4"/>
        <v>32.5</v>
      </c>
      <c r="AV18" s="185">
        <f t="shared" si="5"/>
        <v>80.699999999999989</v>
      </c>
      <c r="AW18" s="185">
        <f t="shared" si="8"/>
        <v>-80.699999999999989</v>
      </c>
    </row>
    <row r="19" spans="1:49" ht="15.75" customHeight="1" x14ac:dyDescent="0.4">
      <c r="A19" s="252">
        <f>+A17+1</f>
        <v>8</v>
      </c>
      <c r="B19" s="253" t="str">
        <f>+STUD!B9</f>
        <v>SERVIFRENOS</v>
      </c>
      <c r="C19" s="244">
        <f>SUM(D20:AB20)</f>
        <v>55.100000000000009</v>
      </c>
      <c r="D19" s="109">
        <v>13</v>
      </c>
      <c r="E19" s="109">
        <v>2</v>
      </c>
      <c r="F19" s="109">
        <v>7</v>
      </c>
      <c r="G19" s="109">
        <v>7</v>
      </c>
      <c r="H19" s="109">
        <v>8</v>
      </c>
      <c r="I19" s="109">
        <v>2</v>
      </c>
      <c r="J19" s="109">
        <v>11</v>
      </c>
      <c r="K19" s="109">
        <v>9</v>
      </c>
      <c r="L19" s="109">
        <v>13</v>
      </c>
      <c r="M19" s="109">
        <v>5</v>
      </c>
      <c r="N19" s="109">
        <v>10</v>
      </c>
      <c r="O19" s="109">
        <v>3</v>
      </c>
      <c r="P19" s="109">
        <v>6</v>
      </c>
      <c r="Q19" s="109">
        <v>14</v>
      </c>
      <c r="R19" s="109">
        <v>6</v>
      </c>
      <c r="S19" s="109">
        <v>9</v>
      </c>
      <c r="T19" s="109">
        <v>7</v>
      </c>
      <c r="U19" s="109">
        <v>11</v>
      </c>
      <c r="V19" s="109">
        <v>7</v>
      </c>
      <c r="W19" s="109"/>
      <c r="X19" s="109"/>
      <c r="Y19" s="109"/>
      <c r="Z19" s="109"/>
      <c r="AA19" s="109"/>
      <c r="AB19" s="109"/>
      <c r="AC19" s="243">
        <f>SUM(D20:AB20)</f>
        <v>55.100000000000009</v>
      </c>
      <c r="AE19" s="75">
        <v>16</v>
      </c>
      <c r="AF19" s="91" t="str">
        <f>IF(ISBLANK(STUD!B17)," ",STUD!B17)</f>
        <v xml:space="preserve"> </v>
      </c>
      <c r="AG19" s="91">
        <f t="shared" si="0"/>
        <v>0</v>
      </c>
      <c r="AH19" s="92">
        <f t="shared" si="6"/>
        <v>0</v>
      </c>
      <c r="AI19" s="88" t="str">
        <f t="shared" si="1"/>
        <v xml:space="preserve"> </v>
      </c>
      <c r="AJ19" s="53" t="str">
        <f>IF(AI19="","",IFERROR(IF(VLOOKUP(AI19,Programa!$Q$3:$R$18,2,0)="","",VLOOKUP(AI19,Programa!$Q$3:$R$18,2,0)),""))</f>
        <v/>
      </c>
      <c r="AK19" s="53" t="str">
        <f t="shared" si="2"/>
        <v xml:space="preserve"> </v>
      </c>
      <c r="AL19" s="53" t="str">
        <f>IF(AK19="","",IFERROR(IF(VLOOKUP(AK19,Programa!$Q$19:$R$34,2,0)="","",VLOOKUP(AK19,Programa!$Q$19:$R$34,2,0)),""))</f>
        <v/>
      </c>
      <c r="AM19" s="53" t="str">
        <f t="shared" si="3"/>
        <v xml:space="preserve"> </v>
      </c>
      <c r="AN19" s="53" t="str">
        <f>IF(AM19="","",IFERROR(IF(VLOOKUP(AM19,Programa!$Q$35:$R$50,2,0)="","",VLOOKUP(AM19,Programa!$Q$35:$R$50,2,0)),""))</f>
        <v/>
      </c>
      <c r="AP19" s="161">
        <v>16</v>
      </c>
      <c r="AQ19" s="145" t="str">
        <f>IF(ISBLANK(STUD!B17)," ",STUD!B17)</f>
        <v xml:space="preserve"> </v>
      </c>
      <c r="AR19" s="185">
        <f>IFERROR(VLOOKUP(AQ19,Lunes!$AF$4:$AG$31,2,0),0)</f>
        <v>0</v>
      </c>
      <c r="AS19" s="185">
        <f>IFERROR(VLOOKUP(AQ19,Martes!$AF$4:$AH$31,2,0),0)</f>
        <v>0</v>
      </c>
      <c r="AT19" s="185">
        <f>IFERROR(VLOOKUP(AQ19,Miercoles!$AF$4:$AG$31,2,0),0)</f>
        <v>0</v>
      </c>
      <c r="AU19" s="185">
        <f t="shared" si="4"/>
        <v>0</v>
      </c>
      <c r="AV19" s="185">
        <f t="shared" si="5"/>
        <v>0</v>
      </c>
      <c r="AW19" s="185">
        <f t="shared" si="8"/>
        <v>0</v>
      </c>
    </row>
    <row r="20" spans="1:49" ht="15.75" customHeight="1" x14ac:dyDescent="0.4">
      <c r="A20" s="242"/>
      <c r="B20" s="253"/>
      <c r="C20" s="245"/>
      <c r="D20" s="138">
        <f t="shared" ref="D20:AB20" si="15">IF(IFERROR(IF(VLOOKUP(D19,D$151:D$155,1,0)&gt;=1,D$150,0),D19)=D$132,D$136,IF(IFERROR(IF(VLOOKUP(D19,D$151:D$155,1,0)&gt;=1,D$150,0),D19)=D$139,D$142,IF(IFERROR(IF(VLOOKUP(D19,D$151:D$155,1,0)&gt;=1,D$150,0),D19)=D$145,D$147,0)))</f>
        <v>0</v>
      </c>
      <c r="E20" s="138">
        <f t="shared" si="15"/>
        <v>1</v>
      </c>
      <c r="F20" s="138">
        <f t="shared" si="15"/>
        <v>6.5</v>
      </c>
      <c r="G20" s="138">
        <f t="shared" si="15"/>
        <v>17.8</v>
      </c>
      <c r="H20" s="138">
        <f t="shared" si="15"/>
        <v>1.6</v>
      </c>
      <c r="I20" s="138">
        <f t="shared" si="15"/>
        <v>0</v>
      </c>
      <c r="J20" s="138">
        <f t="shared" si="15"/>
        <v>0</v>
      </c>
      <c r="K20" s="138">
        <f t="shared" si="15"/>
        <v>0</v>
      </c>
      <c r="L20" s="138">
        <f t="shared" si="15"/>
        <v>1.6</v>
      </c>
      <c r="M20" s="138">
        <f t="shared" si="15"/>
        <v>3.9000000000000004</v>
      </c>
      <c r="N20" s="138">
        <f t="shared" si="15"/>
        <v>0</v>
      </c>
      <c r="O20" s="138">
        <f t="shared" si="15"/>
        <v>3.6</v>
      </c>
      <c r="P20" s="138">
        <f>IF(IFERROR(IF(VLOOKUP(P19,P$151:P$155,1,0)&gt;=1,P$150,0),P19)=P$132,P$136,IF(IFERROR(IF(VLOOKUP(P19,P$151:P$155,1,0)&gt;=1,P$150,0),P19)=P$139,P$142,IF(IFERROR(IF(VLOOKUP(P19,P$151:P$155,1,0)&gt;=1,P$150,0),P19)=P$145,P$147,0)))</f>
        <v>0</v>
      </c>
      <c r="Q20" s="138">
        <f t="shared" si="15"/>
        <v>13.1</v>
      </c>
      <c r="R20" s="138">
        <f t="shared" si="15"/>
        <v>0</v>
      </c>
      <c r="S20" s="138">
        <f t="shared" si="15"/>
        <v>0</v>
      </c>
      <c r="T20" s="138">
        <f t="shared" si="15"/>
        <v>0</v>
      </c>
      <c r="U20" s="138">
        <f t="shared" si="15"/>
        <v>0</v>
      </c>
      <c r="V20" s="138">
        <f t="shared" si="15"/>
        <v>6</v>
      </c>
      <c r="W20" s="138">
        <f t="shared" si="15"/>
        <v>0</v>
      </c>
      <c r="X20" s="138">
        <f t="shared" si="15"/>
        <v>0</v>
      </c>
      <c r="Y20" s="138">
        <f t="shared" si="15"/>
        <v>0</v>
      </c>
      <c r="Z20" s="138">
        <f t="shared" si="15"/>
        <v>0</v>
      </c>
      <c r="AA20" s="138">
        <f t="shared" si="15"/>
        <v>0</v>
      </c>
      <c r="AB20" s="138">
        <f t="shared" si="15"/>
        <v>0</v>
      </c>
      <c r="AC20" s="243"/>
      <c r="AE20" s="76">
        <v>17</v>
      </c>
      <c r="AF20" s="91" t="str">
        <f>IF(ISBLANK(STUD!B18)," ",STUD!B18)</f>
        <v xml:space="preserve"> </v>
      </c>
      <c r="AG20" s="91">
        <f t="shared" si="0"/>
        <v>0</v>
      </c>
      <c r="AH20" s="92">
        <f t="shared" si="6"/>
        <v>0</v>
      </c>
      <c r="AI20" s="88" t="str">
        <f t="shared" si="1"/>
        <v xml:space="preserve"> </v>
      </c>
      <c r="AJ20" s="53" t="str">
        <f>IF(AI20="","",IFERROR(IF(VLOOKUP(AI20,Programa!$Q$3:$R$18,2,0)="","",VLOOKUP(AI20,Programa!$Q$3:$R$18,2,0)),""))</f>
        <v/>
      </c>
      <c r="AK20" s="53" t="str">
        <f t="shared" si="2"/>
        <v xml:space="preserve"> </v>
      </c>
      <c r="AL20" s="53" t="str">
        <f>IF(AK20="","",IFERROR(IF(VLOOKUP(AK20,Programa!$Q$19:$R$34,2,0)="","",VLOOKUP(AK20,Programa!$Q$19:$R$34,2,0)),""))</f>
        <v/>
      </c>
      <c r="AM20" s="53" t="str">
        <f t="shared" si="3"/>
        <v xml:space="preserve"> </v>
      </c>
      <c r="AN20" s="53" t="str">
        <f>IF(AM20="","",IFERROR(IF(VLOOKUP(AM20,Programa!$Q$35:$R$50,2,0)="","",VLOOKUP(AM20,Programa!$Q$35:$R$50,2,0)),""))</f>
        <v/>
      </c>
      <c r="AP20" s="162">
        <v>17</v>
      </c>
      <c r="AQ20" s="145" t="str">
        <f>IF(ISBLANK(STUD!B18)," ",STUD!B18)</f>
        <v xml:space="preserve"> </v>
      </c>
      <c r="AR20" s="185">
        <f>IFERROR(VLOOKUP(AQ20,Lunes!$AF$4:$AG$31,2,0),0)</f>
        <v>0</v>
      </c>
      <c r="AS20" s="185">
        <f>IFERROR(VLOOKUP(AQ20,Martes!$AF$4:$AH$31,2,0),0)</f>
        <v>0</v>
      </c>
      <c r="AT20" s="185">
        <f>IFERROR(VLOOKUP(AQ20,Miercoles!$AF$4:$AG$31,2,0),0)</f>
        <v>0</v>
      </c>
      <c r="AU20" s="185">
        <f t="shared" si="4"/>
        <v>0</v>
      </c>
      <c r="AV20" s="185">
        <f t="shared" si="5"/>
        <v>0</v>
      </c>
      <c r="AW20" s="185">
        <f t="shared" si="8"/>
        <v>0</v>
      </c>
    </row>
    <row r="21" spans="1:49" ht="15.75" customHeight="1" x14ac:dyDescent="0.4">
      <c r="A21" s="252">
        <f>+A19+1</f>
        <v>9</v>
      </c>
      <c r="B21" s="253" t="str">
        <f>+STUD!B10</f>
        <v>AUMENTA MEDINA</v>
      </c>
      <c r="C21" s="244">
        <f>SUM(D22:AB22)</f>
        <v>24.199999999999996</v>
      </c>
      <c r="D21" s="109">
        <v>13</v>
      </c>
      <c r="E21" s="109">
        <v>2</v>
      </c>
      <c r="F21" s="109">
        <v>7</v>
      </c>
      <c r="G21" s="109">
        <v>12</v>
      </c>
      <c r="H21" s="109">
        <v>9</v>
      </c>
      <c r="I21" s="109">
        <v>9</v>
      </c>
      <c r="J21" s="109">
        <v>3</v>
      </c>
      <c r="K21" s="109">
        <v>8</v>
      </c>
      <c r="L21" s="109">
        <v>1</v>
      </c>
      <c r="M21" s="109">
        <v>4</v>
      </c>
      <c r="N21" s="109">
        <v>8</v>
      </c>
      <c r="O21" s="109">
        <v>6</v>
      </c>
      <c r="P21" s="109">
        <v>6</v>
      </c>
      <c r="Q21" s="109">
        <v>5</v>
      </c>
      <c r="R21" s="109">
        <v>12</v>
      </c>
      <c r="S21" s="109">
        <v>9</v>
      </c>
      <c r="T21" s="109">
        <v>9</v>
      </c>
      <c r="U21" s="109">
        <v>8</v>
      </c>
      <c r="V21" s="109">
        <v>12</v>
      </c>
      <c r="W21" s="109"/>
      <c r="X21" s="109"/>
      <c r="Y21" s="109"/>
      <c r="Z21" s="109"/>
      <c r="AA21" s="109"/>
      <c r="AB21" s="109"/>
      <c r="AC21" s="243">
        <f>SUM(D22:AB22)</f>
        <v>24.199999999999996</v>
      </c>
      <c r="AE21" s="77">
        <v>18</v>
      </c>
      <c r="AF21" s="91" t="str">
        <f>IF(ISBLANK(STUD!B19)," ",STUD!B19)</f>
        <v xml:space="preserve"> </v>
      </c>
      <c r="AG21" s="91">
        <f t="shared" si="0"/>
        <v>0</v>
      </c>
      <c r="AH21" s="92">
        <f t="shared" si="6"/>
        <v>0</v>
      </c>
      <c r="AI21" s="88" t="str">
        <f t="shared" si="1"/>
        <v xml:space="preserve"> </v>
      </c>
      <c r="AJ21" s="53" t="str">
        <f>IF(AI21="","",IFERROR(IF(VLOOKUP(AI21,Programa!$Q$3:$R$18,2,0)="","",VLOOKUP(AI21,Programa!$Q$3:$R$18,2,0)),""))</f>
        <v/>
      </c>
      <c r="AK21" s="53" t="str">
        <f t="shared" si="2"/>
        <v xml:space="preserve"> </v>
      </c>
      <c r="AL21" s="53" t="str">
        <f>IF(AK21="","",IFERROR(IF(VLOOKUP(AK21,Programa!$Q$19:$R$34,2,0)="","",VLOOKUP(AK21,Programa!$Q$19:$R$34,2,0)),""))</f>
        <v/>
      </c>
      <c r="AM21" s="53" t="str">
        <f t="shared" si="3"/>
        <v xml:space="preserve"> </v>
      </c>
      <c r="AN21" s="53" t="str">
        <f>IF(AM21="","",IFERROR(IF(VLOOKUP(AM21,Programa!$Q$35:$R$50,2,0)="","",VLOOKUP(AM21,Programa!$Q$35:$R$50,2,0)),""))</f>
        <v/>
      </c>
      <c r="AP21" s="163">
        <v>18</v>
      </c>
      <c r="AQ21" s="145" t="str">
        <f>IF(ISBLANK(STUD!B19)," ",STUD!B19)</f>
        <v xml:space="preserve"> </v>
      </c>
      <c r="AR21" s="185">
        <f>IFERROR(VLOOKUP(AQ21,Lunes!$AF$4:$AG$31,2,0),0)</f>
        <v>0</v>
      </c>
      <c r="AS21" s="185">
        <f>IFERROR(VLOOKUP(AQ21,Martes!$AF$4:$AH$31,2,0),0)</f>
        <v>0</v>
      </c>
      <c r="AT21" s="185">
        <f>IFERROR(VLOOKUP(AQ21,Miercoles!$AF$4:$AG$31,2,0),0)</f>
        <v>0</v>
      </c>
      <c r="AU21" s="185">
        <f t="shared" si="4"/>
        <v>0</v>
      </c>
      <c r="AV21" s="185">
        <f t="shared" si="5"/>
        <v>0</v>
      </c>
      <c r="AW21" s="185">
        <f t="shared" si="8"/>
        <v>0</v>
      </c>
    </row>
    <row r="22" spans="1:49" ht="15.75" customHeight="1" x14ac:dyDescent="0.4">
      <c r="A22" s="242"/>
      <c r="B22" s="253"/>
      <c r="C22" s="245"/>
      <c r="D22" s="138">
        <f t="shared" ref="D22:AB22" si="16">IF(IFERROR(IF(VLOOKUP(D21,D$151:D$155,1,0)&gt;=1,D$150,0),D21)=D$132,D$136,IF(IFERROR(IF(VLOOKUP(D21,D$151:D$155,1,0)&gt;=1,D$150,0),D21)=D$139,D$142,IF(IFERROR(IF(VLOOKUP(D21,D$151:D$155,1,0)&gt;=1,D$150,0),D21)=D$145,D$147,0)))</f>
        <v>0</v>
      </c>
      <c r="E22" s="138">
        <f t="shared" si="16"/>
        <v>1</v>
      </c>
      <c r="F22" s="138">
        <f t="shared" si="16"/>
        <v>6.5</v>
      </c>
      <c r="G22" s="138">
        <f t="shared" si="16"/>
        <v>1.6</v>
      </c>
      <c r="H22" s="138">
        <f t="shared" si="16"/>
        <v>2.2999999999999998</v>
      </c>
      <c r="I22" s="138">
        <f t="shared" si="16"/>
        <v>0</v>
      </c>
      <c r="J22" s="138">
        <f t="shared" si="16"/>
        <v>7</v>
      </c>
      <c r="K22" s="138">
        <f t="shared" si="16"/>
        <v>0</v>
      </c>
      <c r="L22" s="138">
        <f t="shared" si="16"/>
        <v>0</v>
      </c>
      <c r="M22" s="138">
        <f t="shared" si="16"/>
        <v>0</v>
      </c>
      <c r="N22" s="138">
        <f t="shared" si="16"/>
        <v>0</v>
      </c>
      <c r="O22" s="138">
        <f t="shared" si="16"/>
        <v>0</v>
      </c>
      <c r="P22" s="138">
        <f t="shared" si="16"/>
        <v>0</v>
      </c>
      <c r="Q22" s="138">
        <f t="shared" si="16"/>
        <v>1.4</v>
      </c>
      <c r="R22" s="138">
        <f t="shared" si="16"/>
        <v>4.4000000000000004</v>
      </c>
      <c r="S22" s="138">
        <f t="shared" si="16"/>
        <v>0</v>
      </c>
      <c r="T22" s="138">
        <f t="shared" si="16"/>
        <v>0</v>
      </c>
      <c r="U22" s="138">
        <f t="shared" si="16"/>
        <v>0</v>
      </c>
      <c r="V22" s="138">
        <f t="shared" si="16"/>
        <v>0</v>
      </c>
      <c r="W22" s="138">
        <f t="shared" si="16"/>
        <v>0</v>
      </c>
      <c r="X22" s="138">
        <f t="shared" si="16"/>
        <v>0</v>
      </c>
      <c r="Y22" s="138">
        <f t="shared" si="16"/>
        <v>0</v>
      </c>
      <c r="Z22" s="138">
        <f t="shared" si="16"/>
        <v>0</v>
      </c>
      <c r="AA22" s="138">
        <f t="shared" si="16"/>
        <v>0</v>
      </c>
      <c r="AB22" s="138">
        <f t="shared" si="16"/>
        <v>0</v>
      </c>
      <c r="AC22" s="243"/>
      <c r="AE22" s="78">
        <v>19</v>
      </c>
      <c r="AF22" s="91" t="str">
        <f>IF(ISBLANK(STUD!B20)," ",STUD!B20)</f>
        <v xml:space="preserve"> </v>
      </c>
      <c r="AG22" s="91">
        <f t="shared" si="0"/>
        <v>0</v>
      </c>
      <c r="AH22" s="92">
        <f t="shared" si="6"/>
        <v>0</v>
      </c>
      <c r="AI22" s="88" t="str">
        <f t="shared" si="1"/>
        <v xml:space="preserve"> </v>
      </c>
      <c r="AJ22" s="53" t="str">
        <f>IF(AI22="","",IFERROR(IF(VLOOKUP(AI22,Programa!$Q$3:$R$18,2,0)="","",VLOOKUP(AI22,Programa!$Q$3:$R$18,2,0)),""))</f>
        <v/>
      </c>
      <c r="AK22" s="53" t="str">
        <f t="shared" si="2"/>
        <v xml:space="preserve"> </v>
      </c>
      <c r="AL22" s="53" t="str">
        <f>IF(AK22="","",IFERROR(IF(VLOOKUP(AK22,Programa!$Q$19:$R$34,2,0)="","",VLOOKUP(AK22,Programa!$Q$19:$R$34,2,0)),""))</f>
        <v/>
      </c>
      <c r="AM22" s="53" t="str">
        <f t="shared" si="3"/>
        <v xml:space="preserve"> </v>
      </c>
      <c r="AN22" s="53" t="str">
        <f>IF(AM22="","",IFERROR(IF(VLOOKUP(AM22,Programa!$Q$35:$R$50,2,0)="","",VLOOKUP(AM22,Programa!$Q$35:$R$50,2,0)),""))</f>
        <v/>
      </c>
      <c r="AP22" s="164">
        <v>19</v>
      </c>
      <c r="AQ22" s="145" t="str">
        <f>IF(ISBLANK(STUD!B20)," ",STUD!B20)</f>
        <v xml:space="preserve"> </v>
      </c>
      <c r="AR22" s="185">
        <f>IFERROR(VLOOKUP(AQ22,Lunes!$AF$4:$AG$31,2,0),0)</f>
        <v>0</v>
      </c>
      <c r="AS22" s="185">
        <f>IFERROR(VLOOKUP(AQ22,Martes!$AF$4:$AH$31,2,0),0)</f>
        <v>0</v>
      </c>
      <c r="AT22" s="185">
        <f>IFERROR(VLOOKUP(AQ22,Miercoles!$AF$4:$AG$31,2,0),0)</f>
        <v>0</v>
      </c>
      <c r="AU22" s="185">
        <f t="shared" si="4"/>
        <v>0</v>
      </c>
      <c r="AV22" s="185">
        <f t="shared" si="5"/>
        <v>0</v>
      </c>
      <c r="AW22" s="185">
        <f t="shared" si="8"/>
        <v>0</v>
      </c>
    </row>
    <row r="23" spans="1:49" ht="15.75" customHeight="1" x14ac:dyDescent="0.4">
      <c r="A23" s="252">
        <f>+A21+1</f>
        <v>10</v>
      </c>
      <c r="B23" s="253" t="str">
        <f>+STUD!B11</f>
        <v>PASASTE BANDIDO</v>
      </c>
      <c r="C23" s="244">
        <f>SUM(D24:AB24)</f>
        <v>6.8000000000000007</v>
      </c>
      <c r="D23" s="112">
        <v>5</v>
      </c>
      <c r="E23" s="112">
        <v>12</v>
      </c>
      <c r="F23" s="112">
        <v>8</v>
      </c>
      <c r="G23" s="112">
        <v>11</v>
      </c>
      <c r="H23" s="112">
        <v>3</v>
      </c>
      <c r="I23" s="112">
        <v>9</v>
      </c>
      <c r="J23" s="112">
        <v>2</v>
      </c>
      <c r="K23" s="112">
        <v>2</v>
      </c>
      <c r="L23" s="112">
        <v>1</v>
      </c>
      <c r="M23" s="112">
        <v>9</v>
      </c>
      <c r="N23" s="109">
        <v>13</v>
      </c>
      <c r="O23" s="109">
        <v>1</v>
      </c>
      <c r="P23" s="109">
        <v>7</v>
      </c>
      <c r="Q23" s="109">
        <v>5</v>
      </c>
      <c r="R23" s="109">
        <v>2</v>
      </c>
      <c r="S23" s="109">
        <v>12</v>
      </c>
      <c r="T23" s="109">
        <v>14</v>
      </c>
      <c r="U23" s="109">
        <v>7</v>
      </c>
      <c r="V23" s="109">
        <v>14</v>
      </c>
      <c r="W23" s="109"/>
      <c r="X23" s="109"/>
      <c r="Y23" s="109"/>
      <c r="Z23" s="109"/>
      <c r="AA23" s="109"/>
      <c r="AB23" s="109"/>
      <c r="AC23" s="243">
        <f>SUM(D24:AB24)</f>
        <v>6.8000000000000007</v>
      </c>
      <c r="AE23" s="79">
        <v>20</v>
      </c>
      <c r="AF23" s="91" t="str">
        <f>IF(ISBLANK(STUD!B21)," ",STUD!B21)</f>
        <v xml:space="preserve"> </v>
      </c>
      <c r="AG23" s="91">
        <f t="shared" si="0"/>
        <v>0</v>
      </c>
      <c r="AH23" s="92">
        <f t="shared" si="6"/>
        <v>0</v>
      </c>
      <c r="AI23" s="88" t="str">
        <f t="shared" si="1"/>
        <v xml:space="preserve"> </v>
      </c>
      <c r="AJ23" s="53" t="str">
        <f>IF(AI23="","",IFERROR(IF(VLOOKUP(AI23,Programa!$Q$3:$R$18,2,0)="","",VLOOKUP(AI23,Programa!$Q$3:$R$18,2,0)),""))</f>
        <v/>
      </c>
      <c r="AK23" s="53" t="str">
        <f t="shared" si="2"/>
        <v xml:space="preserve"> </v>
      </c>
      <c r="AL23" s="53" t="str">
        <f>IF(AK23="","",IFERROR(IF(VLOOKUP(AK23,Programa!$Q$19:$R$34,2,0)="","",VLOOKUP(AK23,Programa!$Q$19:$R$34,2,0)),""))</f>
        <v/>
      </c>
      <c r="AM23" s="53" t="str">
        <f t="shared" si="3"/>
        <v xml:space="preserve"> </v>
      </c>
      <c r="AN23" s="53" t="str">
        <f>IF(AM23="","",IFERROR(IF(VLOOKUP(AM23,Programa!$Q$35:$R$50,2,0)="","",VLOOKUP(AM23,Programa!$Q$35:$R$50,2,0)),""))</f>
        <v/>
      </c>
      <c r="AP23" s="165">
        <v>20</v>
      </c>
      <c r="AQ23" s="145" t="str">
        <f>IF(ISBLANK(STUD!B21)," ",STUD!B21)</f>
        <v xml:space="preserve"> </v>
      </c>
      <c r="AR23" s="185">
        <f>IFERROR(VLOOKUP(AQ23,Lunes!$AF$4:$AG$31,2,0),0)</f>
        <v>0</v>
      </c>
      <c r="AS23" s="185">
        <f>IFERROR(VLOOKUP(AQ23,Martes!$AF$4:$AH$31,2,0),0)</f>
        <v>0</v>
      </c>
      <c r="AT23" s="185">
        <f>IFERROR(VLOOKUP(AQ23,Miercoles!$AF$4:$AG$31,2,0),0)</f>
        <v>0</v>
      </c>
      <c r="AU23" s="185">
        <f t="shared" si="4"/>
        <v>0</v>
      </c>
      <c r="AV23" s="185">
        <f t="shared" si="5"/>
        <v>0</v>
      </c>
      <c r="AW23" s="185">
        <f t="shared" si="8"/>
        <v>0</v>
      </c>
    </row>
    <row r="24" spans="1:49" ht="15.75" customHeight="1" x14ac:dyDescent="0.4">
      <c r="A24" s="242"/>
      <c r="B24" s="253"/>
      <c r="C24" s="245"/>
      <c r="D24" s="138">
        <f t="shared" ref="D24:AB24" si="17">IF(IFERROR(IF(VLOOKUP(D23,D$151:D$155,1,0)&gt;=1,D$150,0),D23)=D$132,D$136,IF(IFERROR(IF(VLOOKUP(D23,D$151:D$155,1,0)&gt;=1,D$150,0),D23)=D$139,D$142,IF(IFERROR(IF(VLOOKUP(D23,D$151:D$155,1,0)&gt;=1,D$150,0),D23)=D$145,D$147,0)))</f>
        <v>0</v>
      </c>
      <c r="E24" s="138">
        <f t="shared" si="17"/>
        <v>0</v>
      </c>
      <c r="F24" s="138">
        <f t="shared" si="17"/>
        <v>0</v>
      </c>
      <c r="G24" s="138">
        <f t="shared" si="17"/>
        <v>0</v>
      </c>
      <c r="H24" s="138">
        <f t="shared" si="17"/>
        <v>0</v>
      </c>
      <c r="I24" s="138">
        <f t="shared" si="17"/>
        <v>0</v>
      </c>
      <c r="J24" s="138">
        <f t="shared" si="17"/>
        <v>0</v>
      </c>
      <c r="K24" s="138">
        <f t="shared" si="17"/>
        <v>0</v>
      </c>
      <c r="L24" s="138">
        <f t="shared" si="17"/>
        <v>0</v>
      </c>
      <c r="M24" s="138">
        <f t="shared" si="17"/>
        <v>0</v>
      </c>
      <c r="N24" s="138">
        <f t="shared" si="17"/>
        <v>0</v>
      </c>
      <c r="O24" s="138">
        <f t="shared" si="17"/>
        <v>0</v>
      </c>
      <c r="P24" s="138">
        <f t="shared" si="17"/>
        <v>0</v>
      </c>
      <c r="Q24" s="138">
        <f t="shared" si="17"/>
        <v>1.4</v>
      </c>
      <c r="R24" s="138">
        <f t="shared" si="17"/>
        <v>0</v>
      </c>
      <c r="S24" s="138">
        <f t="shared" si="17"/>
        <v>0</v>
      </c>
      <c r="T24" s="138">
        <f t="shared" si="17"/>
        <v>0</v>
      </c>
      <c r="U24" s="138">
        <f t="shared" si="17"/>
        <v>5.4</v>
      </c>
      <c r="V24" s="138">
        <f t="shared" si="17"/>
        <v>0</v>
      </c>
      <c r="W24" s="138">
        <f t="shared" si="17"/>
        <v>0</v>
      </c>
      <c r="X24" s="138">
        <f t="shared" si="17"/>
        <v>0</v>
      </c>
      <c r="Y24" s="138">
        <f t="shared" si="17"/>
        <v>0</v>
      </c>
      <c r="Z24" s="138">
        <f t="shared" si="17"/>
        <v>0</v>
      </c>
      <c r="AA24" s="138">
        <f t="shared" si="17"/>
        <v>0</v>
      </c>
      <c r="AB24" s="138">
        <f t="shared" si="17"/>
        <v>0</v>
      </c>
      <c r="AC24" s="243"/>
      <c r="AE24" s="80">
        <v>21</v>
      </c>
      <c r="AF24" s="91" t="str">
        <f>IF(ISBLANK(STUD!B22)," ",STUD!B22)</f>
        <v xml:space="preserve"> </v>
      </c>
      <c r="AG24" s="91">
        <f t="shared" si="0"/>
        <v>0</v>
      </c>
      <c r="AH24" s="92">
        <f t="shared" si="6"/>
        <v>0</v>
      </c>
      <c r="AI24" s="88" t="str">
        <f t="shared" si="1"/>
        <v xml:space="preserve"> </v>
      </c>
      <c r="AJ24" s="53" t="str">
        <f>IF(AI24="","",IFERROR(IF(VLOOKUP(AI24,Programa!$Q$3:$R$18,2,0)="","",VLOOKUP(AI24,Programa!$Q$3:$R$18,2,0)),""))</f>
        <v/>
      </c>
      <c r="AK24" s="53" t="str">
        <f t="shared" si="2"/>
        <v xml:space="preserve"> </v>
      </c>
      <c r="AL24" s="53" t="str">
        <f>IF(AK24="","",IFERROR(IF(VLOOKUP(AK24,Programa!$Q$19:$R$34,2,0)="","",VLOOKUP(AK24,Programa!$Q$19:$R$34,2,0)),""))</f>
        <v/>
      </c>
      <c r="AM24" s="53" t="str">
        <f t="shared" si="3"/>
        <v xml:space="preserve"> </v>
      </c>
      <c r="AN24" s="53" t="str">
        <f>IF(AM24="","",IFERROR(IF(VLOOKUP(AM24,Programa!$Q$35:$R$50,2,0)="","",VLOOKUP(AM24,Programa!$Q$35:$R$50,2,0)),""))</f>
        <v/>
      </c>
      <c r="AP24" s="166">
        <v>21</v>
      </c>
      <c r="AQ24" s="145" t="str">
        <f>IF(ISBLANK(STUD!B22)," ",STUD!B22)</f>
        <v xml:space="preserve"> </v>
      </c>
      <c r="AR24" s="185">
        <f>IFERROR(VLOOKUP(AQ24,Lunes!$AF$4:$AG$31,2,0),0)</f>
        <v>0</v>
      </c>
      <c r="AS24" s="185">
        <f>IFERROR(VLOOKUP(AQ24,Martes!$AF$4:$AH$31,2,0),0)</f>
        <v>0</v>
      </c>
      <c r="AT24" s="185">
        <f>IFERROR(VLOOKUP(AQ24,Miercoles!$AF$4:$AG$31,2,0),0)</f>
        <v>0</v>
      </c>
      <c r="AU24" s="185">
        <f t="shared" si="4"/>
        <v>0</v>
      </c>
      <c r="AV24" s="185">
        <f t="shared" si="5"/>
        <v>0</v>
      </c>
      <c r="AW24" s="185">
        <f t="shared" si="8"/>
        <v>0</v>
      </c>
    </row>
    <row r="25" spans="1:49" ht="15.75" customHeight="1" x14ac:dyDescent="0.4">
      <c r="A25" s="252">
        <f>+A23+1</f>
        <v>11</v>
      </c>
      <c r="B25" s="253">
        <f>+STUD!B12</f>
        <v>0</v>
      </c>
      <c r="C25" s="244">
        <f>SUM(D26:AB26)</f>
        <v>22.2</v>
      </c>
      <c r="D25" s="112">
        <v>6</v>
      </c>
      <c r="E25" s="112">
        <v>10</v>
      </c>
      <c r="F25" s="112">
        <v>2</v>
      </c>
      <c r="G25" s="112">
        <v>13</v>
      </c>
      <c r="H25" s="112">
        <v>4</v>
      </c>
      <c r="I25" s="112">
        <v>6</v>
      </c>
      <c r="J25" s="112">
        <v>7</v>
      </c>
      <c r="K25" s="112">
        <v>4</v>
      </c>
      <c r="L25" s="112">
        <v>2</v>
      </c>
      <c r="M25" s="112">
        <v>7</v>
      </c>
      <c r="N25" s="109">
        <v>14</v>
      </c>
      <c r="O25" s="109">
        <v>6</v>
      </c>
      <c r="P25" s="109">
        <v>5</v>
      </c>
      <c r="Q25" s="109">
        <v>15</v>
      </c>
      <c r="R25" s="109">
        <v>12</v>
      </c>
      <c r="S25" s="109">
        <v>2</v>
      </c>
      <c r="T25" s="109">
        <v>5</v>
      </c>
      <c r="U25" s="109">
        <v>13</v>
      </c>
      <c r="V25" s="109">
        <v>15</v>
      </c>
      <c r="W25" s="109"/>
      <c r="X25" s="109"/>
      <c r="Y25" s="109"/>
      <c r="Z25" s="109"/>
      <c r="AA25" s="109"/>
      <c r="AB25" s="109"/>
      <c r="AC25" s="243">
        <f>SUM(D26:AB26)</f>
        <v>22.2</v>
      </c>
      <c r="AE25" s="81">
        <v>22</v>
      </c>
      <c r="AF25" s="91" t="str">
        <f>IF(ISBLANK(STUD!B23)," ",STUD!B23)</f>
        <v xml:space="preserve"> </v>
      </c>
      <c r="AG25" s="91">
        <f t="shared" si="0"/>
        <v>0</v>
      </c>
      <c r="AH25" s="92">
        <f t="shared" si="6"/>
        <v>0</v>
      </c>
      <c r="AI25" s="88" t="str">
        <f t="shared" si="1"/>
        <v xml:space="preserve"> </v>
      </c>
      <c r="AJ25" s="53" t="str">
        <f>IF(AI25="","",IFERROR(IF(VLOOKUP(AI25,Programa!$Q$3:$R$18,2,0)="","",VLOOKUP(AI25,Programa!$Q$3:$R$18,2,0)),""))</f>
        <v/>
      </c>
      <c r="AK25" s="53" t="str">
        <f t="shared" si="2"/>
        <v xml:space="preserve"> </v>
      </c>
      <c r="AL25" s="53" t="str">
        <f>IF(AK25="","",IFERROR(IF(VLOOKUP(AK25,Programa!$Q$19:$R$34,2,0)="","",VLOOKUP(AK25,Programa!$Q$19:$R$34,2,0)),""))</f>
        <v/>
      </c>
      <c r="AM25" s="53" t="str">
        <f t="shared" si="3"/>
        <v xml:space="preserve"> </v>
      </c>
      <c r="AN25" s="53" t="str">
        <f>IF(AM25="","",IFERROR(IF(VLOOKUP(AM25,Programa!$Q$35:$R$50,2,0)="","",VLOOKUP(AM25,Programa!$Q$35:$R$50,2,0)),""))</f>
        <v/>
      </c>
      <c r="AP25" s="167">
        <v>22</v>
      </c>
      <c r="AQ25" s="145" t="str">
        <f>IF(ISBLANK(STUD!B23)," ",STUD!B23)</f>
        <v xml:space="preserve"> </v>
      </c>
      <c r="AR25" s="185">
        <f>IFERROR(VLOOKUP(AQ25,Lunes!$AF$4:$AG$31,2,0),0)</f>
        <v>0</v>
      </c>
      <c r="AS25" s="185">
        <f>IFERROR(VLOOKUP(AQ25,Martes!$AF$4:$AH$31,2,0),0)</f>
        <v>0</v>
      </c>
      <c r="AT25" s="185">
        <f>IFERROR(VLOOKUP(AQ25,Miercoles!$AF$4:$AG$31,2,0),0)</f>
        <v>0</v>
      </c>
      <c r="AU25" s="185">
        <f t="shared" si="4"/>
        <v>0</v>
      </c>
      <c r="AV25" s="185">
        <f t="shared" si="5"/>
        <v>0</v>
      </c>
      <c r="AW25" s="185">
        <f t="shared" si="8"/>
        <v>0</v>
      </c>
    </row>
    <row r="26" spans="1:49" ht="15.75" customHeight="1" x14ac:dyDescent="0.4">
      <c r="A26" s="242"/>
      <c r="B26" s="253"/>
      <c r="C26" s="245"/>
      <c r="D26" s="138">
        <f t="shared" ref="D26:AB26" si="18">IF(IFERROR(IF(VLOOKUP(D25,D$151:D$155,1,0)&gt;=1,D$150,0),D25)=D$132,D$136,IF(IFERROR(IF(VLOOKUP(D25,D$151:D$155,1,0)&gt;=1,D$150,0),D25)=D$139,D$142,IF(IFERROR(IF(VLOOKUP(D25,D$151:D$155,1,0)&gt;=1,D$150,0),D25)=D$145,D$147,0)))</f>
        <v>0</v>
      </c>
      <c r="E26" s="138">
        <f t="shared" si="18"/>
        <v>0</v>
      </c>
      <c r="F26" s="138">
        <f t="shared" si="18"/>
        <v>0</v>
      </c>
      <c r="G26" s="138">
        <f t="shared" si="18"/>
        <v>0</v>
      </c>
      <c r="H26" s="138">
        <f t="shared" si="18"/>
        <v>0</v>
      </c>
      <c r="I26" s="138">
        <f t="shared" si="18"/>
        <v>2.9000000000000004</v>
      </c>
      <c r="J26" s="138">
        <f t="shared" si="18"/>
        <v>0</v>
      </c>
      <c r="K26" s="138">
        <f t="shared" si="18"/>
        <v>0</v>
      </c>
      <c r="L26" s="138">
        <f t="shared" si="18"/>
        <v>8.1999999999999993</v>
      </c>
      <c r="M26" s="138">
        <f t="shared" si="18"/>
        <v>0</v>
      </c>
      <c r="N26" s="138">
        <f t="shared" si="18"/>
        <v>0</v>
      </c>
      <c r="O26" s="138">
        <f t="shared" si="18"/>
        <v>0</v>
      </c>
      <c r="P26" s="138">
        <f t="shared" si="18"/>
        <v>0</v>
      </c>
      <c r="Q26" s="138">
        <f t="shared" si="18"/>
        <v>0</v>
      </c>
      <c r="R26" s="138">
        <f t="shared" si="18"/>
        <v>4.4000000000000004</v>
      </c>
      <c r="S26" s="138">
        <f t="shared" si="18"/>
        <v>0</v>
      </c>
      <c r="T26" s="138">
        <f t="shared" si="18"/>
        <v>6.7</v>
      </c>
      <c r="U26" s="138">
        <f t="shared" si="18"/>
        <v>0</v>
      </c>
      <c r="V26" s="138">
        <f t="shared" si="18"/>
        <v>0</v>
      </c>
      <c r="W26" s="138">
        <f t="shared" si="18"/>
        <v>0</v>
      </c>
      <c r="X26" s="138">
        <f t="shared" si="18"/>
        <v>0</v>
      </c>
      <c r="Y26" s="138">
        <f t="shared" si="18"/>
        <v>0</v>
      </c>
      <c r="Z26" s="138">
        <f t="shared" si="18"/>
        <v>0</v>
      </c>
      <c r="AA26" s="138">
        <f t="shared" si="18"/>
        <v>0</v>
      </c>
      <c r="AB26" s="138">
        <f t="shared" si="18"/>
        <v>0</v>
      </c>
      <c r="AC26" s="243"/>
      <c r="AE26" s="82">
        <v>23</v>
      </c>
      <c r="AF26" s="91" t="str">
        <f>IF(ISBLANK(STUD!B24)," ",STUD!B24)</f>
        <v xml:space="preserve"> </v>
      </c>
      <c r="AG26" s="91">
        <f t="shared" si="0"/>
        <v>0</v>
      </c>
      <c r="AH26" s="92">
        <f t="shared" si="6"/>
        <v>0</v>
      </c>
      <c r="AI26" s="88" t="str">
        <f t="shared" si="1"/>
        <v xml:space="preserve"> </v>
      </c>
      <c r="AJ26" s="53" t="str">
        <f>IF(AI26="","",IFERROR(IF(VLOOKUP(AI26,Programa!$Q$3:$R$18,2,0)="","",VLOOKUP(AI26,Programa!$Q$3:$R$18,2,0)),""))</f>
        <v/>
      </c>
      <c r="AK26" s="53" t="str">
        <f t="shared" si="2"/>
        <v xml:space="preserve"> </v>
      </c>
      <c r="AL26" s="53" t="str">
        <f>IF(AK26="","",IFERROR(IF(VLOOKUP(AK26,Programa!$Q$19:$R$34,2,0)="","",VLOOKUP(AK26,Programa!$Q$19:$R$34,2,0)),""))</f>
        <v/>
      </c>
      <c r="AM26" s="53" t="str">
        <f t="shared" si="3"/>
        <v xml:space="preserve"> </v>
      </c>
      <c r="AN26" s="53" t="str">
        <f>IF(AM26="","",IFERROR(IF(VLOOKUP(AM26,Programa!$Q$35:$R$50,2,0)="","",VLOOKUP(AM26,Programa!$Q$35:$R$50,2,0)),""))</f>
        <v/>
      </c>
      <c r="AP26" s="168">
        <v>23</v>
      </c>
      <c r="AQ26" s="145" t="str">
        <f>IF(ISBLANK(STUD!B24)," ",STUD!B24)</f>
        <v xml:space="preserve"> </v>
      </c>
      <c r="AR26" s="185">
        <f>IFERROR(VLOOKUP(AQ26,Lunes!$AF$4:$AG$31,2,0),0)</f>
        <v>0</v>
      </c>
      <c r="AS26" s="185">
        <f>IFERROR(VLOOKUP(AQ26,Martes!$AF$4:$AH$31,2,0),0)</f>
        <v>0</v>
      </c>
      <c r="AT26" s="185">
        <f>IFERROR(VLOOKUP(AQ26,Miercoles!$AF$4:$AG$31,2,0),0)</f>
        <v>0</v>
      </c>
      <c r="AU26" s="185">
        <f t="shared" si="4"/>
        <v>0</v>
      </c>
      <c r="AV26" s="185">
        <f t="shared" si="5"/>
        <v>0</v>
      </c>
      <c r="AW26" s="185">
        <f t="shared" si="8"/>
        <v>0</v>
      </c>
    </row>
    <row r="27" spans="1:49" ht="15.75" customHeight="1" x14ac:dyDescent="0.4">
      <c r="A27" s="252">
        <f>+A25+1</f>
        <v>12</v>
      </c>
      <c r="B27" s="253">
        <f>+STUD!B13</f>
        <v>0</v>
      </c>
      <c r="C27" s="244">
        <f>SUM(D28:AB28)</f>
        <v>47.900000000000006</v>
      </c>
      <c r="D27" s="109">
        <v>13</v>
      </c>
      <c r="E27" s="109">
        <v>2</v>
      </c>
      <c r="F27" s="109">
        <v>8</v>
      </c>
      <c r="G27" s="109">
        <v>12</v>
      </c>
      <c r="H27" s="109">
        <v>1</v>
      </c>
      <c r="I27" s="109">
        <v>11</v>
      </c>
      <c r="J27" s="109">
        <v>4</v>
      </c>
      <c r="K27" s="109">
        <v>7</v>
      </c>
      <c r="L27" s="109">
        <v>9</v>
      </c>
      <c r="M27" s="109">
        <v>5</v>
      </c>
      <c r="N27" s="109">
        <v>6</v>
      </c>
      <c r="O27" s="109">
        <v>3</v>
      </c>
      <c r="P27" s="109">
        <v>7</v>
      </c>
      <c r="Q27" s="109">
        <v>2</v>
      </c>
      <c r="R27" s="109">
        <v>7</v>
      </c>
      <c r="S27" s="109">
        <v>4</v>
      </c>
      <c r="T27" s="109">
        <v>8</v>
      </c>
      <c r="U27" s="109">
        <v>13</v>
      </c>
      <c r="V27" s="109">
        <v>7</v>
      </c>
      <c r="W27" s="109"/>
      <c r="X27" s="109"/>
      <c r="Y27" s="109"/>
      <c r="Z27" s="109"/>
      <c r="AA27" s="109"/>
      <c r="AB27" s="109"/>
      <c r="AC27" s="243">
        <f>SUM(D28:AB28)</f>
        <v>47.900000000000006</v>
      </c>
      <c r="AE27" s="83">
        <v>24</v>
      </c>
      <c r="AF27" s="91" t="str">
        <f>IF(ISBLANK(STUD!B25)," ",STUD!B25)</f>
        <v xml:space="preserve"> </v>
      </c>
      <c r="AG27" s="91">
        <f t="shared" si="0"/>
        <v>0</v>
      </c>
      <c r="AH27" s="92">
        <f t="shared" si="6"/>
        <v>0</v>
      </c>
      <c r="AI27" s="88" t="str">
        <f t="shared" si="1"/>
        <v xml:space="preserve"> </v>
      </c>
      <c r="AJ27" s="53" t="str">
        <f>IF(AI27="","",IFERROR(IF(VLOOKUP(AI27,Programa!$Q$3:$R$18,2,0)="","",VLOOKUP(AI27,Programa!$Q$3:$R$18,2,0)),""))</f>
        <v/>
      </c>
      <c r="AK27" s="53" t="str">
        <f t="shared" si="2"/>
        <v xml:space="preserve"> </v>
      </c>
      <c r="AL27" s="53" t="str">
        <f>IF(AK27="","",IFERROR(IF(VLOOKUP(AK27,Programa!$Q$19:$R$34,2,0)="","",VLOOKUP(AK27,Programa!$Q$19:$R$34,2,0)),""))</f>
        <v/>
      </c>
      <c r="AM27" s="53" t="str">
        <f t="shared" si="3"/>
        <v xml:space="preserve"> </v>
      </c>
      <c r="AN27" s="53" t="str">
        <f>IF(AM27="","",IFERROR(IF(VLOOKUP(AM27,Programa!$Q$35:$R$50,2,0)="","",VLOOKUP(AM27,Programa!$Q$35:$R$50,2,0)),""))</f>
        <v/>
      </c>
      <c r="AP27" s="83">
        <v>24</v>
      </c>
      <c r="AQ27" s="91" t="str">
        <f>IF(ISBLANK(STUD!B25)," ",STUD!B25)</f>
        <v xml:space="preserve"> </v>
      </c>
      <c r="AR27" s="214">
        <f>IFERROR(VLOOKUP(AQ27,Lunes!$AF$4:$AG$31,2,0),0)</f>
        <v>0</v>
      </c>
      <c r="AS27" s="214">
        <f>IFERROR(VLOOKUP(AQ27,Martes!$AF$4:$AH$31,2,0),0)</f>
        <v>0</v>
      </c>
      <c r="AT27" s="214">
        <f>IFERROR(VLOOKUP(AQ27,Miercoles!$AF$4:$AG$31,2,0),0)</f>
        <v>0</v>
      </c>
      <c r="AU27" s="214">
        <f t="shared" si="4"/>
        <v>0</v>
      </c>
      <c r="AV27" s="214">
        <f t="shared" si="5"/>
        <v>0</v>
      </c>
      <c r="AW27" s="214">
        <f t="shared" si="8"/>
        <v>0</v>
      </c>
    </row>
    <row r="28" spans="1:49" ht="15.75" customHeight="1" x14ac:dyDescent="0.4">
      <c r="A28" s="242"/>
      <c r="B28" s="253"/>
      <c r="C28" s="245"/>
      <c r="D28" s="138">
        <f t="shared" ref="D28:AB28" si="19">IF(IFERROR(IF(VLOOKUP(D27,D$151:D$155,1,0)&gt;=1,D$150,0),D27)=D$132,D$136,IF(IFERROR(IF(VLOOKUP(D27,D$151:D$155,1,0)&gt;=1,D$150,0),D27)=D$139,D$142,IF(IFERROR(IF(VLOOKUP(D27,D$151:D$155,1,0)&gt;=1,D$150,0),D27)=D$145,D$147,0)))</f>
        <v>0</v>
      </c>
      <c r="E28" s="138">
        <f t="shared" si="19"/>
        <v>1</v>
      </c>
      <c r="F28" s="138">
        <f t="shared" si="19"/>
        <v>0</v>
      </c>
      <c r="G28" s="138">
        <f t="shared" si="19"/>
        <v>1.6</v>
      </c>
      <c r="H28" s="138">
        <f t="shared" si="19"/>
        <v>2.2999999999999998</v>
      </c>
      <c r="I28" s="138">
        <f t="shared" si="19"/>
        <v>2.9000000000000004</v>
      </c>
      <c r="J28" s="138">
        <f t="shared" si="19"/>
        <v>0</v>
      </c>
      <c r="K28" s="138">
        <f t="shared" si="19"/>
        <v>2.4</v>
      </c>
      <c r="L28" s="138">
        <f t="shared" si="19"/>
        <v>4.5</v>
      </c>
      <c r="M28" s="138">
        <f t="shared" si="19"/>
        <v>3.9000000000000004</v>
      </c>
      <c r="N28" s="138">
        <f t="shared" si="19"/>
        <v>6.2</v>
      </c>
      <c r="O28" s="138">
        <f t="shared" si="19"/>
        <v>3.6</v>
      </c>
      <c r="P28" s="138">
        <f t="shared" si="19"/>
        <v>0</v>
      </c>
      <c r="Q28" s="138">
        <f t="shared" si="19"/>
        <v>3.8000000000000003</v>
      </c>
      <c r="R28" s="138">
        <f t="shared" si="19"/>
        <v>0</v>
      </c>
      <c r="S28" s="138">
        <f t="shared" si="19"/>
        <v>0</v>
      </c>
      <c r="T28" s="138">
        <f t="shared" si="19"/>
        <v>9.6999999999999993</v>
      </c>
      <c r="U28" s="138">
        <f t="shared" si="19"/>
        <v>0</v>
      </c>
      <c r="V28" s="138">
        <f t="shared" si="19"/>
        <v>6</v>
      </c>
      <c r="W28" s="138">
        <f t="shared" si="19"/>
        <v>0</v>
      </c>
      <c r="X28" s="138">
        <f t="shared" si="19"/>
        <v>0</v>
      </c>
      <c r="Y28" s="138">
        <f t="shared" si="19"/>
        <v>0</v>
      </c>
      <c r="Z28" s="138">
        <f t="shared" si="19"/>
        <v>0</v>
      </c>
      <c r="AA28" s="138">
        <f t="shared" si="19"/>
        <v>0</v>
      </c>
      <c r="AB28" s="138">
        <f t="shared" si="19"/>
        <v>0</v>
      </c>
      <c r="AC28" s="243"/>
      <c r="AE28" s="84">
        <v>25</v>
      </c>
      <c r="AF28" s="91" t="str">
        <f>IF(ISBLANK(STUD!B26)," ",STUD!B26)</f>
        <v xml:space="preserve"> </v>
      </c>
      <c r="AG28" s="91">
        <f t="shared" si="0"/>
        <v>0</v>
      </c>
      <c r="AH28" s="92">
        <f t="shared" si="6"/>
        <v>0</v>
      </c>
      <c r="AI28" s="88" t="str">
        <f t="shared" si="1"/>
        <v xml:space="preserve"> </v>
      </c>
      <c r="AJ28" s="53" t="str">
        <f>IF(AI28="","",IFERROR(IF(VLOOKUP(AI28,Programa!$Q$3:$R$18,2,0)="","",VLOOKUP(AI28,Programa!$Q$3:$R$18,2,0)),""))</f>
        <v/>
      </c>
      <c r="AK28" s="53" t="str">
        <f t="shared" si="2"/>
        <v xml:space="preserve"> </v>
      </c>
      <c r="AL28" s="53" t="str">
        <f>IF(AK28="","",IFERROR(IF(VLOOKUP(AK28,Programa!$Q$19:$R$34,2,0)="","",VLOOKUP(AK28,Programa!$Q$19:$R$34,2,0)),""))</f>
        <v/>
      </c>
      <c r="AM28" s="53" t="str">
        <f t="shared" si="3"/>
        <v xml:space="preserve"> </v>
      </c>
      <c r="AN28" s="53" t="str">
        <f>IF(AM28="","",IFERROR(IF(VLOOKUP(AM28,Programa!$Q$35:$R$50,2,0)="","",VLOOKUP(AM28,Programa!$Q$35:$R$50,2,0)),""))</f>
        <v/>
      </c>
      <c r="AP28" s="84">
        <v>25</v>
      </c>
      <c r="AQ28" s="91" t="str">
        <f>IF(ISBLANK(STUD!B26)," ",STUD!B26)</f>
        <v xml:space="preserve"> </v>
      </c>
      <c r="AR28" s="214">
        <f>IFERROR(VLOOKUP(AQ28,Lunes!$AF$4:$AG$31,2,0),0)</f>
        <v>0</v>
      </c>
      <c r="AS28" s="214">
        <f>IFERROR(VLOOKUP(AQ28,Martes!$AF$4:$AH$31,2,0),0)</f>
        <v>0</v>
      </c>
      <c r="AT28" s="214">
        <f>IFERROR(VLOOKUP(AQ28,Miercoles!$AF$4:$AG$31,2,0),0)</f>
        <v>0</v>
      </c>
      <c r="AU28" s="214">
        <f t="shared" si="4"/>
        <v>0</v>
      </c>
      <c r="AV28" s="214">
        <f t="shared" si="5"/>
        <v>0</v>
      </c>
      <c r="AW28" s="214">
        <f t="shared" si="8"/>
        <v>0</v>
      </c>
    </row>
    <row r="29" spans="1:49" ht="15.75" customHeight="1" x14ac:dyDescent="0.4">
      <c r="A29" s="252">
        <f>+A27+1</f>
        <v>13</v>
      </c>
      <c r="B29" s="253">
        <f>+STUD!B14</f>
        <v>0</v>
      </c>
      <c r="C29" s="244">
        <f>SUM(D30:AB30)</f>
        <v>31.3</v>
      </c>
      <c r="D29" s="232">
        <v>3</v>
      </c>
      <c r="E29" s="232">
        <v>9</v>
      </c>
      <c r="F29" s="232">
        <v>2</v>
      </c>
      <c r="G29" s="232">
        <v>12</v>
      </c>
      <c r="H29" s="232">
        <v>6</v>
      </c>
      <c r="I29" s="232">
        <v>5</v>
      </c>
      <c r="J29" s="232">
        <v>2</v>
      </c>
      <c r="K29" s="232">
        <v>7</v>
      </c>
      <c r="L29" s="232">
        <v>14</v>
      </c>
      <c r="M29" s="232">
        <v>5</v>
      </c>
      <c r="N29" s="232">
        <v>2</v>
      </c>
      <c r="O29" s="232">
        <v>2</v>
      </c>
      <c r="P29" s="232">
        <v>9</v>
      </c>
      <c r="Q29" s="232">
        <v>8</v>
      </c>
      <c r="R29" s="232">
        <v>5</v>
      </c>
      <c r="S29" s="232">
        <v>6</v>
      </c>
      <c r="T29" s="232">
        <v>13</v>
      </c>
      <c r="U29" s="232">
        <v>12</v>
      </c>
      <c r="V29" s="109">
        <v>13</v>
      </c>
      <c r="W29" s="109"/>
      <c r="X29" s="109"/>
      <c r="Y29" s="109"/>
      <c r="Z29" s="111"/>
      <c r="AA29" s="111"/>
      <c r="AB29" s="111"/>
      <c r="AC29" s="243">
        <f>SUM(D30:AB30)</f>
        <v>31.3</v>
      </c>
      <c r="AE29" s="85">
        <v>26</v>
      </c>
      <c r="AF29" s="91" t="str">
        <f>IF(ISBLANK(STUD!B27)," ",STUD!B27)</f>
        <v xml:space="preserve"> </v>
      </c>
      <c r="AG29" s="91">
        <f t="shared" si="0"/>
        <v>0</v>
      </c>
      <c r="AH29" s="92">
        <f t="shared" si="6"/>
        <v>0</v>
      </c>
      <c r="AI29" s="88" t="str">
        <f t="shared" si="1"/>
        <v xml:space="preserve"> </v>
      </c>
      <c r="AJ29" s="53" t="str">
        <f>IF(AI29="","",IFERROR(IF(VLOOKUP(AI29,Programa!$Q$3:$R$18,2,0)="","",VLOOKUP(AI29,Programa!$Q$3:$R$18,2,0)),""))</f>
        <v/>
      </c>
      <c r="AK29" s="53" t="str">
        <f t="shared" si="2"/>
        <v xml:space="preserve"> </v>
      </c>
      <c r="AL29" s="53" t="str">
        <f>IF(AK29="","",IFERROR(IF(VLOOKUP(AK29,Programa!$Q$19:$R$34,2,0)="","",VLOOKUP(AK29,Programa!$Q$19:$R$34,2,0)),""))</f>
        <v/>
      </c>
      <c r="AM29" s="53" t="str">
        <f t="shared" si="3"/>
        <v xml:space="preserve"> </v>
      </c>
      <c r="AN29" s="53" t="str">
        <f>IF(AM29="","",IFERROR(IF(VLOOKUP(AM29,Programa!$Q$35:$R$50,2,0)="","",VLOOKUP(AM29,Programa!$Q$35:$R$50,2,0)),""))</f>
        <v/>
      </c>
      <c r="AP29" s="85">
        <v>26</v>
      </c>
      <c r="AQ29" s="91" t="str">
        <f>IF(ISBLANK(STUD!B27)," ",STUD!B27)</f>
        <v xml:space="preserve"> </v>
      </c>
      <c r="AR29" s="91">
        <f>IFERROR(VLOOKUP(AQ29,Lunes!$AF$4:$AG$31,2,0),0)</f>
        <v>0</v>
      </c>
      <c r="AS29" s="91">
        <f>IFERROR(VLOOKUP(AQ29,Martes!$AF$4:$AH$31,2,0),0)</f>
        <v>0</v>
      </c>
      <c r="AT29" s="91">
        <f>IFERROR(VLOOKUP(AQ29,Miercoles!$AF$4:$AG$31,2,0),0)</f>
        <v>0</v>
      </c>
      <c r="AU29" s="91">
        <f t="shared" si="4"/>
        <v>0</v>
      </c>
      <c r="AV29" s="91">
        <f t="shared" si="5"/>
        <v>0</v>
      </c>
      <c r="AW29" s="91">
        <f t="shared" si="8"/>
        <v>0</v>
      </c>
    </row>
    <row r="30" spans="1:49" ht="15.75" customHeight="1" x14ac:dyDescent="0.4">
      <c r="A30" s="242"/>
      <c r="B30" s="253"/>
      <c r="C30" s="245"/>
      <c r="D30" s="138">
        <f t="shared" ref="D30:AB30" si="20">IF(IFERROR(IF(VLOOKUP(D29,D$151:D$155,1,0)&gt;=1,D$150,0),D29)=D$132,D$136,IF(IFERROR(IF(VLOOKUP(D29,D$151:D$155,1,0)&gt;=1,D$150,0),D29)=D$139,D$142,IF(IFERROR(IF(VLOOKUP(D29,D$151:D$155,1,0)&gt;=1,D$150,0),D29)=D$145,D$147,0)))</f>
        <v>0</v>
      </c>
      <c r="E30" s="138">
        <f t="shared" si="20"/>
        <v>0</v>
      </c>
      <c r="F30" s="138">
        <f t="shared" si="20"/>
        <v>0</v>
      </c>
      <c r="G30" s="138">
        <f t="shared" si="20"/>
        <v>1.6</v>
      </c>
      <c r="H30" s="138">
        <f t="shared" si="20"/>
        <v>0</v>
      </c>
      <c r="I30" s="138">
        <f t="shared" si="20"/>
        <v>0</v>
      </c>
      <c r="J30" s="138">
        <f t="shared" si="20"/>
        <v>0</v>
      </c>
      <c r="K30" s="138">
        <f t="shared" si="20"/>
        <v>2.4</v>
      </c>
      <c r="L30" s="138">
        <f t="shared" si="20"/>
        <v>0</v>
      </c>
      <c r="M30" s="138">
        <f t="shared" si="20"/>
        <v>3.9000000000000004</v>
      </c>
      <c r="N30" s="138">
        <f t="shared" si="20"/>
        <v>0</v>
      </c>
      <c r="O30" s="138">
        <f t="shared" si="20"/>
        <v>0</v>
      </c>
      <c r="P30" s="138">
        <f t="shared" si="20"/>
        <v>0</v>
      </c>
      <c r="Q30" s="138">
        <f t="shared" si="20"/>
        <v>0</v>
      </c>
      <c r="R30" s="138">
        <f t="shared" si="20"/>
        <v>20.2</v>
      </c>
      <c r="S30" s="138">
        <f t="shared" si="20"/>
        <v>3.2</v>
      </c>
      <c r="T30" s="138">
        <f t="shared" si="20"/>
        <v>0</v>
      </c>
      <c r="U30" s="138">
        <f t="shared" si="20"/>
        <v>0</v>
      </c>
      <c r="V30" s="138">
        <f t="shared" si="20"/>
        <v>0</v>
      </c>
      <c r="W30" s="138">
        <f t="shared" si="20"/>
        <v>0</v>
      </c>
      <c r="X30" s="138">
        <f t="shared" si="20"/>
        <v>0</v>
      </c>
      <c r="Y30" s="127">
        <f t="shared" si="20"/>
        <v>0</v>
      </c>
      <c r="Z30" s="127">
        <f t="shared" si="20"/>
        <v>0</v>
      </c>
      <c r="AA30" s="127">
        <f t="shared" si="20"/>
        <v>0</v>
      </c>
      <c r="AB30" s="127">
        <f t="shared" si="20"/>
        <v>0</v>
      </c>
      <c r="AC30" s="243"/>
      <c r="AE30" s="86">
        <v>27</v>
      </c>
      <c r="AF30" s="91" t="str">
        <f>IF(ISBLANK(STUD!B28)," ",STUD!B28)</f>
        <v xml:space="preserve"> </v>
      </c>
      <c r="AG30" s="91">
        <f t="shared" si="0"/>
        <v>0</v>
      </c>
      <c r="AH30" s="92">
        <f t="shared" si="6"/>
        <v>0</v>
      </c>
      <c r="AI30" s="88" t="str">
        <f t="shared" si="1"/>
        <v xml:space="preserve"> </v>
      </c>
      <c r="AJ30" s="53" t="str">
        <f>IF(AI30="","",IFERROR(IF(VLOOKUP(AI30,Programa!$Q$3:$R$18,2,0)="","",VLOOKUP(AI30,Programa!$Q$3:$R$18,2,0)),""))</f>
        <v/>
      </c>
      <c r="AK30" s="53" t="str">
        <f t="shared" si="2"/>
        <v xml:space="preserve"> </v>
      </c>
      <c r="AL30" s="53" t="str">
        <f>IF(AK30="","",IFERROR(IF(VLOOKUP(AK30,Programa!$Q$19:$R$34,2,0)="","",VLOOKUP(AK30,Programa!$Q$19:$R$34,2,0)),""))</f>
        <v/>
      </c>
      <c r="AM30" s="53" t="str">
        <f t="shared" si="3"/>
        <v xml:space="preserve"> </v>
      </c>
      <c r="AN30" s="53" t="str">
        <f>IF(AM30="","",IFERROR(IF(VLOOKUP(AM30,Programa!$Q$35:$R$50,2,0)="","",VLOOKUP(AM30,Programa!$Q$35:$R$50,2,0)),""))</f>
        <v/>
      </c>
      <c r="AP30" s="86">
        <v>27</v>
      </c>
      <c r="AQ30" s="91" t="str">
        <f>IF(ISBLANK(STUD!B28)," ",STUD!B28)</f>
        <v xml:space="preserve"> </v>
      </c>
      <c r="AR30" s="91">
        <f>IFERROR(VLOOKUP(AQ30,Lunes!$AF$4:$AG$31,2,0),0)</f>
        <v>0</v>
      </c>
      <c r="AS30" s="91">
        <f>IFERROR(VLOOKUP(AQ30,Martes!$AF$4:$AH$31,2,0),0)</f>
        <v>0</v>
      </c>
      <c r="AT30" s="91">
        <f>IFERROR(VLOOKUP(AQ30,Miercoles!$AF$4:$AG$31,2,0),0)</f>
        <v>0</v>
      </c>
      <c r="AU30" s="91">
        <f t="shared" si="4"/>
        <v>0</v>
      </c>
      <c r="AV30" s="91">
        <f t="shared" si="5"/>
        <v>0</v>
      </c>
      <c r="AW30" s="91">
        <f t="shared" si="8"/>
        <v>0</v>
      </c>
    </row>
    <row r="31" spans="1:49" ht="15.75" customHeight="1" x14ac:dyDescent="0.4">
      <c r="A31" s="252">
        <f>+A29+1</f>
        <v>14</v>
      </c>
      <c r="B31" s="253">
        <f>+STUD!B15</f>
        <v>0</v>
      </c>
      <c r="C31" s="244">
        <f>SUM(D32:AB32)</f>
        <v>56.499999999999993</v>
      </c>
      <c r="D31" s="232">
        <v>14</v>
      </c>
      <c r="E31" s="232">
        <v>13</v>
      </c>
      <c r="F31" s="232">
        <v>5</v>
      </c>
      <c r="G31" s="232">
        <v>4</v>
      </c>
      <c r="H31" s="232">
        <v>6</v>
      </c>
      <c r="I31" s="232">
        <v>5</v>
      </c>
      <c r="J31" s="232">
        <v>9</v>
      </c>
      <c r="K31" s="232">
        <v>15</v>
      </c>
      <c r="L31" s="232">
        <v>6</v>
      </c>
      <c r="M31" s="232">
        <v>9</v>
      </c>
      <c r="N31" s="232">
        <v>11</v>
      </c>
      <c r="O31" s="232">
        <v>6</v>
      </c>
      <c r="P31" s="232">
        <v>1</v>
      </c>
      <c r="Q31" s="232">
        <v>5</v>
      </c>
      <c r="R31" s="232">
        <v>7</v>
      </c>
      <c r="S31" s="232">
        <v>9</v>
      </c>
      <c r="T31" s="232">
        <v>13</v>
      </c>
      <c r="U31" s="232">
        <v>13</v>
      </c>
      <c r="V31" s="109">
        <v>6</v>
      </c>
      <c r="W31" s="109"/>
      <c r="X31" s="109"/>
      <c r="Y31" s="109"/>
      <c r="Z31" s="111"/>
      <c r="AA31" s="111"/>
      <c r="AB31" s="111"/>
      <c r="AC31" s="243">
        <f>SUM(D32:AB32)</f>
        <v>56.499999999999993</v>
      </c>
      <c r="AE31" s="87">
        <v>28</v>
      </c>
      <c r="AF31" s="91" t="str">
        <f>IF(ISBLANK(STUD!B29)," ",STUD!B29)</f>
        <v xml:space="preserve"> </v>
      </c>
      <c r="AG31" s="91">
        <f t="shared" si="0"/>
        <v>0</v>
      </c>
      <c r="AH31" s="92">
        <f t="shared" si="6"/>
        <v>0</v>
      </c>
      <c r="AI31" s="88" t="str">
        <f t="shared" si="1"/>
        <v xml:space="preserve"> </v>
      </c>
      <c r="AJ31" s="53" t="str">
        <f>IF(AI31="","",IFERROR(IF(VLOOKUP(AI31,Programa!$Q$3:$R$18,2,0)="","",VLOOKUP(AI31,Programa!$Q$3:$R$18,2,0)),""))</f>
        <v/>
      </c>
      <c r="AK31" s="53" t="str">
        <f t="shared" si="2"/>
        <v xml:space="preserve"> </v>
      </c>
      <c r="AL31" s="53" t="str">
        <f>IF(AK31="","",IFERROR(IF(VLOOKUP(AK31,Programa!$Q$19:$R$34,2,0)="","",VLOOKUP(AK31,Programa!$Q$19:$R$34,2,0)),""))</f>
        <v/>
      </c>
      <c r="AM31" s="53" t="str">
        <f t="shared" si="3"/>
        <v xml:space="preserve"> </v>
      </c>
      <c r="AN31" s="53" t="str">
        <f>IF(AM31="","",IFERROR(IF(VLOOKUP(AM31,Programa!$Q$35:$R$50,2,0)="","",VLOOKUP(AM31,Programa!$Q$35:$R$50,2,0)),""))</f>
        <v/>
      </c>
      <c r="AP31" s="87">
        <v>28</v>
      </c>
      <c r="AQ31" s="91" t="str">
        <f>IF(ISBLANK(STUD!B29)," ",STUD!B29)</f>
        <v xml:space="preserve"> </v>
      </c>
      <c r="AR31" s="91">
        <f>IFERROR(VLOOKUP(AQ31,Lunes!$AF$4:$AG$31,2,0),0)</f>
        <v>0</v>
      </c>
      <c r="AS31" s="91">
        <f>IFERROR(VLOOKUP(AQ31,Martes!$AF$4:$AH$31,2,0),0)</f>
        <v>0</v>
      </c>
      <c r="AT31" s="91">
        <f>IFERROR(VLOOKUP(AQ31,Miercoles!$AF$4:$AG$31,2,0),0)</f>
        <v>0</v>
      </c>
      <c r="AU31" s="91">
        <f t="shared" si="4"/>
        <v>0</v>
      </c>
      <c r="AV31" s="91">
        <f t="shared" si="5"/>
        <v>0</v>
      </c>
      <c r="AW31" s="91">
        <f t="shared" si="8"/>
        <v>0</v>
      </c>
    </row>
    <row r="32" spans="1:49" ht="15.75" customHeight="1" x14ac:dyDescent="0.4">
      <c r="A32" s="242"/>
      <c r="B32" s="253"/>
      <c r="C32" s="245"/>
      <c r="D32" s="138">
        <f t="shared" ref="D32:AB32" si="21">IF(IFERROR(IF(VLOOKUP(D31,D$151:D$155,1,0)&gt;=1,D$150,0),D31)=D$132,D$136,IF(IFERROR(IF(VLOOKUP(D31,D$151:D$155,1,0)&gt;=1,D$150,0),D31)=D$139,D$142,IF(IFERROR(IF(VLOOKUP(D31,D$151:D$155,1,0)&gt;=1,D$150,0),D31)=D$145,D$147,0)))</f>
        <v>0</v>
      </c>
      <c r="E32" s="138">
        <f t="shared" si="21"/>
        <v>37.9</v>
      </c>
      <c r="F32" s="138">
        <f t="shared" si="21"/>
        <v>0</v>
      </c>
      <c r="G32" s="138">
        <f t="shared" si="21"/>
        <v>0</v>
      </c>
      <c r="H32" s="138">
        <f t="shared" si="21"/>
        <v>0</v>
      </c>
      <c r="I32" s="138">
        <f t="shared" si="21"/>
        <v>0</v>
      </c>
      <c r="J32" s="138">
        <f t="shared" si="21"/>
        <v>0</v>
      </c>
      <c r="K32" s="138">
        <f t="shared" si="21"/>
        <v>15.399999999999999</v>
      </c>
      <c r="L32" s="138">
        <f t="shared" si="21"/>
        <v>0</v>
      </c>
      <c r="M32" s="138">
        <f t="shared" si="21"/>
        <v>0</v>
      </c>
      <c r="N32" s="138">
        <f t="shared" si="21"/>
        <v>1.8</v>
      </c>
      <c r="O32" s="138">
        <f t="shared" si="21"/>
        <v>0</v>
      </c>
      <c r="P32" s="138">
        <f t="shared" si="21"/>
        <v>0</v>
      </c>
      <c r="Q32" s="138">
        <f t="shared" si="21"/>
        <v>1.4</v>
      </c>
      <c r="R32" s="138">
        <f t="shared" si="21"/>
        <v>0</v>
      </c>
      <c r="S32" s="138">
        <f t="shared" si="21"/>
        <v>0</v>
      </c>
      <c r="T32" s="138">
        <f t="shared" si="21"/>
        <v>0</v>
      </c>
      <c r="U32" s="138">
        <f t="shared" si="21"/>
        <v>0</v>
      </c>
      <c r="V32" s="138">
        <f t="shared" si="21"/>
        <v>0</v>
      </c>
      <c r="W32" s="138">
        <f t="shared" si="21"/>
        <v>0</v>
      </c>
      <c r="X32" s="138">
        <f t="shared" si="21"/>
        <v>0</v>
      </c>
      <c r="Y32" s="127">
        <f t="shared" si="21"/>
        <v>0</v>
      </c>
      <c r="Z32" s="127">
        <f t="shared" si="21"/>
        <v>0</v>
      </c>
      <c r="AA32" s="127">
        <f t="shared" si="21"/>
        <v>0</v>
      </c>
      <c r="AB32" s="127">
        <f t="shared" si="21"/>
        <v>0</v>
      </c>
      <c r="AC32" s="243"/>
      <c r="AI32" s="54"/>
      <c r="AJ32" s="54"/>
      <c r="AK32" s="54"/>
      <c r="AL32" s="54"/>
      <c r="AM32" s="54"/>
      <c r="AN32" s="54"/>
    </row>
    <row r="33" spans="1:34" ht="15.75" customHeight="1" x14ac:dyDescent="0.45">
      <c r="A33" s="252">
        <f>+A31+1</f>
        <v>15</v>
      </c>
      <c r="B33" s="253">
        <f>+STUD!B16</f>
        <v>0</v>
      </c>
      <c r="C33" s="244">
        <f>SUM(D34:AB34)</f>
        <v>60.099999999999994</v>
      </c>
      <c r="D33" s="112">
        <v>14</v>
      </c>
      <c r="E33" s="112">
        <v>11</v>
      </c>
      <c r="F33" s="112">
        <v>11</v>
      </c>
      <c r="G33" s="112">
        <v>4</v>
      </c>
      <c r="H33" s="112">
        <v>13</v>
      </c>
      <c r="I33" s="112">
        <v>9</v>
      </c>
      <c r="J33" s="112">
        <v>4</v>
      </c>
      <c r="K33" s="112">
        <v>6</v>
      </c>
      <c r="L33" s="112">
        <v>9</v>
      </c>
      <c r="M33" s="112">
        <v>4</v>
      </c>
      <c r="N33" s="109">
        <v>11</v>
      </c>
      <c r="O33" s="109">
        <v>6</v>
      </c>
      <c r="P33" s="109">
        <v>3</v>
      </c>
      <c r="Q33" s="109">
        <v>8</v>
      </c>
      <c r="R33" s="109">
        <v>8</v>
      </c>
      <c r="S33" s="109">
        <v>1</v>
      </c>
      <c r="T33" s="109">
        <v>2</v>
      </c>
      <c r="U33" s="109">
        <v>12</v>
      </c>
      <c r="V33" s="109">
        <v>14</v>
      </c>
      <c r="W33" s="109"/>
      <c r="X33" s="109"/>
      <c r="Y33" s="109"/>
      <c r="Z33" s="111"/>
      <c r="AA33" s="111"/>
      <c r="AB33" s="111"/>
      <c r="AC33" s="243">
        <f>SUM(D34:AB34)</f>
        <v>60.099999999999994</v>
      </c>
      <c r="AE33" s="55" t="s">
        <v>51</v>
      </c>
      <c r="AF33" s="61">
        <f>COUNTA(STUD!B2:B29)</f>
        <v>10</v>
      </c>
      <c r="AG33" s="55" t="s">
        <v>16</v>
      </c>
      <c r="AH33" s="56">
        <f>(AF33-1)*10000</f>
        <v>90000</v>
      </c>
    </row>
    <row r="34" spans="1:34" ht="15.75" customHeight="1" x14ac:dyDescent="0.4">
      <c r="A34" s="242"/>
      <c r="B34" s="253"/>
      <c r="C34" s="245"/>
      <c r="D34" s="138">
        <f t="shared" ref="D34:AB34" si="22">IF(IFERROR(IF(VLOOKUP(D33,D$151:D$155,1,0)&gt;=1,D$150,0),D33)=D$132,D$136,IF(IFERROR(IF(VLOOKUP(D33,D$151:D$155,1,0)&gt;=1,D$150,0),D33)=D$139,D$142,IF(IFERROR(IF(VLOOKUP(D33,D$151:D$155,1,0)&gt;=1,D$150,0),D33)=D$145,D$147,0)))</f>
        <v>0</v>
      </c>
      <c r="E34" s="138">
        <f t="shared" si="22"/>
        <v>3.2</v>
      </c>
      <c r="F34" s="138">
        <f t="shared" si="22"/>
        <v>11.399999999999999</v>
      </c>
      <c r="G34" s="138">
        <f t="shared" si="22"/>
        <v>0</v>
      </c>
      <c r="H34" s="138">
        <f t="shared" si="22"/>
        <v>23.2</v>
      </c>
      <c r="I34" s="138">
        <f t="shared" si="22"/>
        <v>0</v>
      </c>
      <c r="J34" s="138">
        <f t="shared" si="22"/>
        <v>0</v>
      </c>
      <c r="K34" s="138">
        <f t="shared" si="22"/>
        <v>0</v>
      </c>
      <c r="L34" s="138">
        <f t="shared" si="22"/>
        <v>4.5</v>
      </c>
      <c r="M34" s="138">
        <f t="shared" si="22"/>
        <v>0</v>
      </c>
      <c r="N34" s="138">
        <f t="shared" si="22"/>
        <v>1.8</v>
      </c>
      <c r="O34" s="138">
        <f t="shared" si="22"/>
        <v>0</v>
      </c>
      <c r="P34" s="138">
        <f t="shared" si="22"/>
        <v>0</v>
      </c>
      <c r="Q34" s="138">
        <f t="shared" si="22"/>
        <v>0</v>
      </c>
      <c r="R34" s="138">
        <f t="shared" si="22"/>
        <v>8.4</v>
      </c>
      <c r="S34" s="138">
        <f t="shared" si="22"/>
        <v>7.6</v>
      </c>
      <c r="T34" s="138">
        <f t="shared" si="22"/>
        <v>0</v>
      </c>
      <c r="U34" s="138">
        <f t="shared" si="22"/>
        <v>0</v>
      </c>
      <c r="V34" s="138">
        <f t="shared" si="22"/>
        <v>0</v>
      </c>
      <c r="W34" s="138">
        <f t="shared" si="22"/>
        <v>0</v>
      </c>
      <c r="X34" s="138">
        <f t="shared" si="22"/>
        <v>0</v>
      </c>
      <c r="Y34" s="127">
        <f t="shared" si="22"/>
        <v>0</v>
      </c>
      <c r="Z34" s="127">
        <f t="shared" si="22"/>
        <v>0</v>
      </c>
      <c r="AA34" s="127">
        <f t="shared" si="22"/>
        <v>0</v>
      </c>
      <c r="AB34" s="127">
        <f t="shared" si="22"/>
        <v>0</v>
      </c>
      <c r="AC34" s="243"/>
      <c r="AE34" s="58" t="s">
        <v>38</v>
      </c>
      <c r="AF34" s="58"/>
      <c r="AG34" s="59">
        <f>($AH$33-$AG$36)*80%</f>
        <v>64800</v>
      </c>
      <c r="AH34" s="59"/>
    </row>
    <row r="35" spans="1:34" ht="15.75" hidden="1" customHeight="1" x14ac:dyDescent="0.4">
      <c r="A35" s="252">
        <f>+A33+1</f>
        <v>16</v>
      </c>
      <c r="B35" s="253">
        <f>+STUD!B17</f>
        <v>0</v>
      </c>
      <c r="C35" s="244">
        <f>SUM(D36:AB36)</f>
        <v>0</v>
      </c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11"/>
      <c r="AA35" s="111"/>
      <c r="AB35" s="111"/>
      <c r="AC35" s="243">
        <f>SUM(D36:AB36)</f>
        <v>0</v>
      </c>
      <c r="AE35" s="58" t="s">
        <v>39</v>
      </c>
      <c r="AF35" s="58"/>
      <c r="AG35" s="59">
        <f>($AH$33-$AG$36)*20%</f>
        <v>16200</v>
      </c>
      <c r="AH35" s="59"/>
    </row>
    <row r="36" spans="1:34" ht="15.75" hidden="1" customHeight="1" x14ac:dyDescent="0.4">
      <c r="A36" s="242"/>
      <c r="B36" s="253"/>
      <c r="C36" s="245"/>
      <c r="D36" s="127">
        <f t="shared" ref="D36:AB36" si="23">IF(IFERROR(IF(VLOOKUP(D35,D$151:D$155,1,0)&gt;=1,D$150,0),D35)=D$132,D$136,IF(IFERROR(IF(VLOOKUP(D35,D$151:D$155,1,0)&gt;=1,D$150,0),D35)=D$139,D$142,IF(IFERROR(IF(VLOOKUP(D35,D$151:D$155,1,0)&gt;=1,D$150,0),D35)=D$145,D$147,0)))</f>
        <v>0</v>
      </c>
      <c r="E36" s="127">
        <f t="shared" si="23"/>
        <v>0</v>
      </c>
      <c r="F36" s="127">
        <f t="shared" si="23"/>
        <v>0</v>
      </c>
      <c r="G36" s="127">
        <f t="shared" si="23"/>
        <v>0</v>
      </c>
      <c r="H36" s="127">
        <f t="shared" si="23"/>
        <v>0</v>
      </c>
      <c r="I36" s="127">
        <f t="shared" si="23"/>
        <v>0</v>
      </c>
      <c r="J36" s="127">
        <f t="shared" si="23"/>
        <v>0</v>
      </c>
      <c r="K36" s="127">
        <f t="shared" si="23"/>
        <v>0</v>
      </c>
      <c r="L36" s="127">
        <f t="shared" si="23"/>
        <v>0</v>
      </c>
      <c r="M36" s="127">
        <f t="shared" si="23"/>
        <v>0</v>
      </c>
      <c r="N36" s="127">
        <f t="shared" si="23"/>
        <v>0</v>
      </c>
      <c r="O36" s="127">
        <f t="shared" si="23"/>
        <v>0</v>
      </c>
      <c r="P36" s="127">
        <f t="shared" si="23"/>
        <v>0</v>
      </c>
      <c r="Q36" s="127">
        <f t="shared" si="23"/>
        <v>0</v>
      </c>
      <c r="R36" s="127">
        <f t="shared" si="23"/>
        <v>0</v>
      </c>
      <c r="S36" s="127">
        <f t="shared" si="23"/>
        <v>0</v>
      </c>
      <c r="T36" s="127">
        <f t="shared" si="23"/>
        <v>0</v>
      </c>
      <c r="U36" s="127">
        <f t="shared" si="23"/>
        <v>0</v>
      </c>
      <c r="V36" s="127">
        <f t="shared" si="23"/>
        <v>0</v>
      </c>
      <c r="W36" s="127">
        <f t="shared" si="23"/>
        <v>0</v>
      </c>
      <c r="X36" s="127">
        <f t="shared" si="23"/>
        <v>0</v>
      </c>
      <c r="Y36" s="127">
        <f t="shared" si="23"/>
        <v>0</v>
      </c>
      <c r="Z36" s="127">
        <f t="shared" si="23"/>
        <v>0</v>
      </c>
      <c r="AA36" s="127">
        <f t="shared" si="23"/>
        <v>0</v>
      </c>
      <c r="AB36" s="127">
        <f t="shared" si="23"/>
        <v>0</v>
      </c>
      <c r="AC36" s="243"/>
      <c r="AE36" s="58" t="s">
        <v>40</v>
      </c>
      <c r="AF36" s="58"/>
      <c r="AG36" s="60">
        <f>(AH33*10%)</f>
        <v>9000</v>
      </c>
      <c r="AH36" s="60"/>
    </row>
    <row r="37" spans="1:34" ht="15.75" hidden="1" customHeight="1" x14ac:dyDescent="0.4">
      <c r="A37" s="252">
        <f>+A35+1</f>
        <v>17</v>
      </c>
      <c r="B37" s="253">
        <f>+STUD!B18</f>
        <v>0</v>
      </c>
      <c r="C37" s="244">
        <f>SUM(D38:AB38)</f>
        <v>0</v>
      </c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11"/>
      <c r="AA37" s="111"/>
      <c r="AB37" s="111"/>
      <c r="AC37" s="243">
        <f>SUM(D38:AB38)</f>
        <v>0</v>
      </c>
    </row>
    <row r="38" spans="1:34" ht="15.75" hidden="1" customHeight="1" x14ac:dyDescent="0.4">
      <c r="A38" s="242"/>
      <c r="B38" s="253"/>
      <c r="C38" s="245"/>
      <c r="D38" s="127">
        <f t="shared" ref="D38:AB38" si="24">IF(IFERROR(IF(VLOOKUP(D37,D$151:D$155,1,0)&gt;=1,D$150,0),D37)=D$132,D$136,IF(IFERROR(IF(VLOOKUP(D37,D$151:D$155,1,0)&gt;=1,D$150,0),D37)=D$139,D$142,IF(IFERROR(IF(VLOOKUP(D37,D$151:D$155,1,0)&gt;=1,D$150,0),D37)=D$145,D$147,0)))</f>
        <v>0</v>
      </c>
      <c r="E38" s="127">
        <f t="shared" si="24"/>
        <v>0</v>
      </c>
      <c r="F38" s="127">
        <f t="shared" si="24"/>
        <v>0</v>
      </c>
      <c r="G38" s="127">
        <f t="shared" si="24"/>
        <v>0</v>
      </c>
      <c r="H38" s="127">
        <f t="shared" si="24"/>
        <v>0</v>
      </c>
      <c r="I38" s="127">
        <f t="shared" si="24"/>
        <v>0</v>
      </c>
      <c r="J38" s="127">
        <f t="shared" si="24"/>
        <v>0</v>
      </c>
      <c r="K38" s="127">
        <f t="shared" si="24"/>
        <v>0</v>
      </c>
      <c r="L38" s="127">
        <f t="shared" si="24"/>
        <v>0</v>
      </c>
      <c r="M38" s="127">
        <f t="shared" si="24"/>
        <v>0</v>
      </c>
      <c r="N38" s="127">
        <f t="shared" si="24"/>
        <v>0</v>
      </c>
      <c r="O38" s="127">
        <f t="shared" si="24"/>
        <v>0</v>
      </c>
      <c r="P38" s="127">
        <f t="shared" si="24"/>
        <v>0</v>
      </c>
      <c r="Q38" s="127">
        <f t="shared" si="24"/>
        <v>0</v>
      </c>
      <c r="R38" s="127">
        <f t="shared" si="24"/>
        <v>0</v>
      </c>
      <c r="S38" s="127">
        <f t="shared" si="24"/>
        <v>0</v>
      </c>
      <c r="T38" s="127">
        <f t="shared" si="24"/>
        <v>0</v>
      </c>
      <c r="U38" s="127">
        <f t="shared" si="24"/>
        <v>0</v>
      </c>
      <c r="V38" s="127">
        <f t="shared" si="24"/>
        <v>0</v>
      </c>
      <c r="W38" s="127">
        <f t="shared" si="24"/>
        <v>0</v>
      </c>
      <c r="X38" s="127">
        <f t="shared" si="24"/>
        <v>0</v>
      </c>
      <c r="Y38" s="127">
        <f t="shared" si="24"/>
        <v>0</v>
      </c>
      <c r="Z38" s="127">
        <f t="shared" si="24"/>
        <v>0</v>
      </c>
      <c r="AA38" s="127">
        <f t="shared" si="24"/>
        <v>0</v>
      </c>
      <c r="AB38" s="127">
        <f t="shared" si="24"/>
        <v>0</v>
      </c>
      <c r="AC38" s="243"/>
    </row>
    <row r="39" spans="1:34" ht="15.75" hidden="1" customHeight="1" x14ac:dyDescent="0.4">
      <c r="A39" s="252">
        <f>+A37+1</f>
        <v>18</v>
      </c>
      <c r="B39" s="253">
        <f>+STUD!B19</f>
        <v>0</v>
      </c>
      <c r="C39" s="244">
        <f>SUM(D40:AB40)</f>
        <v>0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11"/>
      <c r="Y39" s="111"/>
      <c r="Z39" s="111"/>
      <c r="AA39" s="111"/>
      <c r="AB39" s="111"/>
      <c r="AC39" s="243">
        <f>SUM(D40:AB40)</f>
        <v>0</v>
      </c>
    </row>
    <row r="40" spans="1:34" ht="15.75" hidden="1" customHeight="1" x14ac:dyDescent="0.4">
      <c r="A40" s="242"/>
      <c r="B40" s="253"/>
      <c r="C40" s="245"/>
      <c r="D40" s="127">
        <f t="shared" ref="D40:AB40" si="25">IF(IFERROR(IF(VLOOKUP(D39,D$151:D$155,1,0)&gt;=1,D$150,0),D39)=D$132,D$136,IF(IFERROR(IF(VLOOKUP(D39,D$151:D$155,1,0)&gt;=1,D$150,0),D39)=D$139,D$142,IF(IFERROR(IF(VLOOKUP(D39,D$151:D$155,1,0)&gt;=1,D$150,0),D39)=D$145,D$147,0)))</f>
        <v>0</v>
      </c>
      <c r="E40" s="127">
        <f t="shared" si="25"/>
        <v>0</v>
      </c>
      <c r="F40" s="127">
        <f t="shared" si="25"/>
        <v>0</v>
      </c>
      <c r="G40" s="127">
        <f t="shared" si="25"/>
        <v>0</v>
      </c>
      <c r="H40" s="127">
        <f t="shared" si="25"/>
        <v>0</v>
      </c>
      <c r="I40" s="127">
        <f t="shared" si="25"/>
        <v>0</v>
      </c>
      <c r="J40" s="127">
        <f t="shared" si="25"/>
        <v>0</v>
      </c>
      <c r="K40" s="127">
        <f t="shared" si="25"/>
        <v>0</v>
      </c>
      <c r="L40" s="127">
        <f t="shared" si="25"/>
        <v>0</v>
      </c>
      <c r="M40" s="127">
        <f t="shared" si="25"/>
        <v>0</v>
      </c>
      <c r="N40" s="127">
        <f t="shared" si="25"/>
        <v>0</v>
      </c>
      <c r="O40" s="127">
        <f t="shared" si="25"/>
        <v>0</v>
      </c>
      <c r="P40" s="127">
        <f t="shared" si="25"/>
        <v>0</v>
      </c>
      <c r="Q40" s="127">
        <f t="shared" si="25"/>
        <v>0</v>
      </c>
      <c r="R40" s="127">
        <f t="shared" si="25"/>
        <v>0</v>
      </c>
      <c r="S40" s="127">
        <f t="shared" si="25"/>
        <v>0</v>
      </c>
      <c r="T40" s="127">
        <f t="shared" si="25"/>
        <v>0</v>
      </c>
      <c r="U40" s="127">
        <f t="shared" si="25"/>
        <v>0</v>
      </c>
      <c r="V40" s="127">
        <f t="shared" si="25"/>
        <v>0</v>
      </c>
      <c r="W40" s="127">
        <f t="shared" si="25"/>
        <v>0</v>
      </c>
      <c r="X40" s="127">
        <f t="shared" si="25"/>
        <v>0</v>
      </c>
      <c r="Y40" s="127">
        <f t="shared" si="25"/>
        <v>0</v>
      </c>
      <c r="Z40" s="127">
        <f t="shared" si="25"/>
        <v>0</v>
      </c>
      <c r="AA40" s="127">
        <f t="shared" si="25"/>
        <v>0</v>
      </c>
      <c r="AB40" s="127">
        <f t="shared" si="25"/>
        <v>0</v>
      </c>
      <c r="AC40" s="243"/>
    </row>
    <row r="41" spans="1:34" ht="15.75" hidden="1" customHeight="1" x14ac:dyDescent="0.4">
      <c r="A41" s="252">
        <f>+A39+1</f>
        <v>19</v>
      </c>
      <c r="B41" s="253">
        <f>+STUD!B20</f>
        <v>0</v>
      </c>
      <c r="C41" s="244">
        <f>SUM(D42:AB42)</f>
        <v>0</v>
      </c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11"/>
      <c r="Y41" s="111"/>
      <c r="Z41" s="111"/>
      <c r="AA41" s="111"/>
      <c r="AB41" s="111"/>
      <c r="AC41" s="243">
        <f>SUM(D42:AB42)</f>
        <v>0</v>
      </c>
    </row>
    <row r="42" spans="1:34" ht="15.75" hidden="1" customHeight="1" x14ac:dyDescent="0.4">
      <c r="A42" s="242"/>
      <c r="B42" s="253"/>
      <c r="C42" s="245"/>
      <c r="D42" s="127">
        <f t="shared" ref="D42:AB42" si="26">IF(IFERROR(IF(VLOOKUP(D41,D$151:D$155,1,0)&gt;=1,D$150,0),D41)=D$132,D$136,IF(IFERROR(IF(VLOOKUP(D41,D$151:D$155,1,0)&gt;=1,D$150,0),D41)=D$139,D$142,IF(IFERROR(IF(VLOOKUP(D41,D$151:D$155,1,0)&gt;=1,D$150,0),D41)=D$145,D$147,0)))</f>
        <v>0</v>
      </c>
      <c r="E42" s="127">
        <f t="shared" si="26"/>
        <v>0</v>
      </c>
      <c r="F42" s="127">
        <f t="shared" si="26"/>
        <v>0</v>
      </c>
      <c r="G42" s="127">
        <f t="shared" si="26"/>
        <v>0</v>
      </c>
      <c r="H42" s="127">
        <f t="shared" si="26"/>
        <v>0</v>
      </c>
      <c r="I42" s="127">
        <f t="shared" si="26"/>
        <v>0</v>
      </c>
      <c r="J42" s="127">
        <f t="shared" si="26"/>
        <v>0</v>
      </c>
      <c r="K42" s="127">
        <f t="shared" si="26"/>
        <v>0</v>
      </c>
      <c r="L42" s="127">
        <f t="shared" si="26"/>
        <v>0</v>
      </c>
      <c r="M42" s="127">
        <f t="shared" si="26"/>
        <v>0</v>
      </c>
      <c r="N42" s="127">
        <f t="shared" si="26"/>
        <v>0</v>
      </c>
      <c r="O42" s="127">
        <f t="shared" si="26"/>
        <v>0</v>
      </c>
      <c r="P42" s="127">
        <f t="shared" si="26"/>
        <v>0</v>
      </c>
      <c r="Q42" s="127">
        <f t="shared" si="26"/>
        <v>0</v>
      </c>
      <c r="R42" s="127">
        <f t="shared" si="26"/>
        <v>0</v>
      </c>
      <c r="S42" s="127">
        <f t="shared" si="26"/>
        <v>0</v>
      </c>
      <c r="T42" s="127">
        <f t="shared" si="26"/>
        <v>0</v>
      </c>
      <c r="U42" s="127">
        <f t="shared" si="26"/>
        <v>0</v>
      </c>
      <c r="V42" s="127">
        <f t="shared" si="26"/>
        <v>0</v>
      </c>
      <c r="W42" s="127">
        <f t="shared" si="26"/>
        <v>0</v>
      </c>
      <c r="X42" s="127">
        <f t="shared" si="26"/>
        <v>0</v>
      </c>
      <c r="Y42" s="127">
        <f t="shared" si="26"/>
        <v>0</v>
      </c>
      <c r="Z42" s="127">
        <f t="shared" si="26"/>
        <v>0</v>
      </c>
      <c r="AA42" s="127">
        <f t="shared" si="26"/>
        <v>0</v>
      </c>
      <c r="AB42" s="127">
        <f t="shared" si="26"/>
        <v>0</v>
      </c>
      <c r="AC42" s="243"/>
    </row>
    <row r="43" spans="1:34" ht="15.75" hidden="1" customHeight="1" x14ac:dyDescent="0.4">
      <c r="A43" s="252">
        <f>+A41+1</f>
        <v>20</v>
      </c>
      <c r="B43" s="253">
        <f>+STUD!B21</f>
        <v>0</v>
      </c>
      <c r="C43" s="244">
        <f>SUM(D44:AB44)</f>
        <v>0</v>
      </c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11"/>
      <c r="Y43" s="111"/>
      <c r="Z43" s="111"/>
      <c r="AA43" s="111"/>
      <c r="AB43" s="111"/>
      <c r="AC43" s="243">
        <f>SUM(D44:AB44)</f>
        <v>0</v>
      </c>
    </row>
    <row r="44" spans="1:34" ht="15.75" hidden="1" customHeight="1" x14ac:dyDescent="0.4">
      <c r="A44" s="242"/>
      <c r="B44" s="253"/>
      <c r="C44" s="245"/>
      <c r="D44" s="127">
        <f t="shared" ref="D44:AB44" si="27">IF(IFERROR(IF(VLOOKUP(D43,D$151:D$155,1,0)&gt;=1,D$150,0),D43)=D$132,D$136,IF(IFERROR(IF(VLOOKUP(D43,D$151:D$155,1,0)&gt;=1,D$150,0),D43)=D$139,D$142,IF(IFERROR(IF(VLOOKUP(D43,D$151:D$155,1,0)&gt;=1,D$150,0),D43)=D$145,D$147,0)))</f>
        <v>0</v>
      </c>
      <c r="E44" s="127">
        <f t="shared" si="27"/>
        <v>0</v>
      </c>
      <c r="F44" s="127">
        <f t="shared" si="27"/>
        <v>0</v>
      </c>
      <c r="G44" s="127">
        <f t="shared" si="27"/>
        <v>0</v>
      </c>
      <c r="H44" s="127">
        <f t="shared" si="27"/>
        <v>0</v>
      </c>
      <c r="I44" s="127">
        <f t="shared" si="27"/>
        <v>0</v>
      </c>
      <c r="J44" s="127">
        <f t="shared" si="27"/>
        <v>0</v>
      </c>
      <c r="K44" s="127">
        <f t="shared" si="27"/>
        <v>0</v>
      </c>
      <c r="L44" s="127">
        <f t="shared" si="27"/>
        <v>0</v>
      </c>
      <c r="M44" s="127">
        <f t="shared" si="27"/>
        <v>0</v>
      </c>
      <c r="N44" s="127">
        <f t="shared" si="27"/>
        <v>0</v>
      </c>
      <c r="O44" s="127">
        <f t="shared" si="27"/>
        <v>0</v>
      </c>
      <c r="P44" s="127">
        <f t="shared" si="27"/>
        <v>0</v>
      </c>
      <c r="Q44" s="127">
        <f t="shared" si="27"/>
        <v>0</v>
      </c>
      <c r="R44" s="127">
        <f t="shared" si="27"/>
        <v>0</v>
      </c>
      <c r="S44" s="127">
        <f t="shared" si="27"/>
        <v>0</v>
      </c>
      <c r="T44" s="127">
        <f t="shared" si="27"/>
        <v>0</v>
      </c>
      <c r="U44" s="127">
        <f t="shared" si="27"/>
        <v>0</v>
      </c>
      <c r="V44" s="127">
        <f t="shared" si="27"/>
        <v>0</v>
      </c>
      <c r="W44" s="127">
        <f t="shared" si="27"/>
        <v>0</v>
      </c>
      <c r="X44" s="127">
        <f t="shared" si="27"/>
        <v>0</v>
      </c>
      <c r="Y44" s="127">
        <f t="shared" si="27"/>
        <v>0</v>
      </c>
      <c r="Z44" s="127">
        <f t="shared" si="27"/>
        <v>0</v>
      </c>
      <c r="AA44" s="127">
        <f t="shared" si="27"/>
        <v>0</v>
      </c>
      <c r="AB44" s="127">
        <f t="shared" si="27"/>
        <v>0</v>
      </c>
      <c r="AC44" s="243"/>
    </row>
    <row r="45" spans="1:34" ht="15.75" hidden="1" customHeight="1" x14ac:dyDescent="0.4">
      <c r="A45" s="252">
        <f>+A43+1</f>
        <v>21</v>
      </c>
      <c r="B45" s="253">
        <f>+STUD!B22</f>
        <v>0</v>
      </c>
      <c r="C45" s="244">
        <f>SUM(D46:AB46)</f>
        <v>0</v>
      </c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11"/>
      <c r="Y45" s="111"/>
      <c r="Z45" s="111"/>
      <c r="AA45" s="111"/>
      <c r="AB45" s="111"/>
      <c r="AC45" s="243">
        <f>SUM(D46:AB46)</f>
        <v>0</v>
      </c>
    </row>
    <row r="46" spans="1:34" ht="15.75" hidden="1" customHeight="1" x14ac:dyDescent="0.4">
      <c r="A46" s="242"/>
      <c r="B46" s="253"/>
      <c r="C46" s="245"/>
      <c r="D46" s="127">
        <f t="shared" ref="D46:AB46" si="28">IF(IFERROR(IF(VLOOKUP(D45,D$151:D$155,1,0)&gt;=1,D$150,0),D45)=D$132,D$136,IF(IFERROR(IF(VLOOKUP(D45,D$151:D$155,1,0)&gt;=1,D$150,0),D45)=D$139,D$142,IF(IFERROR(IF(VLOOKUP(D45,D$151:D$155,1,0)&gt;=1,D$150,0),D45)=D$145,D$147,0)))</f>
        <v>0</v>
      </c>
      <c r="E46" s="127">
        <f t="shared" si="28"/>
        <v>0</v>
      </c>
      <c r="F46" s="127">
        <f t="shared" si="28"/>
        <v>0</v>
      </c>
      <c r="G46" s="127">
        <f t="shared" si="28"/>
        <v>0</v>
      </c>
      <c r="H46" s="127">
        <f t="shared" si="28"/>
        <v>0</v>
      </c>
      <c r="I46" s="127">
        <f t="shared" si="28"/>
        <v>0</v>
      </c>
      <c r="J46" s="127">
        <f t="shared" si="28"/>
        <v>0</v>
      </c>
      <c r="K46" s="127">
        <f t="shared" si="28"/>
        <v>0</v>
      </c>
      <c r="L46" s="127">
        <f t="shared" si="28"/>
        <v>0</v>
      </c>
      <c r="M46" s="127">
        <f t="shared" si="28"/>
        <v>0</v>
      </c>
      <c r="N46" s="127">
        <f t="shared" si="28"/>
        <v>0</v>
      </c>
      <c r="O46" s="127">
        <f t="shared" si="28"/>
        <v>0</v>
      </c>
      <c r="P46" s="127">
        <f t="shared" si="28"/>
        <v>0</v>
      </c>
      <c r="Q46" s="127">
        <f t="shared" si="28"/>
        <v>0</v>
      </c>
      <c r="R46" s="127">
        <f t="shared" si="28"/>
        <v>0</v>
      </c>
      <c r="S46" s="127">
        <f t="shared" si="28"/>
        <v>0</v>
      </c>
      <c r="T46" s="127">
        <f t="shared" si="28"/>
        <v>0</v>
      </c>
      <c r="U46" s="127">
        <f t="shared" si="28"/>
        <v>0</v>
      </c>
      <c r="V46" s="127">
        <f t="shared" si="28"/>
        <v>0</v>
      </c>
      <c r="W46" s="127">
        <f t="shared" si="28"/>
        <v>0</v>
      </c>
      <c r="X46" s="127">
        <f t="shared" si="28"/>
        <v>0</v>
      </c>
      <c r="Y46" s="127">
        <f t="shared" si="28"/>
        <v>0</v>
      </c>
      <c r="Z46" s="127">
        <f t="shared" si="28"/>
        <v>0</v>
      </c>
      <c r="AA46" s="127">
        <f t="shared" si="28"/>
        <v>0</v>
      </c>
      <c r="AB46" s="127">
        <f t="shared" si="28"/>
        <v>0</v>
      </c>
      <c r="AC46" s="243"/>
    </row>
    <row r="47" spans="1:34" ht="15.75" hidden="1" customHeight="1" x14ac:dyDescent="0.4">
      <c r="A47" s="252">
        <f>+A45+1</f>
        <v>22</v>
      </c>
      <c r="B47" s="253">
        <f>+STUD!B23</f>
        <v>0</v>
      </c>
      <c r="C47" s="244">
        <f>SUM(D48:AB48)</f>
        <v>0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11"/>
      <c r="Y47" s="111"/>
      <c r="Z47" s="111"/>
      <c r="AA47" s="111"/>
      <c r="AB47" s="111"/>
      <c r="AC47" s="243">
        <f>SUM(D48:AB48)</f>
        <v>0</v>
      </c>
    </row>
    <row r="48" spans="1:34" ht="15.75" hidden="1" customHeight="1" x14ac:dyDescent="0.4">
      <c r="A48" s="242"/>
      <c r="B48" s="253"/>
      <c r="C48" s="245"/>
      <c r="D48" s="127">
        <f t="shared" ref="D48:AB48" si="29">IF(IFERROR(IF(VLOOKUP(D47,D$151:D$155,1,0)&gt;=1,D$150,0),D47)=D$132,D$136,IF(IFERROR(IF(VLOOKUP(D47,D$151:D$155,1,0)&gt;=1,D$150,0),D47)=D$139,D$142,IF(IFERROR(IF(VLOOKUP(D47,D$151:D$155,1,0)&gt;=1,D$150,0),D47)=D$145,D$147,0)))</f>
        <v>0</v>
      </c>
      <c r="E48" s="127">
        <f t="shared" si="29"/>
        <v>0</v>
      </c>
      <c r="F48" s="127">
        <f t="shared" si="29"/>
        <v>0</v>
      </c>
      <c r="G48" s="127">
        <f t="shared" si="29"/>
        <v>0</v>
      </c>
      <c r="H48" s="127">
        <f t="shared" si="29"/>
        <v>0</v>
      </c>
      <c r="I48" s="127">
        <f t="shared" si="29"/>
        <v>0</v>
      </c>
      <c r="J48" s="127">
        <f t="shared" si="29"/>
        <v>0</v>
      </c>
      <c r="K48" s="127">
        <f t="shared" si="29"/>
        <v>0</v>
      </c>
      <c r="L48" s="127">
        <f t="shared" si="29"/>
        <v>0</v>
      </c>
      <c r="M48" s="127">
        <f t="shared" si="29"/>
        <v>0</v>
      </c>
      <c r="N48" s="127">
        <f t="shared" si="29"/>
        <v>0</v>
      </c>
      <c r="O48" s="127">
        <f t="shared" si="29"/>
        <v>0</v>
      </c>
      <c r="P48" s="127">
        <f t="shared" si="29"/>
        <v>0</v>
      </c>
      <c r="Q48" s="127">
        <f t="shared" si="29"/>
        <v>0</v>
      </c>
      <c r="R48" s="127">
        <f t="shared" si="29"/>
        <v>0</v>
      </c>
      <c r="S48" s="127">
        <f t="shared" si="29"/>
        <v>0</v>
      </c>
      <c r="T48" s="127">
        <f t="shared" si="29"/>
        <v>0</v>
      </c>
      <c r="U48" s="127">
        <f t="shared" si="29"/>
        <v>0</v>
      </c>
      <c r="V48" s="127">
        <f t="shared" si="29"/>
        <v>0</v>
      </c>
      <c r="W48" s="127">
        <f t="shared" si="29"/>
        <v>0</v>
      </c>
      <c r="X48" s="127">
        <f t="shared" si="29"/>
        <v>0</v>
      </c>
      <c r="Y48" s="127">
        <f t="shared" si="29"/>
        <v>0</v>
      </c>
      <c r="Z48" s="127">
        <f t="shared" si="29"/>
        <v>0</v>
      </c>
      <c r="AA48" s="127">
        <f t="shared" si="29"/>
        <v>0</v>
      </c>
      <c r="AB48" s="127">
        <f t="shared" si="29"/>
        <v>0</v>
      </c>
      <c r="AC48" s="243"/>
    </row>
    <row r="49" spans="1:29" ht="15.75" hidden="1" customHeight="1" x14ac:dyDescent="0.4">
      <c r="A49" s="252">
        <f>+A47+1</f>
        <v>23</v>
      </c>
      <c r="B49" s="253">
        <f>+STUD!B24</f>
        <v>0</v>
      </c>
      <c r="C49" s="244">
        <f>SUM(D50:AB50)</f>
        <v>0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11"/>
      <c r="Y49" s="111"/>
      <c r="Z49" s="111"/>
      <c r="AA49" s="111"/>
      <c r="AB49" s="111"/>
      <c r="AC49" s="243">
        <f>SUM(D50:AB50)</f>
        <v>0</v>
      </c>
    </row>
    <row r="50" spans="1:29" ht="15.75" hidden="1" customHeight="1" x14ac:dyDescent="0.4">
      <c r="A50" s="242"/>
      <c r="B50" s="253"/>
      <c r="C50" s="245"/>
      <c r="D50" s="127">
        <f t="shared" ref="D50:AB50" si="30">IF(IFERROR(IF(VLOOKUP(D49,D$151:D$155,1,0)&gt;=1,D$150,0),D49)=D$132,D$136,IF(IFERROR(IF(VLOOKUP(D49,D$151:D$155,1,0)&gt;=1,D$150,0),D49)=D$139,D$142,IF(IFERROR(IF(VLOOKUP(D49,D$151:D$155,1,0)&gt;=1,D$150,0),D49)=D$145,D$147,0)))</f>
        <v>0</v>
      </c>
      <c r="E50" s="127">
        <f t="shared" si="30"/>
        <v>0</v>
      </c>
      <c r="F50" s="127">
        <f t="shared" si="30"/>
        <v>0</v>
      </c>
      <c r="G50" s="127">
        <f t="shared" si="30"/>
        <v>0</v>
      </c>
      <c r="H50" s="127">
        <f t="shared" si="30"/>
        <v>0</v>
      </c>
      <c r="I50" s="127">
        <f t="shared" si="30"/>
        <v>0</v>
      </c>
      <c r="J50" s="127">
        <f t="shared" si="30"/>
        <v>0</v>
      </c>
      <c r="K50" s="127">
        <f t="shared" si="30"/>
        <v>0</v>
      </c>
      <c r="L50" s="127">
        <f t="shared" si="30"/>
        <v>0</v>
      </c>
      <c r="M50" s="127">
        <f t="shared" si="30"/>
        <v>0</v>
      </c>
      <c r="N50" s="127">
        <f t="shared" si="30"/>
        <v>0</v>
      </c>
      <c r="O50" s="127">
        <f t="shared" si="30"/>
        <v>0</v>
      </c>
      <c r="P50" s="127">
        <f t="shared" si="30"/>
        <v>0</v>
      </c>
      <c r="Q50" s="127">
        <f t="shared" si="30"/>
        <v>0</v>
      </c>
      <c r="R50" s="127">
        <f t="shared" si="30"/>
        <v>0</v>
      </c>
      <c r="S50" s="127">
        <f t="shared" si="30"/>
        <v>0</v>
      </c>
      <c r="T50" s="127">
        <f t="shared" si="30"/>
        <v>0</v>
      </c>
      <c r="U50" s="127">
        <f t="shared" si="30"/>
        <v>0</v>
      </c>
      <c r="V50" s="127">
        <f t="shared" si="30"/>
        <v>0</v>
      </c>
      <c r="W50" s="127">
        <f t="shared" si="30"/>
        <v>0</v>
      </c>
      <c r="X50" s="127">
        <f t="shared" si="30"/>
        <v>0</v>
      </c>
      <c r="Y50" s="127">
        <f t="shared" si="30"/>
        <v>0</v>
      </c>
      <c r="Z50" s="127">
        <f t="shared" si="30"/>
        <v>0</v>
      </c>
      <c r="AA50" s="127">
        <f t="shared" si="30"/>
        <v>0</v>
      </c>
      <c r="AB50" s="127">
        <f t="shared" si="30"/>
        <v>0</v>
      </c>
      <c r="AC50" s="243"/>
    </row>
    <row r="51" spans="1:29" ht="15.75" hidden="1" customHeight="1" x14ac:dyDescent="0.4">
      <c r="A51" s="252">
        <f>+A49+1</f>
        <v>24</v>
      </c>
      <c r="B51" s="253">
        <f>+STUD!B25</f>
        <v>0</v>
      </c>
      <c r="C51" s="244">
        <f>SUM(D52:AB52)</f>
        <v>0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11"/>
      <c r="Y51" s="111"/>
      <c r="Z51" s="111"/>
      <c r="AA51" s="111"/>
      <c r="AB51" s="111"/>
      <c r="AC51" s="243">
        <f>SUM(D52:AB52)</f>
        <v>0</v>
      </c>
    </row>
    <row r="52" spans="1:29" ht="15.75" hidden="1" customHeight="1" x14ac:dyDescent="0.4">
      <c r="A52" s="242"/>
      <c r="B52" s="253"/>
      <c r="C52" s="245"/>
      <c r="D52" s="127">
        <f t="shared" ref="D52:AB52" si="31">IF(IFERROR(IF(VLOOKUP(D51,D$151:D$155,1,0)&gt;=1,D$150,0),D51)=D$132,D$136,IF(IFERROR(IF(VLOOKUP(D51,D$151:D$155,1,0)&gt;=1,D$150,0),D51)=D$139,D$142,IF(IFERROR(IF(VLOOKUP(D51,D$151:D$155,1,0)&gt;=1,D$150,0),D51)=D$145,D$147,0)))</f>
        <v>0</v>
      </c>
      <c r="E52" s="127">
        <f t="shared" si="31"/>
        <v>0</v>
      </c>
      <c r="F52" s="127">
        <f t="shared" si="31"/>
        <v>0</v>
      </c>
      <c r="G52" s="127">
        <f t="shared" si="31"/>
        <v>0</v>
      </c>
      <c r="H52" s="127">
        <f t="shared" si="31"/>
        <v>0</v>
      </c>
      <c r="I52" s="127">
        <f t="shared" si="31"/>
        <v>0</v>
      </c>
      <c r="J52" s="127">
        <f t="shared" si="31"/>
        <v>0</v>
      </c>
      <c r="K52" s="127">
        <f t="shared" si="31"/>
        <v>0</v>
      </c>
      <c r="L52" s="127">
        <f t="shared" si="31"/>
        <v>0</v>
      </c>
      <c r="M52" s="127">
        <f t="shared" si="31"/>
        <v>0</v>
      </c>
      <c r="N52" s="127">
        <f t="shared" si="31"/>
        <v>0</v>
      </c>
      <c r="O52" s="127">
        <f t="shared" si="31"/>
        <v>0</v>
      </c>
      <c r="P52" s="127">
        <f t="shared" si="31"/>
        <v>0</v>
      </c>
      <c r="Q52" s="127">
        <f t="shared" si="31"/>
        <v>0</v>
      </c>
      <c r="R52" s="127">
        <f t="shared" si="31"/>
        <v>0</v>
      </c>
      <c r="S52" s="127">
        <f t="shared" si="31"/>
        <v>0</v>
      </c>
      <c r="T52" s="127">
        <f t="shared" si="31"/>
        <v>0</v>
      </c>
      <c r="U52" s="127">
        <f t="shared" si="31"/>
        <v>0</v>
      </c>
      <c r="V52" s="127">
        <f t="shared" si="31"/>
        <v>0</v>
      </c>
      <c r="W52" s="127">
        <f t="shared" si="31"/>
        <v>0</v>
      </c>
      <c r="X52" s="127">
        <f t="shared" si="31"/>
        <v>0</v>
      </c>
      <c r="Y52" s="127">
        <f t="shared" si="31"/>
        <v>0</v>
      </c>
      <c r="Z52" s="127">
        <f t="shared" si="31"/>
        <v>0</v>
      </c>
      <c r="AA52" s="127">
        <f t="shared" si="31"/>
        <v>0</v>
      </c>
      <c r="AB52" s="127">
        <f t="shared" si="31"/>
        <v>0</v>
      </c>
      <c r="AC52" s="243"/>
    </row>
    <row r="53" spans="1:29" ht="15.75" hidden="1" customHeight="1" x14ac:dyDescent="0.4">
      <c r="A53" s="252">
        <f>+A51+1</f>
        <v>25</v>
      </c>
      <c r="B53" s="253">
        <f>+STUD!B26</f>
        <v>0</v>
      </c>
      <c r="C53" s="244">
        <f>SUM(D54:AB54)</f>
        <v>0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11"/>
      <c r="Y53" s="111"/>
      <c r="Z53" s="111"/>
      <c r="AA53" s="111"/>
      <c r="AB53" s="111"/>
      <c r="AC53" s="243">
        <f>SUM(D54:AB54)</f>
        <v>0</v>
      </c>
    </row>
    <row r="54" spans="1:29" ht="15.75" hidden="1" customHeight="1" x14ac:dyDescent="0.4">
      <c r="A54" s="242"/>
      <c r="B54" s="253"/>
      <c r="C54" s="245"/>
      <c r="D54" s="127">
        <f t="shared" ref="D54:AB54" si="32">IF(IFERROR(IF(VLOOKUP(D53,D$151:D$155,1,0)&gt;=1,D$150,0),D53)=D$132,D$136,IF(IFERROR(IF(VLOOKUP(D53,D$151:D$155,1,0)&gt;=1,D$150,0),D53)=D$139,D$142,IF(IFERROR(IF(VLOOKUP(D53,D$151:D$155,1,0)&gt;=1,D$150,0),D53)=D$145,D$147,0)))</f>
        <v>0</v>
      </c>
      <c r="E54" s="127">
        <f t="shared" si="32"/>
        <v>0</v>
      </c>
      <c r="F54" s="127">
        <f t="shared" si="32"/>
        <v>0</v>
      </c>
      <c r="G54" s="127">
        <f t="shared" si="32"/>
        <v>0</v>
      </c>
      <c r="H54" s="127">
        <f t="shared" si="32"/>
        <v>0</v>
      </c>
      <c r="I54" s="127">
        <f t="shared" si="32"/>
        <v>0</v>
      </c>
      <c r="J54" s="127">
        <f t="shared" si="32"/>
        <v>0</v>
      </c>
      <c r="K54" s="127">
        <f t="shared" si="32"/>
        <v>0</v>
      </c>
      <c r="L54" s="127">
        <f t="shared" si="32"/>
        <v>0</v>
      </c>
      <c r="M54" s="127">
        <f t="shared" si="32"/>
        <v>0</v>
      </c>
      <c r="N54" s="127">
        <f t="shared" si="32"/>
        <v>0</v>
      </c>
      <c r="O54" s="127">
        <f t="shared" si="32"/>
        <v>0</v>
      </c>
      <c r="P54" s="127">
        <f t="shared" si="32"/>
        <v>0</v>
      </c>
      <c r="Q54" s="127">
        <f t="shared" si="32"/>
        <v>0</v>
      </c>
      <c r="R54" s="127">
        <f t="shared" si="32"/>
        <v>0</v>
      </c>
      <c r="S54" s="127">
        <f t="shared" si="32"/>
        <v>0</v>
      </c>
      <c r="T54" s="127">
        <f t="shared" si="32"/>
        <v>0</v>
      </c>
      <c r="U54" s="127">
        <f t="shared" si="32"/>
        <v>0</v>
      </c>
      <c r="V54" s="127">
        <f t="shared" si="32"/>
        <v>0</v>
      </c>
      <c r="W54" s="127">
        <f t="shared" si="32"/>
        <v>0</v>
      </c>
      <c r="X54" s="127">
        <f t="shared" si="32"/>
        <v>0</v>
      </c>
      <c r="Y54" s="127">
        <f t="shared" si="32"/>
        <v>0</v>
      </c>
      <c r="Z54" s="127">
        <f t="shared" si="32"/>
        <v>0</v>
      </c>
      <c r="AA54" s="127">
        <f t="shared" si="32"/>
        <v>0</v>
      </c>
      <c r="AB54" s="127">
        <f t="shared" si="32"/>
        <v>0</v>
      </c>
      <c r="AC54" s="243"/>
    </row>
    <row r="55" spans="1:29" ht="15.75" hidden="1" customHeight="1" x14ac:dyDescent="0.4">
      <c r="A55" s="252">
        <f>+A53+1</f>
        <v>26</v>
      </c>
      <c r="B55" s="253">
        <f>+STUD!B27</f>
        <v>0</v>
      </c>
      <c r="C55" s="244">
        <f>SUM(D56:AB56)</f>
        <v>0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11"/>
      <c r="Y55" s="111"/>
      <c r="Z55" s="111"/>
      <c r="AA55" s="111"/>
      <c r="AB55" s="111"/>
      <c r="AC55" s="243">
        <f>SUM(D56:AB56)</f>
        <v>0</v>
      </c>
    </row>
    <row r="56" spans="1:29" ht="15.75" hidden="1" customHeight="1" x14ac:dyDescent="0.4">
      <c r="A56" s="242"/>
      <c r="B56" s="253"/>
      <c r="C56" s="245"/>
      <c r="D56" s="127">
        <f t="shared" ref="D56:AB56" si="33">IF(IFERROR(IF(VLOOKUP(D55,D$151:D$155,1,0)&gt;=1,D$150,0),D55)=D$132,D$136,IF(IFERROR(IF(VLOOKUP(D55,D$151:D$155,1,0)&gt;=1,D$150,0),D55)=D$139,D$142,IF(IFERROR(IF(VLOOKUP(D55,D$151:D$155,1,0)&gt;=1,D$150,0),D55)=D$145,D$147,0)))</f>
        <v>0</v>
      </c>
      <c r="E56" s="127">
        <f t="shared" si="33"/>
        <v>0</v>
      </c>
      <c r="F56" s="127">
        <f t="shared" si="33"/>
        <v>0</v>
      </c>
      <c r="G56" s="127">
        <f t="shared" si="33"/>
        <v>0</v>
      </c>
      <c r="H56" s="127">
        <f t="shared" si="33"/>
        <v>0</v>
      </c>
      <c r="I56" s="127">
        <f t="shared" si="33"/>
        <v>0</v>
      </c>
      <c r="J56" s="127">
        <f t="shared" si="33"/>
        <v>0</v>
      </c>
      <c r="K56" s="127">
        <f t="shared" si="33"/>
        <v>0</v>
      </c>
      <c r="L56" s="127">
        <f t="shared" si="33"/>
        <v>0</v>
      </c>
      <c r="M56" s="127">
        <f t="shared" si="33"/>
        <v>0</v>
      </c>
      <c r="N56" s="127">
        <f t="shared" si="33"/>
        <v>0</v>
      </c>
      <c r="O56" s="127">
        <f t="shared" si="33"/>
        <v>0</v>
      </c>
      <c r="P56" s="127">
        <f t="shared" si="33"/>
        <v>0</v>
      </c>
      <c r="Q56" s="127">
        <f t="shared" si="33"/>
        <v>0</v>
      </c>
      <c r="R56" s="127">
        <f t="shared" si="33"/>
        <v>0</v>
      </c>
      <c r="S56" s="127">
        <f t="shared" si="33"/>
        <v>0</v>
      </c>
      <c r="T56" s="127">
        <f t="shared" si="33"/>
        <v>0</v>
      </c>
      <c r="U56" s="127">
        <f t="shared" si="33"/>
        <v>0</v>
      </c>
      <c r="V56" s="127">
        <f t="shared" si="33"/>
        <v>0</v>
      </c>
      <c r="W56" s="127">
        <f t="shared" si="33"/>
        <v>0</v>
      </c>
      <c r="X56" s="127">
        <f t="shared" si="33"/>
        <v>0</v>
      </c>
      <c r="Y56" s="127">
        <f t="shared" si="33"/>
        <v>0</v>
      </c>
      <c r="Z56" s="127">
        <f t="shared" si="33"/>
        <v>0</v>
      </c>
      <c r="AA56" s="127">
        <f t="shared" si="33"/>
        <v>0</v>
      </c>
      <c r="AB56" s="127">
        <f t="shared" si="33"/>
        <v>0</v>
      </c>
      <c r="AC56" s="243"/>
    </row>
    <row r="57" spans="1:29" ht="15.75" hidden="1" customHeight="1" x14ac:dyDescent="0.4">
      <c r="A57" s="252">
        <f>+A55+1</f>
        <v>27</v>
      </c>
      <c r="B57" s="253">
        <f>+STUD!B28</f>
        <v>0</v>
      </c>
      <c r="C57" s="244">
        <f>SUM(D58:AB58)</f>
        <v>0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11"/>
      <c r="Y57" s="111"/>
      <c r="Z57" s="111"/>
      <c r="AA57" s="111"/>
      <c r="AB57" s="111"/>
      <c r="AC57" s="243">
        <f>SUM(D58:AB58)</f>
        <v>0</v>
      </c>
    </row>
    <row r="58" spans="1:29" ht="15.75" hidden="1" customHeight="1" x14ac:dyDescent="0.4">
      <c r="A58" s="242"/>
      <c r="B58" s="253"/>
      <c r="C58" s="245"/>
      <c r="D58" s="127">
        <f t="shared" ref="D58:AB58" si="34">IF(IFERROR(IF(VLOOKUP(D57,D$151:D$155,1,0)&gt;=1,D$150,0),D57)=D$132,D$136,IF(IFERROR(IF(VLOOKUP(D57,D$151:D$155,1,0)&gt;=1,D$150,0),D57)=D$139,D$142,IF(IFERROR(IF(VLOOKUP(D57,D$151:D$155,1,0)&gt;=1,D$150,0),D57)=D$145,D$147,0)))</f>
        <v>0</v>
      </c>
      <c r="E58" s="127">
        <f t="shared" si="34"/>
        <v>0</v>
      </c>
      <c r="F58" s="127">
        <f t="shared" si="34"/>
        <v>0</v>
      </c>
      <c r="G58" s="127">
        <f t="shared" si="34"/>
        <v>0</v>
      </c>
      <c r="H58" s="127">
        <f t="shared" si="34"/>
        <v>0</v>
      </c>
      <c r="I58" s="127">
        <f t="shared" si="34"/>
        <v>0</v>
      </c>
      <c r="J58" s="127">
        <f t="shared" si="34"/>
        <v>0</v>
      </c>
      <c r="K58" s="127">
        <f t="shared" si="34"/>
        <v>0</v>
      </c>
      <c r="L58" s="127">
        <f t="shared" si="34"/>
        <v>0</v>
      </c>
      <c r="M58" s="127">
        <f t="shared" si="34"/>
        <v>0</v>
      </c>
      <c r="N58" s="127">
        <f t="shared" si="34"/>
        <v>0</v>
      </c>
      <c r="O58" s="127">
        <f t="shared" si="34"/>
        <v>0</v>
      </c>
      <c r="P58" s="127">
        <f t="shared" si="34"/>
        <v>0</v>
      </c>
      <c r="Q58" s="127">
        <f t="shared" si="34"/>
        <v>0</v>
      </c>
      <c r="R58" s="127">
        <f t="shared" si="34"/>
        <v>0</v>
      </c>
      <c r="S58" s="127">
        <f t="shared" si="34"/>
        <v>0</v>
      </c>
      <c r="T58" s="127">
        <f t="shared" si="34"/>
        <v>0</v>
      </c>
      <c r="U58" s="127">
        <f t="shared" si="34"/>
        <v>0</v>
      </c>
      <c r="V58" s="127">
        <f t="shared" si="34"/>
        <v>0</v>
      </c>
      <c r="W58" s="127">
        <f t="shared" si="34"/>
        <v>0</v>
      </c>
      <c r="X58" s="127">
        <f t="shared" si="34"/>
        <v>0</v>
      </c>
      <c r="Y58" s="127">
        <f t="shared" si="34"/>
        <v>0</v>
      </c>
      <c r="Z58" s="127">
        <f t="shared" si="34"/>
        <v>0</v>
      </c>
      <c r="AA58" s="127">
        <f t="shared" si="34"/>
        <v>0</v>
      </c>
      <c r="AB58" s="127">
        <f t="shared" si="34"/>
        <v>0</v>
      </c>
      <c r="AC58" s="243"/>
    </row>
    <row r="59" spans="1:29" ht="15.75" hidden="1" customHeight="1" x14ac:dyDescent="0.4">
      <c r="A59" s="252">
        <f>+A57+1</f>
        <v>28</v>
      </c>
      <c r="B59" s="253">
        <f>+STUD!B29</f>
        <v>0</v>
      </c>
      <c r="C59" s="244">
        <f>SUM(D60:AB60)</f>
        <v>0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11"/>
      <c r="Y59" s="111"/>
      <c r="Z59" s="111"/>
      <c r="AA59" s="111"/>
      <c r="AB59" s="111"/>
      <c r="AC59" s="243">
        <f>SUM(D60:AB60)</f>
        <v>0</v>
      </c>
    </row>
    <row r="60" spans="1:29" ht="15.75" hidden="1" customHeight="1" x14ac:dyDescent="0.4">
      <c r="A60" s="242"/>
      <c r="B60" s="253"/>
      <c r="C60" s="245"/>
      <c r="D60" s="127">
        <f t="shared" ref="D60:AB60" si="35">IF(IFERROR(IF(VLOOKUP(D59,D$151:D$155,1,0)&gt;=1,D$150,0),D59)=D$132,D$136,IF(IFERROR(IF(VLOOKUP(D59,D$151:D$155,1,0)&gt;=1,D$150,0),D59)=D$139,D$142,IF(IFERROR(IF(VLOOKUP(D59,D$151:D$155,1,0)&gt;=1,D$150,0),D59)=D$145,D$147,0)))</f>
        <v>0</v>
      </c>
      <c r="E60" s="127">
        <f t="shared" si="35"/>
        <v>0</v>
      </c>
      <c r="F60" s="127">
        <f t="shared" si="35"/>
        <v>0</v>
      </c>
      <c r="G60" s="127">
        <f t="shared" si="35"/>
        <v>0</v>
      </c>
      <c r="H60" s="127">
        <f t="shared" si="35"/>
        <v>0</v>
      </c>
      <c r="I60" s="127">
        <f t="shared" si="35"/>
        <v>0</v>
      </c>
      <c r="J60" s="127">
        <f t="shared" si="35"/>
        <v>0</v>
      </c>
      <c r="K60" s="127">
        <f t="shared" si="35"/>
        <v>0</v>
      </c>
      <c r="L60" s="127">
        <f t="shared" si="35"/>
        <v>0</v>
      </c>
      <c r="M60" s="127">
        <f t="shared" si="35"/>
        <v>0</v>
      </c>
      <c r="N60" s="127">
        <f t="shared" si="35"/>
        <v>0</v>
      </c>
      <c r="O60" s="127">
        <f t="shared" si="35"/>
        <v>0</v>
      </c>
      <c r="P60" s="127">
        <f t="shared" si="35"/>
        <v>0</v>
      </c>
      <c r="Q60" s="127">
        <f t="shared" si="35"/>
        <v>0</v>
      </c>
      <c r="R60" s="127">
        <f t="shared" si="35"/>
        <v>0</v>
      </c>
      <c r="S60" s="127">
        <f t="shared" si="35"/>
        <v>0</v>
      </c>
      <c r="T60" s="127">
        <f t="shared" si="35"/>
        <v>0</v>
      </c>
      <c r="U60" s="127">
        <f t="shared" si="35"/>
        <v>0</v>
      </c>
      <c r="V60" s="127">
        <f t="shared" si="35"/>
        <v>0</v>
      </c>
      <c r="W60" s="127">
        <f t="shared" si="35"/>
        <v>0</v>
      </c>
      <c r="X60" s="127">
        <f t="shared" si="35"/>
        <v>0</v>
      </c>
      <c r="Y60" s="127">
        <f t="shared" si="35"/>
        <v>0</v>
      </c>
      <c r="Z60" s="127">
        <f t="shared" si="35"/>
        <v>0</v>
      </c>
      <c r="AA60" s="127">
        <f t="shared" si="35"/>
        <v>0</v>
      </c>
      <c r="AB60" s="127">
        <f t="shared" si="35"/>
        <v>0</v>
      </c>
      <c r="AC60" s="243"/>
    </row>
    <row r="61" spans="1:29" ht="15.75" hidden="1" customHeight="1" x14ac:dyDescent="0.4">
      <c r="A61" s="252">
        <f>+A59+1</f>
        <v>29</v>
      </c>
      <c r="B61" s="253">
        <f>+STUD!B30</f>
        <v>0</v>
      </c>
      <c r="C61" s="244">
        <f>SUM(D62:AB62)</f>
        <v>0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11"/>
      <c r="Y61" s="111"/>
      <c r="Z61" s="111"/>
      <c r="AA61" s="111"/>
      <c r="AB61" s="111"/>
      <c r="AC61" s="243">
        <f>SUM(D62:AB62)</f>
        <v>0</v>
      </c>
    </row>
    <row r="62" spans="1:29" ht="15.75" hidden="1" customHeight="1" x14ac:dyDescent="0.4">
      <c r="A62" s="242"/>
      <c r="B62" s="253"/>
      <c r="C62" s="245"/>
      <c r="D62" s="127">
        <f t="shared" ref="D62:AB62" si="36">IF(IFERROR(IF(VLOOKUP(D61,D$151:D$155,1,0)&gt;=1,D$150,0),D61)=D$132,D$136,IF(IFERROR(IF(VLOOKUP(D61,D$151:D$155,1,0)&gt;=1,D$150,0),D61)=D$139,D$142,IF(IFERROR(IF(VLOOKUP(D61,D$151:D$155,1,0)&gt;=1,D$150,0),D61)=D$145,D$147,0)))</f>
        <v>0</v>
      </c>
      <c r="E62" s="127">
        <f t="shared" si="36"/>
        <v>0</v>
      </c>
      <c r="F62" s="127">
        <f t="shared" si="36"/>
        <v>0</v>
      </c>
      <c r="G62" s="127">
        <f t="shared" si="36"/>
        <v>0</v>
      </c>
      <c r="H62" s="127">
        <f t="shared" si="36"/>
        <v>0</v>
      </c>
      <c r="I62" s="127">
        <f t="shared" si="36"/>
        <v>0</v>
      </c>
      <c r="J62" s="127">
        <f t="shared" si="36"/>
        <v>0</v>
      </c>
      <c r="K62" s="127">
        <f t="shared" si="36"/>
        <v>0</v>
      </c>
      <c r="L62" s="127">
        <f t="shared" si="36"/>
        <v>0</v>
      </c>
      <c r="M62" s="127">
        <f t="shared" si="36"/>
        <v>0</v>
      </c>
      <c r="N62" s="127">
        <f t="shared" si="36"/>
        <v>0</v>
      </c>
      <c r="O62" s="127">
        <f t="shared" si="36"/>
        <v>0</v>
      </c>
      <c r="P62" s="127">
        <f t="shared" si="36"/>
        <v>0</v>
      </c>
      <c r="Q62" s="127">
        <f t="shared" si="36"/>
        <v>0</v>
      </c>
      <c r="R62" s="127">
        <f t="shared" si="36"/>
        <v>0</v>
      </c>
      <c r="S62" s="127">
        <f t="shared" si="36"/>
        <v>0</v>
      </c>
      <c r="T62" s="127">
        <f t="shared" si="36"/>
        <v>0</v>
      </c>
      <c r="U62" s="127">
        <f t="shared" si="36"/>
        <v>0</v>
      </c>
      <c r="V62" s="127">
        <f t="shared" si="36"/>
        <v>0</v>
      </c>
      <c r="W62" s="127">
        <f t="shared" si="36"/>
        <v>0</v>
      </c>
      <c r="X62" s="127">
        <f t="shared" si="36"/>
        <v>0</v>
      </c>
      <c r="Y62" s="127">
        <f t="shared" si="36"/>
        <v>0</v>
      </c>
      <c r="Z62" s="127">
        <f t="shared" si="36"/>
        <v>0</v>
      </c>
      <c r="AA62" s="127">
        <f t="shared" si="36"/>
        <v>0</v>
      </c>
      <c r="AB62" s="127">
        <f t="shared" si="36"/>
        <v>0</v>
      </c>
      <c r="AC62" s="243"/>
    </row>
    <row r="63" spans="1:29" ht="15.75" hidden="1" customHeight="1" x14ac:dyDescent="0.4">
      <c r="A63" s="252">
        <f>+A61+1</f>
        <v>30</v>
      </c>
      <c r="B63" s="253">
        <f>+STUD!B31</f>
        <v>0</v>
      </c>
      <c r="C63" s="244">
        <f>SUM(D64:AB64)</f>
        <v>0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11"/>
      <c r="Y63" s="111"/>
      <c r="Z63" s="111"/>
      <c r="AA63" s="111"/>
      <c r="AB63" s="111"/>
      <c r="AC63" s="243">
        <f>SUM(D64:AB64)</f>
        <v>0</v>
      </c>
    </row>
    <row r="64" spans="1:29" ht="15" hidden="1" customHeight="1" x14ac:dyDescent="0.4">
      <c r="A64" s="242"/>
      <c r="B64" s="253"/>
      <c r="C64" s="245"/>
      <c r="D64" s="127">
        <f t="shared" ref="D64:AB64" si="37">IF(IFERROR(IF(VLOOKUP(D63,D$151:D$155,1,0)&gt;=1,D$150,0),D63)=D$132,D$136,IF(IFERROR(IF(VLOOKUP(D63,D$151:D$155,1,0)&gt;=1,D$150,0),D63)=D$139,D$142,IF(IFERROR(IF(VLOOKUP(D63,D$151:D$155,1,0)&gt;=1,D$150,0),D63)=D$145,D$147,0)))</f>
        <v>0</v>
      </c>
      <c r="E64" s="127">
        <f t="shared" si="37"/>
        <v>0</v>
      </c>
      <c r="F64" s="127">
        <f t="shared" si="37"/>
        <v>0</v>
      </c>
      <c r="G64" s="127">
        <f t="shared" si="37"/>
        <v>0</v>
      </c>
      <c r="H64" s="127">
        <f t="shared" si="37"/>
        <v>0</v>
      </c>
      <c r="I64" s="127">
        <f t="shared" si="37"/>
        <v>0</v>
      </c>
      <c r="J64" s="127">
        <f t="shared" si="37"/>
        <v>0</v>
      </c>
      <c r="K64" s="127">
        <f t="shared" si="37"/>
        <v>0</v>
      </c>
      <c r="L64" s="127">
        <f t="shared" si="37"/>
        <v>0</v>
      </c>
      <c r="M64" s="127">
        <f t="shared" si="37"/>
        <v>0</v>
      </c>
      <c r="N64" s="127">
        <f t="shared" si="37"/>
        <v>0</v>
      </c>
      <c r="O64" s="127">
        <f t="shared" si="37"/>
        <v>0</v>
      </c>
      <c r="P64" s="127">
        <f t="shared" si="37"/>
        <v>0</v>
      </c>
      <c r="Q64" s="127">
        <f t="shared" si="37"/>
        <v>0</v>
      </c>
      <c r="R64" s="127">
        <f t="shared" si="37"/>
        <v>0</v>
      </c>
      <c r="S64" s="127">
        <f t="shared" si="37"/>
        <v>0</v>
      </c>
      <c r="T64" s="127">
        <f t="shared" si="37"/>
        <v>0</v>
      </c>
      <c r="U64" s="127">
        <f t="shared" si="37"/>
        <v>0</v>
      </c>
      <c r="V64" s="127">
        <f t="shared" si="37"/>
        <v>0</v>
      </c>
      <c r="W64" s="127">
        <f t="shared" si="37"/>
        <v>0</v>
      </c>
      <c r="X64" s="127">
        <f t="shared" si="37"/>
        <v>0</v>
      </c>
      <c r="Y64" s="127">
        <f t="shared" si="37"/>
        <v>0</v>
      </c>
      <c r="Z64" s="127">
        <f t="shared" si="37"/>
        <v>0</v>
      </c>
      <c r="AA64" s="127">
        <f t="shared" si="37"/>
        <v>0</v>
      </c>
      <c r="AB64" s="127">
        <f t="shared" si="37"/>
        <v>0</v>
      </c>
      <c r="AC64" s="243"/>
    </row>
    <row r="65" spans="1:40" ht="15.75" hidden="1" customHeight="1" x14ac:dyDescent="0.4">
      <c r="A65" s="252">
        <f>+A63+1</f>
        <v>31</v>
      </c>
      <c r="B65" s="253">
        <f>+STUD!B32</f>
        <v>0</v>
      </c>
      <c r="C65" s="244">
        <f>SUM(D66:AB66)</f>
        <v>0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11"/>
      <c r="Y65" s="111"/>
      <c r="Z65" s="111"/>
      <c r="AA65" s="111"/>
      <c r="AB65" s="111"/>
      <c r="AC65" s="243">
        <f>SUM(D66:AB66)</f>
        <v>0</v>
      </c>
    </row>
    <row r="66" spans="1:40" ht="15.75" hidden="1" customHeight="1" x14ac:dyDescent="0.4">
      <c r="A66" s="242"/>
      <c r="B66" s="253"/>
      <c r="C66" s="245"/>
      <c r="D66" s="127">
        <f t="shared" ref="D66:AB66" si="38">IF(IFERROR(IF(VLOOKUP(D65,D$151:D$155,1,0)&gt;=1,D$150,0),D65)=D$132,D$136,IF(IFERROR(IF(VLOOKUP(D65,D$151:D$155,1,0)&gt;=1,D$150,0),D65)=D$139,D$142,IF(IFERROR(IF(VLOOKUP(D65,D$151:D$155,1,0)&gt;=1,D$150,0),D65)=D$145,D$147,0)))</f>
        <v>0</v>
      </c>
      <c r="E66" s="127">
        <f t="shared" si="38"/>
        <v>0</v>
      </c>
      <c r="F66" s="127">
        <f t="shared" si="38"/>
        <v>0</v>
      </c>
      <c r="G66" s="127">
        <f t="shared" si="38"/>
        <v>0</v>
      </c>
      <c r="H66" s="127">
        <f t="shared" si="38"/>
        <v>0</v>
      </c>
      <c r="I66" s="127">
        <f t="shared" si="38"/>
        <v>0</v>
      </c>
      <c r="J66" s="127">
        <f t="shared" si="38"/>
        <v>0</v>
      </c>
      <c r="K66" s="127">
        <f t="shared" si="38"/>
        <v>0</v>
      </c>
      <c r="L66" s="127">
        <f t="shared" si="38"/>
        <v>0</v>
      </c>
      <c r="M66" s="127">
        <f t="shared" si="38"/>
        <v>0</v>
      </c>
      <c r="N66" s="127">
        <f t="shared" si="38"/>
        <v>0</v>
      </c>
      <c r="O66" s="127">
        <f t="shared" si="38"/>
        <v>0</v>
      </c>
      <c r="P66" s="127">
        <f t="shared" si="38"/>
        <v>0</v>
      </c>
      <c r="Q66" s="127">
        <f t="shared" si="38"/>
        <v>0</v>
      </c>
      <c r="R66" s="127">
        <f t="shared" si="38"/>
        <v>0</v>
      </c>
      <c r="S66" s="127">
        <f t="shared" si="38"/>
        <v>0</v>
      </c>
      <c r="T66" s="127">
        <f t="shared" si="38"/>
        <v>0</v>
      </c>
      <c r="U66" s="127">
        <f t="shared" si="38"/>
        <v>0</v>
      </c>
      <c r="V66" s="127">
        <f t="shared" si="38"/>
        <v>0</v>
      </c>
      <c r="W66" s="127">
        <f t="shared" si="38"/>
        <v>0</v>
      </c>
      <c r="X66" s="127">
        <f t="shared" si="38"/>
        <v>0</v>
      </c>
      <c r="Y66" s="127">
        <f t="shared" si="38"/>
        <v>0</v>
      </c>
      <c r="Z66" s="127">
        <f t="shared" si="38"/>
        <v>0</v>
      </c>
      <c r="AA66" s="127">
        <f t="shared" si="38"/>
        <v>0</v>
      </c>
      <c r="AB66" s="127">
        <f t="shared" si="38"/>
        <v>0</v>
      </c>
      <c r="AC66" s="243"/>
    </row>
    <row r="67" spans="1:40" ht="15.75" hidden="1" customHeight="1" x14ac:dyDescent="0.4">
      <c r="A67" s="252">
        <f>+A65+1</f>
        <v>32</v>
      </c>
      <c r="B67" s="253">
        <f>+STUD!B33</f>
        <v>0</v>
      </c>
      <c r="C67" s="244">
        <f>SUM(D68:AB68)</f>
        <v>0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11"/>
      <c r="Y67" s="111"/>
      <c r="Z67" s="111"/>
      <c r="AA67" s="111"/>
      <c r="AB67" s="111"/>
      <c r="AC67" s="243">
        <f>SUM(D68:AB68)</f>
        <v>0</v>
      </c>
    </row>
    <row r="68" spans="1:40" ht="15.75" hidden="1" customHeight="1" x14ac:dyDescent="0.4">
      <c r="A68" s="242"/>
      <c r="B68" s="253"/>
      <c r="C68" s="245"/>
      <c r="D68" s="127">
        <f t="shared" ref="D68:AB68" si="39">IF(IFERROR(IF(VLOOKUP(D67,D$151:D$155,1,0)&gt;=1,D$150,0),D67)=D$132,D$136,IF(IFERROR(IF(VLOOKUP(D67,D$151:D$155,1,0)&gt;=1,D$150,0),D67)=D$139,D$142,IF(IFERROR(IF(VLOOKUP(D67,D$151:D$155,1,0)&gt;=1,D$150,0),D67)=D$145,D$147,0)))</f>
        <v>0</v>
      </c>
      <c r="E68" s="127">
        <f t="shared" si="39"/>
        <v>0</v>
      </c>
      <c r="F68" s="127">
        <f t="shared" si="39"/>
        <v>0</v>
      </c>
      <c r="G68" s="127">
        <f t="shared" si="39"/>
        <v>0</v>
      </c>
      <c r="H68" s="127">
        <f t="shared" si="39"/>
        <v>0</v>
      </c>
      <c r="I68" s="127">
        <f t="shared" si="39"/>
        <v>0</v>
      </c>
      <c r="J68" s="127">
        <f t="shared" si="39"/>
        <v>0</v>
      </c>
      <c r="K68" s="127">
        <f t="shared" si="39"/>
        <v>0</v>
      </c>
      <c r="L68" s="127">
        <f t="shared" si="39"/>
        <v>0</v>
      </c>
      <c r="M68" s="127">
        <f t="shared" si="39"/>
        <v>0</v>
      </c>
      <c r="N68" s="127">
        <f t="shared" si="39"/>
        <v>0</v>
      </c>
      <c r="O68" s="127">
        <f t="shared" si="39"/>
        <v>0</v>
      </c>
      <c r="P68" s="127">
        <f t="shared" si="39"/>
        <v>0</v>
      </c>
      <c r="Q68" s="127">
        <f t="shared" si="39"/>
        <v>0</v>
      </c>
      <c r="R68" s="127">
        <f t="shared" si="39"/>
        <v>0</v>
      </c>
      <c r="S68" s="127">
        <f t="shared" si="39"/>
        <v>0</v>
      </c>
      <c r="T68" s="127">
        <f t="shared" si="39"/>
        <v>0</v>
      </c>
      <c r="U68" s="127">
        <f t="shared" si="39"/>
        <v>0</v>
      </c>
      <c r="V68" s="127">
        <f t="shared" si="39"/>
        <v>0</v>
      </c>
      <c r="W68" s="127">
        <f t="shared" si="39"/>
        <v>0</v>
      </c>
      <c r="X68" s="127">
        <f t="shared" si="39"/>
        <v>0</v>
      </c>
      <c r="Y68" s="127">
        <f t="shared" si="39"/>
        <v>0</v>
      </c>
      <c r="Z68" s="127">
        <f t="shared" si="39"/>
        <v>0</v>
      </c>
      <c r="AA68" s="127">
        <f t="shared" si="39"/>
        <v>0</v>
      </c>
      <c r="AB68" s="127">
        <f t="shared" si="39"/>
        <v>0</v>
      </c>
      <c r="AC68" s="243"/>
    </row>
    <row r="69" spans="1:40" ht="15.75" customHeight="1" x14ac:dyDescent="0.4">
      <c r="A69" s="272" t="s">
        <v>20</v>
      </c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273"/>
      <c r="P69" s="273"/>
      <c r="Q69" s="273"/>
      <c r="R69" s="273"/>
      <c r="S69" s="273"/>
      <c r="T69" s="273"/>
      <c r="U69" s="273"/>
      <c r="V69" s="273"/>
      <c r="W69" s="273"/>
      <c r="X69" s="273"/>
      <c r="Y69" s="273"/>
      <c r="Z69" s="273"/>
      <c r="AA69" s="273"/>
      <c r="AB69" s="273"/>
      <c r="AC69" s="274"/>
    </row>
    <row r="70" spans="1:40" ht="15.75" customHeight="1" x14ac:dyDescent="0.4">
      <c r="A70" s="275"/>
      <c r="B70" s="276"/>
      <c r="C70" s="276"/>
      <c r="D70" s="276"/>
      <c r="E70" s="276"/>
      <c r="F70" s="276"/>
      <c r="G70" s="276"/>
      <c r="H70" s="276"/>
      <c r="I70" s="276"/>
      <c r="J70" s="276"/>
      <c r="K70" s="276"/>
      <c r="L70" s="276"/>
      <c r="M70" s="276"/>
      <c r="N70" s="276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7"/>
    </row>
    <row r="71" spans="1:40" ht="15.75" customHeight="1" x14ac:dyDescent="0.4">
      <c r="A71" s="278"/>
      <c r="B71" s="279"/>
      <c r="C71" s="279"/>
      <c r="D71" s="279"/>
      <c r="E71" s="279"/>
      <c r="F71" s="279"/>
      <c r="G71" s="279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  <c r="Z71" s="279"/>
      <c r="AA71" s="279"/>
      <c r="AB71" s="279"/>
      <c r="AC71" s="280"/>
    </row>
    <row r="72" spans="1:40" ht="15.75" customHeight="1" x14ac:dyDescent="0.5">
      <c r="A72" s="116" t="s">
        <v>0</v>
      </c>
      <c r="B72" s="116" t="s">
        <v>14</v>
      </c>
      <c r="C72" s="116" t="s">
        <v>19</v>
      </c>
      <c r="D72" s="116">
        <v>1</v>
      </c>
      <c r="E72" s="116">
        <v>2</v>
      </c>
      <c r="F72" s="116">
        <v>3</v>
      </c>
      <c r="G72" s="116">
        <v>4</v>
      </c>
      <c r="H72" s="116">
        <v>5</v>
      </c>
      <c r="I72" s="116">
        <v>6</v>
      </c>
      <c r="J72" s="116">
        <v>7</v>
      </c>
      <c r="K72" s="116">
        <v>8</v>
      </c>
      <c r="L72" s="116">
        <v>9</v>
      </c>
      <c r="M72" s="116">
        <v>10</v>
      </c>
      <c r="N72" s="116">
        <v>11</v>
      </c>
      <c r="O72" s="116">
        <v>12</v>
      </c>
      <c r="P72" s="116">
        <v>13</v>
      </c>
      <c r="Q72" s="116">
        <v>14</v>
      </c>
      <c r="R72" s="116">
        <v>15</v>
      </c>
      <c r="S72" s="116">
        <v>16</v>
      </c>
      <c r="T72" s="116">
        <v>17</v>
      </c>
      <c r="U72" s="116">
        <v>18</v>
      </c>
      <c r="V72" s="116">
        <v>19</v>
      </c>
      <c r="W72" s="116">
        <v>20</v>
      </c>
      <c r="X72" s="116">
        <v>21</v>
      </c>
      <c r="Y72" s="116">
        <v>22</v>
      </c>
      <c r="Z72" s="116">
        <v>23</v>
      </c>
      <c r="AA72" s="116">
        <v>24</v>
      </c>
      <c r="AB72" s="116">
        <v>25</v>
      </c>
      <c r="AC72" s="16" t="s">
        <v>19</v>
      </c>
      <c r="AE72" s="271" t="s">
        <v>429</v>
      </c>
      <c r="AF72" s="265"/>
      <c r="AG72" s="265"/>
      <c r="AH72" s="266"/>
      <c r="AI72" s="52">
        <v>9</v>
      </c>
      <c r="AJ72" s="52"/>
      <c r="AK72" s="52">
        <v>10</v>
      </c>
      <c r="AL72" s="52"/>
      <c r="AM72" s="52">
        <v>11</v>
      </c>
      <c r="AN72" s="52"/>
    </row>
    <row r="73" spans="1:40" ht="15.75" customHeight="1" x14ac:dyDescent="0.5">
      <c r="A73" s="242">
        <v>1</v>
      </c>
      <c r="B73" s="243">
        <f>STUD!E35</f>
        <v>0</v>
      </c>
      <c r="C73" s="244">
        <f>SUM(D74:AB74)</f>
        <v>29.799999999999997</v>
      </c>
      <c r="D73" s="135">
        <v>3</v>
      </c>
      <c r="E73" s="135">
        <v>9</v>
      </c>
      <c r="F73" s="135">
        <v>4</v>
      </c>
      <c r="G73" s="135">
        <v>15</v>
      </c>
      <c r="H73" s="135">
        <v>5</v>
      </c>
      <c r="I73" s="135">
        <v>11</v>
      </c>
      <c r="J73" s="135">
        <v>8</v>
      </c>
      <c r="K73" s="135">
        <v>9</v>
      </c>
      <c r="L73" s="135">
        <v>13</v>
      </c>
      <c r="M73" s="135">
        <v>7</v>
      </c>
      <c r="N73" s="135">
        <v>15</v>
      </c>
      <c r="O73" s="136">
        <v>10</v>
      </c>
      <c r="P73" s="135">
        <v>10</v>
      </c>
      <c r="Q73" s="135">
        <v>1</v>
      </c>
      <c r="R73" s="135">
        <v>9</v>
      </c>
      <c r="S73" s="135">
        <v>11</v>
      </c>
      <c r="T73" s="135">
        <v>7</v>
      </c>
      <c r="U73" s="135">
        <v>14</v>
      </c>
      <c r="V73" s="135">
        <v>11</v>
      </c>
      <c r="W73" s="135"/>
      <c r="X73" s="135"/>
      <c r="Y73" s="122"/>
      <c r="Z73" s="122"/>
      <c r="AA73" s="122"/>
      <c r="AB73" s="122"/>
      <c r="AC73" s="243">
        <f>SUM(D74:AB74)</f>
        <v>29.799999999999997</v>
      </c>
      <c r="AE73" s="141" t="s">
        <v>37</v>
      </c>
      <c r="AF73" s="141" t="s">
        <v>14</v>
      </c>
      <c r="AG73" s="169" t="s">
        <v>15</v>
      </c>
      <c r="AH73" s="169" t="s">
        <v>52</v>
      </c>
      <c r="AI73" s="51" t="str">
        <f>"Prono Carrera "&amp;AI72</f>
        <v>Prono Carrera 9</v>
      </c>
      <c r="AJ73" s="51" t="s">
        <v>42</v>
      </c>
      <c r="AK73" s="51" t="str">
        <f>"Prono Carrera "&amp;AK72</f>
        <v>Prono Carrera 10</v>
      </c>
      <c r="AL73" s="51" t="s">
        <v>42</v>
      </c>
      <c r="AM73" s="51" t="str">
        <f>"Prono Carrera "&amp;AM72</f>
        <v>Prono Carrera 11</v>
      </c>
      <c r="AN73" s="51" t="s">
        <v>42</v>
      </c>
    </row>
    <row r="74" spans="1:40" ht="15.75" customHeight="1" x14ac:dyDescent="0.4">
      <c r="A74" s="242"/>
      <c r="B74" s="243"/>
      <c r="C74" s="245"/>
      <c r="D74" s="138">
        <f t="shared" ref="D74:AB74" si="40">IF(IFERROR(IF(VLOOKUP(D73,D$151:D$155,1,0)&gt;=1,D$150,0),D73)=D$132,D$136,IF(IFERROR(IF(VLOOKUP(D73,D$151:D$155,1,0)&gt;=1,D$150,0),D73)=D$139,D$142,IF(IFERROR(IF(VLOOKUP(D73,D$151:D$155,1,0)&gt;=1,D$150,0),D73)=D$145,D$147,0)))</f>
        <v>0</v>
      </c>
      <c r="E74" s="138">
        <f t="shared" si="40"/>
        <v>0</v>
      </c>
      <c r="F74" s="138">
        <f t="shared" si="40"/>
        <v>0</v>
      </c>
      <c r="G74" s="138">
        <f t="shared" si="40"/>
        <v>0</v>
      </c>
      <c r="H74" s="138">
        <f t="shared" si="40"/>
        <v>0</v>
      </c>
      <c r="I74" s="138">
        <f t="shared" si="40"/>
        <v>2.9000000000000004</v>
      </c>
      <c r="J74" s="138">
        <f t="shared" si="40"/>
        <v>3.5</v>
      </c>
      <c r="K74" s="138">
        <f t="shared" si="40"/>
        <v>0</v>
      </c>
      <c r="L74" s="138">
        <f t="shared" si="40"/>
        <v>1.6</v>
      </c>
      <c r="M74" s="138">
        <f t="shared" si="40"/>
        <v>0</v>
      </c>
      <c r="N74" s="138">
        <f t="shared" si="40"/>
        <v>0</v>
      </c>
      <c r="O74" s="138">
        <f t="shared" si="40"/>
        <v>0</v>
      </c>
      <c r="P74" s="138">
        <f t="shared" si="40"/>
        <v>15.799999999999999</v>
      </c>
      <c r="Q74" s="138">
        <f t="shared" si="40"/>
        <v>0</v>
      </c>
      <c r="R74" s="138">
        <f t="shared" si="40"/>
        <v>0</v>
      </c>
      <c r="S74" s="138">
        <f t="shared" si="40"/>
        <v>0</v>
      </c>
      <c r="T74" s="138">
        <f t="shared" si="40"/>
        <v>0</v>
      </c>
      <c r="U74" s="138">
        <f t="shared" si="40"/>
        <v>0</v>
      </c>
      <c r="V74" s="138">
        <f t="shared" si="40"/>
        <v>6</v>
      </c>
      <c r="W74" s="138">
        <f t="shared" si="40"/>
        <v>0</v>
      </c>
      <c r="X74" s="138">
        <f t="shared" si="40"/>
        <v>0</v>
      </c>
      <c r="Y74" s="138">
        <f t="shared" si="40"/>
        <v>0</v>
      </c>
      <c r="Z74" s="138">
        <f t="shared" si="40"/>
        <v>0</v>
      </c>
      <c r="AA74" s="138">
        <f t="shared" si="40"/>
        <v>0</v>
      </c>
      <c r="AB74" s="138">
        <f t="shared" si="40"/>
        <v>0</v>
      </c>
      <c r="AC74" s="243"/>
      <c r="AE74" s="170">
        <v>1</v>
      </c>
      <c r="AF74" s="171" t="str">
        <f>IF(ISBLANK(STUD!E47)," ",STUD!E47)</f>
        <v xml:space="preserve"> </v>
      </c>
      <c r="AG74" s="183">
        <f t="shared" ref="AG74:AG101" si="41">IFERROR(VLOOKUP(AF74,$B$73:$C$128,2,0),0)</f>
        <v>0</v>
      </c>
      <c r="AH74" s="183"/>
      <c r="AI74" s="53" t="str">
        <f>IFERROR(
   VLOOKUP(AF74, $B$73:$Y$128, CHOOSE($AI$72, 3, 4, 5, 6, 7, 8, 9, 10, 11, 12, 13, 14, 15, 16, 17, 18, 19, 20, 21, 22, 23, 24, 25, 26, 27, 28, 29), 0),
   " "
)</f>
        <v xml:space="preserve"> </v>
      </c>
      <c r="AJ74" s="53" t="str">
        <f>IF(AI74="","",IFERROR(IF(VLOOKUP(AI74,Programa!$Q$3:$R$18,2,0)="","",VLOOKUP(AI74,Programa!$Q$3:$R$18,2,0)),""))</f>
        <v/>
      </c>
      <c r="AK74" s="53" t="str">
        <f>IFERROR(
   VLOOKUP(AF74, $B$73:$Y$128, CHOOSE($AK$72, 3, 4, 5, 6, 7, 8, 9, 10, 11, 12, 13, 14, 15, 16, 17, 18, 19, 20, 21, 22, 23, 24, 25, 26, 27, 28, 29), 0),
   " "
)</f>
        <v xml:space="preserve"> </v>
      </c>
      <c r="AL74" s="53" t="str">
        <f>IF(AK74="","",IFERROR(IF(VLOOKUP(AK74,Programa!$Q$19:$R$34,2,0)="","",VLOOKUP(AK74,Programa!$L$19:$M$34,2,0)),""))</f>
        <v/>
      </c>
      <c r="AM74" s="53" t="str">
        <f>IFERROR(
   VLOOKUP(AF74, $B$73:$Y$128, CHOOSE($AM$72, 3, 4, 5, 6, 7, 8, 9, 10, 11, 12, 13, 14, 15, 16, 17, 18, 19, 20, 21, 22, 23, 24, 25, 26, 27, 28, 29), 0),
   " "
)</f>
        <v xml:space="preserve"> </v>
      </c>
      <c r="AN74" s="53" t="str">
        <f>IF(AM74="","",IFERROR(IF(VLOOKUP(AM74,Programa!$Q$35:$R$50,2,0)="","",VLOOKUP(AM74,Programa!$Q$35:$R$50,2,0)),""))</f>
        <v/>
      </c>
    </row>
    <row r="75" spans="1:40" ht="15.75" customHeight="1" x14ac:dyDescent="0.4">
      <c r="A75" s="242">
        <f>+A73+1</f>
        <v>2</v>
      </c>
      <c r="B75" s="243">
        <f>STUD!E36</f>
        <v>0</v>
      </c>
      <c r="C75" s="244">
        <f>SUM(D76:AB76)</f>
        <v>68.900000000000006</v>
      </c>
      <c r="D75" s="14">
        <v>1</v>
      </c>
      <c r="E75" s="14">
        <v>11</v>
      </c>
      <c r="F75" s="14">
        <v>10</v>
      </c>
      <c r="G75" s="14">
        <v>10</v>
      </c>
      <c r="H75" s="14">
        <v>13</v>
      </c>
      <c r="I75" s="14">
        <v>8</v>
      </c>
      <c r="J75" s="14">
        <v>11</v>
      </c>
      <c r="K75" s="14">
        <v>7</v>
      </c>
      <c r="L75" s="14">
        <v>9</v>
      </c>
      <c r="M75" s="14">
        <v>5</v>
      </c>
      <c r="N75" s="14">
        <v>6</v>
      </c>
      <c r="O75" s="14">
        <v>3</v>
      </c>
      <c r="P75" s="14">
        <v>2</v>
      </c>
      <c r="Q75" s="14">
        <v>10</v>
      </c>
      <c r="R75" s="14">
        <v>1</v>
      </c>
      <c r="S75" s="14">
        <v>8</v>
      </c>
      <c r="T75" s="14">
        <v>13</v>
      </c>
      <c r="U75" s="14">
        <v>1</v>
      </c>
      <c r="V75" s="14">
        <v>1</v>
      </c>
      <c r="W75" s="14"/>
      <c r="X75" s="135"/>
      <c r="Y75" s="122"/>
      <c r="Z75" s="122"/>
      <c r="AA75" s="122"/>
      <c r="AB75" s="122"/>
      <c r="AC75" s="243">
        <f>SUM(D76:AB76)</f>
        <v>68.900000000000006</v>
      </c>
      <c r="AE75" s="172">
        <v>2</v>
      </c>
      <c r="AF75" s="171" t="str">
        <f>IF(ISBLANK(STUD!E36)," ",STUD!E36)</f>
        <v xml:space="preserve"> </v>
      </c>
      <c r="AG75" s="183">
        <f t="shared" si="41"/>
        <v>0</v>
      </c>
      <c r="AH75" s="183">
        <f>$AG$74-AG75</f>
        <v>0</v>
      </c>
      <c r="AI75" s="53" t="str">
        <f t="shared" ref="AI75:AI101" si="42">IFERROR(
   VLOOKUP(AF75, $B$73:$Y$128, CHOOSE($AI$72, 3, 4, 5, 6, 7, 8, 9, 10, 11, 12, 13, 14, 15, 16, 17, 18, 19, 20, 21, 22, 23, 24, 25, 26, 27, 28, 29), 0),
   " "
)</f>
        <v xml:space="preserve"> </v>
      </c>
      <c r="AJ75" s="53" t="str">
        <f>IF(AI75="","",IFERROR(IF(VLOOKUP(AI75,Programa!$Q$3:$R$18,2,0)="","",VLOOKUP(AI75,Programa!$Q$3:$R$18,2,0)),""))</f>
        <v/>
      </c>
      <c r="AK75" s="53" t="str">
        <f t="shared" ref="AK75:AK101" si="43">IFERROR(
   VLOOKUP(AF75, $B$73:$Y$128, CHOOSE($AK$72, 3, 4, 5, 6, 7, 8, 9, 10, 11, 12, 13, 14, 15, 16, 17, 18, 19, 20, 21, 22, 23, 24, 25, 26, 27, 28, 29), 0),
   " "
)</f>
        <v xml:space="preserve"> </v>
      </c>
      <c r="AL75" s="53" t="str">
        <f>IF(AK75="","",IFERROR(IF(VLOOKUP(AK75,Programa!$Q$19:$R$34,2,0)="","",VLOOKUP(AK75,Programa!$L$19:$M$34,2,0)),""))</f>
        <v/>
      </c>
      <c r="AM75" s="53" t="str">
        <f t="shared" ref="AM75:AM101" si="44">IFERROR(
   VLOOKUP(AF75, $B$73:$Y$128, CHOOSE($AM$72, 3, 4, 5, 6, 7, 8, 9, 10, 11, 12, 13, 14, 15, 16, 17, 18, 19, 20, 21, 22, 23, 24, 25, 26, 27, 28, 29), 0),
   " "
)</f>
        <v xml:space="preserve"> </v>
      </c>
      <c r="AN75" s="53" t="str">
        <f>IF(AM75="","",IFERROR(IF(VLOOKUP(AM75,Programa!$Q$35:$R$50,2,0)="","",VLOOKUP(AM75,Programa!$Q$35:$R$50,2,0)),""))</f>
        <v/>
      </c>
    </row>
    <row r="76" spans="1:40" ht="15.75" customHeight="1" x14ac:dyDescent="0.4">
      <c r="A76" s="242"/>
      <c r="B76" s="243"/>
      <c r="C76" s="245"/>
      <c r="D76" s="138">
        <f t="shared" ref="D76:AB76" si="45">IF(IFERROR(IF(VLOOKUP(D75,D$151:D$155,1,0)&gt;=1,D$150,0),D75)=D$132,D$136,IF(IFERROR(IF(VLOOKUP(D75,D$151:D$155,1,0)&gt;=1,D$150,0),D75)=D$139,D$142,IF(IFERROR(IF(VLOOKUP(D75,D$151:D$155,1,0)&gt;=1,D$150,0),D75)=D$145,D$147,0)))</f>
        <v>2.8</v>
      </c>
      <c r="E76" s="138">
        <f t="shared" si="45"/>
        <v>3.2</v>
      </c>
      <c r="F76" s="138">
        <f t="shared" si="45"/>
        <v>1.3</v>
      </c>
      <c r="G76" s="138">
        <f t="shared" si="45"/>
        <v>0</v>
      </c>
      <c r="H76" s="138">
        <f t="shared" si="45"/>
        <v>23.2</v>
      </c>
      <c r="I76" s="138">
        <f t="shared" si="45"/>
        <v>0</v>
      </c>
      <c r="J76" s="138">
        <f t="shared" si="45"/>
        <v>0</v>
      </c>
      <c r="K76" s="138">
        <f t="shared" si="45"/>
        <v>2.4</v>
      </c>
      <c r="L76" s="138">
        <f t="shared" si="45"/>
        <v>4.5</v>
      </c>
      <c r="M76" s="138">
        <f t="shared" si="45"/>
        <v>3.9000000000000004</v>
      </c>
      <c r="N76" s="138">
        <f t="shared" si="45"/>
        <v>6.2</v>
      </c>
      <c r="O76" s="138">
        <f t="shared" si="45"/>
        <v>3.6</v>
      </c>
      <c r="P76" s="138">
        <f t="shared" si="45"/>
        <v>0</v>
      </c>
      <c r="Q76" s="138">
        <f t="shared" si="45"/>
        <v>0</v>
      </c>
      <c r="R76" s="138">
        <f t="shared" si="45"/>
        <v>0</v>
      </c>
      <c r="S76" s="138">
        <f t="shared" si="45"/>
        <v>0</v>
      </c>
      <c r="T76" s="138">
        <f t="shared" si="45"/>
        <v>0</v>
      </c>
      <c r="U76" s="138">
        <f t="shared" si="45"/>
        <v>0</v>
      </c>
      <c r="V76" s="138">
        <f t="shared" si="45"/>
        <v>17.8</v>
      </c>
      <c r="W76" s="138">
        <f t="shared" si="45"/>
        <v>0</v>
      </c>
      <c r="X76" s="138">
        <f t="shared" si="45"/>
        <v>0</v>
      </c>
      <c r="Y76" s="138">
        <f t="shared" si="45"/>
        <v>0</v>
      </c>
      <c r="Z76" s="138">
        <f t="shared" si="45"/>
        <v>0</v>
      </c>
      <c r="AA76" s="138">
        <f t="shared" si="45"/>
        <v>0</v>
      </c>
      <c r="AB76" s="138">
        <f t="shared" si="45"/>
        <v>0</v>
      </c>
      <c r="AC76" s="243"/>
      <c r="AE76" s="173">
        <v>3</v>
      </c>
      <c r="AF76" s="171" t="str">
        <f>IF(ISBLANK(STUD!E39)," ",STUD!E39)</f>
        <v xml:space="preserve"> </v>
      </c>
      <c r="AG76" s="183">
        <f t="shared" si="41"/>
        <v>0</v>
      </c>
      <c r="AH76" s="183">
        <f t="shared" ref="AH76:AH101" si="46">$AG$74-AG76</f>
        <v>0</v>
      </c>
      <c r="AI76" s="53" t="str">
        <f t="shared" si="42"/>
        <v xml:space="preserve"> </v>
      </c>
      <c r="AJ76" s="53" t="str">
        <f>IF(AI76="","",IFERROR(IF(VLOOKUP(AI76,Programa!$Q$3:$R$18,2,0)="","",VLOOKUP(AI76,Programa!$Q$3:$R$18,2,0)),""))</f>
        <v/>
      </c>
      <c r="AK76" s="53" t="str">
        <f t="shared" si="43"/>
        <v xml:space="preserve"> </v>
      </c>
      <c r="AL76" s="53" t="str">
        <f>IF(AK76="","",IFERROR(IF(VLOOKUP(AK76,Programa!$Q$19:$R$34,2,0)="","",VLOOKUP(AK76,Programa!$L$19:$M$34,2,0)),""))</f>
        <v/>
      </c>
      <c r="AM76" s="53" t="str">
        <f t="shared" si="44"/>
        <v xml:space="preserve"> </v>
      </c>
      <c r="AN76" s="53" t="str">
        <f>IF(AM76="","",IFERROR(IF(VLOOKUP(AM76,Programa!$Q$35:$R$50,2,0)="","",VLOOKUP(AM76,Programa!$Q$35:$R$50,2,0)),""))</f>
        <v/>
      </c>
    </row>
    <row r="77" spans="1:40" ht="15.75" customHeight="1" x14ac:dyDescent="0.4">
      <c r="A77" s="242">
        <f>+A75+1</f>
        <v>3</v>
      </c>
      <c r="B77" s="243">
        <f>STUD!E37</f>
        <v>0</v>
      </c>
      <c r="C77" s="244">
        <f>SUM(D78:AB78)</f>
        <v>13</v>
      </c>
      <c r="D77" s="135">
        <v>13</v>
      </c>
      <c r="E77" s="135">
        <v>4</v>
      </c>
      <c r="F77" s="135">
        <v>5</v>
      </c>
      <c r="G77" s="135">
        <v>9</v>
      </c>
      <c r="H77" s="135">
        <v>11</v>
      </c>
      <c r="I77" s="135">
        <v>10</v>
      </c>
      <c r="J77" s="135">
        <v>8</v>
      </c>
      <c r="K77" s="135">
        <v>10</v>
      </c>
      <c r="L77" s="135">
        <v>4</v>
      </c>
      <c r="M77" s="135">
        <v>4</v>
      </c>
      <c r="N77" s="135">
        <v>6</v>
      </c>
      <c r="O77" s="136">
        <v>8</v>
      </c>
      <c r="P77" s="135">
        <v>2</v>
      </c>
      <c r="Q77" s="135">
        <v>15</v>
      </c>
      <c r="R77" s="135">
        <v>11</v>
      </c>
      <c r="S77" s="135">
        <v>2</v>
      </c>
      <c r="T77" s="135">
        <v>13</v>
      </c>
      <c r="U77" s="135">
        <v>11</v>
      </c>
      <c r="V77" s="135">
        <v>2</v>
      </c>
      <c r="W77" s="135"/>
      <c r="X77" s="135"/>
      <c r="Y77" s="122"/>
      <c r="Z77" s="122"/>
      <c r="AA77" s="122"/>
      <c r="AB77" s="122"/>
      <c r="AC77" s="243">
        <f>SUM(D78:AB78)</f>
        <v>13</v>
      </c>
      <c r="AE77" s="174">
        <v>4</v>
      </c>
      <c r="AF77" s="171" t="str">
        <f>IF(ISBLANK(STUD!E38)," ",STUD!E38)</f>
        <v xml:space="preserve"> </v>
      </c>
      <c r="AG77" s="183">
        <f t="shared" si="41"/>
        <v>0</v>
      </c>
      <c r="AH77" s="183">
        <f t="shared" si="46"/>
        <v>0</v>
      </c>
      <c r="AI77" s="53" t="str">
        <f t="shared" si="42"/>
        <v xml:space="preserve"> </v>
      </c>
      <c r="AJ77" s="53" t="str">
        <f>IF(AI77="","",IFERROR(IF(VLOOKUP(AI77,Programa!$Q$3:$R$18,2,0)="","",VLOOKUP(AI77,Programa!$Q$3:$R$18,2,0)),""))</f>
        <v/>
      </c>
      <c r="AK77" s="53" t="str">
        <f t="shared" si="43"/>
        <v xml:space="preserve"> </v>
      </c>
      <c r="AL77" s="53" t="str">
        <f>IF(AK77="","",IFERROR(IF(VLOOKUP(AK77,Programa!$Q$19:$R$34,2,0)="","",VLOOKUP(AK77,Programa!$L$19:$M$34,2,0)),""))</f>
        <v/>
      </c>
      <c r="AM77" s="53" t="str">
        <f t="shared" si="44"/>
        <v xml:space="preserve"> </v>
      </c>
      <c r="AN77" s="53" t="str">
        <f>IF(AM77="","",IFERROR(IF(VLOOKUP(AM77,Programa!$Q$35:$R$50,2,0)="","",VLOOKUP(AM77,Programa!$Q$35:$R$50,2,0)),""))</f>
        <v/>
      </c>
    </row>
    <row r="78" spans="1:40" ht="15.75" customHeight="1" x14ac:dyDescent="0.4">
      <c r="A78" s="242"/>
      <c r="B78" s="243"/>
      <c r="C78" s="245"/>
      <c r="D78" s="138">
        <f t="shared" ref="D78:AB78" si="47">IF(IFERROR(IF(VLOOKUP(D77,D$151:D$155,1,0)&gt;=1,D$150,0),D77)=D$132,D$136,IF(IFERROR(IF(VLOOKUP(D77,D$151:D$155,1,0)&gt;=1,D$150,0),D77)=D$139,D$142,IF(IFERROR(IF(VLOOKUP(D77,D$151:D$155,1,0)&gt;=1,D$150,0),D77)=D$145,D$147,0)))</f>
        <v>0</v>
      </c>
      <c r="E78" s="138">
        <f t="shared" si="47"/>
        <v>0</v>
      </c>
      <c r="F78" s="138">
        <f t="shared" si="47"/>
        <v>0</v>
      </c>
      <c r="G78" s="138">
        <f t="shared" si="47"/>
        <v>0</v>
      </c>
      <c r="H78" s="138">
        <f t="shared" si="47"/>
        <v>0</v>
      </c>
      <c r="I78" s="138">
        <f t="shared" si="47"/>
        <v>0</v>
      </c>
      <c r="J78" s="138">
        <f t="shared" si="47"/>
        <v>3.5</v>
      </c>
      <c r="K78" s="138">
        <f t="shared" si="47"/>
        <v>0</v>
      </c>
      <c r="L78" s="138">
        <f t="shared" si="47"/>
        <v>0</v>
      </c>
      <c r="M78" s="138">
        <f t="shared" si="47"/>
        <v>0</v>
      </c>
      <c r="N78" s="138">
        <f t="shared" si="47"/>
        <v>6.2</v>
      </c>
      <c r="O78" s="138">
        <f t="shared" si="47"/>
        <v>3.3</v>
      </c>
      <c r="P78" s="138">
        <f t="shared" si="47"/>
        <v>0</v>
      </c>
      <c r="Q78" s="138">
        <f t="shared" si="47"/>
        <v>0</v>
      </c>
      <c r="R78" s="138">
        <f t="shared" si="47"/>
        <v>0</v>
      </c>
      <c r="S78" s="138">
        <f t="shared" si="47"/>
        <v>0</v>
      </c>
      <c r="T78" s="138">
        <f t="shared" si="47"/>
        <v>0</v>
      </c>
      <c r="U78" s="138">
        <f t="shared" si="47"/>
        <v>0</v>
      </c>
      <c r="V78" s="138">
        <f t="shared" si="47"/>
        <v>0</v>
      </c>
      <c r="W78" s="138">
        <f t="shared" si="47"/>
        <v>0</v>
      </c>
      <c r="X78" s="138">
        <f t="shared" si="47"/>
        <v>0</v>
      </c>
      <c r="Y78" s="138">
        <f t="shared" si="47"/>
        <v>0</v>
      </c>
      <c r="Z78" s="138">
        <f t="shared" si="47"/>
        <v>0</v>
      </c>
      <c r="AA78" s="138">
        <f t="shared" si="47"/>
        <v>0</v>
      </c>
      <c r="AB78" s="138">
        <f t="shared" si="47"/>
        <v>0</v>
      </c>
      <c r="AC78" s="243"/>
      <c r="AE78" s="175">
        <v>5</v>
      </c>
      <c r="AF78" s="171" t="str">
        <f>IF(ISBLANK(STUD!E53)," ",STUD!E53)</f>
        <v xml:space="preserve"> </v>
      </c>
      <c r="AG78" s="183">
        <f t="shared" si="41"/>
        <v>0</v>
      </c>
      <c r="AH78" s="183">
        <f t="shared" si="46"/>
        <v>0</v>
      </c>
      <c r="AI78" s="53" t="str">
        <f t="shared" si="42"/>
        <v xml:space="preserve"> </v>
      </c>
      <c r="AJ78" s="53" t="str">
        <f>IF(AI78="","",IFERROR(IF(VLOOKUP(AI78,Programa!$Q$3:$R$18,2,0)="","",VLOOKUP(AI78,Programa!$Q$3:$R$18,2,0)),""))</f>
        <v/>
      </c>
      <c r="AK78" s="53" t="str">
        <f t="shared" si="43"/>
        <v xml:space="preserve"> </v>
      </c>
      <c r="AL78" s="53" t="str">
        <f>IF(AK78="","",IFERROR(IF(VLOOKUP(AK78,Programa!$Q$19:$R$34,2,0)="","",VLOOKUP(AK78,Programa!$L$19:$M$34,2,0)),""))</f>
        <v/>
      </c>
      <c r="AM78" s="53" t="str">
        <f t="shared" si="44"/>
        <v xml:space="preserve"> </v>
      </c>
      <c r="AN78" s="53" t="str">
        <f>IF(AM78="","",IFERROR(IF(VLOOKUP(AM78,Programa!$Q$35:$R$50,2,0)="","",VLOOKUP(AM78,Programa!$Q$35:$R$50,2,0)),""))</f>
        <v/>
      </c>
    </row>
    <row r="79" spans="1:40" ht="15.75" customHeight="1" x14ac:dyDescent="0.4">
      <c r="A79" s="242">
        <f>+A77+1</f>
        <v>4</v>
      </c>
      <c r="B79" s="243">
        <f>STUD!E38</f>
        <v>0</v>
      </c>
      <c r="C79" s="244">
        <f>SUM(D80:AB80)</f>
        <v>56.499999999999993</v>
      </c>
      <c r="D79" s="14">
        <v>14</v>
      </c>
      <c r="E79" s="14">
        <v>13</v>
      </c>
      <c r="F79" s="14">
        <v>5</v>
      </c>
      <c r="G79" s="14">
        <v>4</v>
      </c>
      <c r="H79" s="14">
        <v>6</v>
      </c>
      <c r="I79" s="14">
        <v>5</v>
      </c>
      <c r="J79" s="14">
        <v>9</v>
      </c>
      <c r="K79" s="14">
        <v>15</v>
      </c>
      <c r="L79" s="14">
        <v>6</v>
      </c>
      <c r="M79" s="14">
        <v>9</v>
      </c>
      <c r="N79" s="14">
        <v>11</v>
      </c>
      <c r="O79" s="14">
        <v>6</v>
      </c>
      <c r="P79" s="14">
        <v>1</v>
      </c>
      <c r="Q79" s="14">
        <v>5</v>
      </c>
      <c r="R79" s="14">
        <v>7</v>
      </c>
      <c r="S79" s="14">
        <v>9</v>
      </c>
      <c r="T79" s="14">
        <v>13</v>
      </c>
      <c r="U79" s="14">
        <v>13</v>
      </c>
      <c r="V79" s="14">
        <v>6</v>
      </c>
      <c r="W79" s="14"/>
      <c r="X79" s="135"/>
      <c r="Y79" s="122"/>
      <c r="Z79" s="122"/>
      <c r="AA79" s="122"/>
      <c r="AB79" s="122"/>
      <c r="AC79" s="243">
        <f>SUM(D80:AB80)</f>
        <v>56.499999999999993</v>
      </c>
      <c r="AE79" s="176">
        <v>6</v>
      </c>
      <c r="AF79" s="171" t="str">
        <f>IF(ISBLANK(STUD!E49)," ",STUD!E49)</f>
        <v xml:space="preserve"> </v>
      </c>
      <c r="AG79" s="183">
        <f t="shared" si="41"/>
        <v>0</v>
      </c>
      <c r="AH79" s="183">
        <f t="shared" si="46"/>
        <v>0</v>
      </c>
      <c r="AI79" s="53" t="str">
        <f t="shared" si="42"/>
        <v xml:space="preserve"> </v>
      </c>
      <c r="AJ79" s="53" t="str">
        <f>IF(AI79="","",IFERROR(IF(VLOOKUP(AI79,Programa!$Q$3:$R$18,2,0)="","",VLOOKUP(AI79,Programa!$Q$3:$R$18,2,0)),""))</f>
        <v/>
      </c>
      <c r="AK79" s="53" t="str">
        <f t="shared" si="43"/>
        <v xml:space="preserve"> </v>
      </c>
      <c r="AL79" s="53" t="str">
        <f>IF(AK79="","",IFERROR(IF(VLOOKUP(AK79,Programa!$Q$19:$R$34,2,0)="","",VLOOKUP(AK79,Programa!$L$19:$M$34,2,0)),""))</f>
        <v/>
      </c>
      <c r="AM79" s="53" t="str">
        <f t="shared" si="44"/>
        <v xml:space="preserve"> </v>
      </c>
      <c r="AN79" s="53" t="str">
        <f>IF(AM79="","",IFERROR(IF(VLOOKUP(AM79,Programa!$Q$35:$R$50,2,0)="","",VLOOKUP(AM79,Programa!$Q$35:$R$50,2,0)),""))</f>
        <v/>
      </c>
    </row>
    <row r="80" spans="1:40" ht="15.75" customHeight="1" x14ac:dyDescent="0.4">
      <c r="A80" s="242"/>
      <c r="B80" s="243"/>
      <c r="C80" s="245"/>
      <c r="D80" s="138">
        <f t="shared" ref="D80:AB80" si="48">IF(IFERROR(IF(VLOOKUP(D79,D$151:D$155,1,0)&gt;=1,D$150,0),D79)=D$132,D$136,IF(IFERROR(IF(VLOOKUP(D79,D$151:D$155,1,0)&gt;=1,D$150,0),D79)=D$139,D$142,IF(IFERROR(IF(VLOOKUP(D79,D$151:D$155,1,0)&gt;=1,D$150,0),D79)=D$145,D$147,0)))</f>
        <v>0</v>
      </c>
      <c r="E80" s="138">
        <f t="shared" si="48"/>
        <v>37.9</v>
      </c>
      <c r="F80" s="138">
        <f t="shared" si="48"/>
        <v>0</v>
      </c>
      <c r="G80" s="138">
        <f t="shared" si="48"/>
        <v>0</v>
      </c>
      <c r="H80" s="138">
        <f t="shared" si="48"/>
        <v>0</v>
      </c>
      <c r="I80" s="138">
        <f t="shared" si="48"/>
        <v>0</v>
      </c>
      <c r="J80" s="138">
        <f t="shared" si="48"/>
        <v>0</v>
      </c>
      <c r="K80" s="138">
        <f t="shared" si="48"/>
        <v>15.399999999999999</v>
      </c>
      <c r="L80" s="138">
        <f t="shared" si="48"/>
        <v>0</v>
      </c>
      <c r="M80" s="138">
        <f t="shared" si="48"/>
        <v>0</v>
      </c>
      <c r="N80" s="138">
        <f t="shared" si="48"/>
        <v>1.8</v>
      </c>
      <c r="O80" s="138">
        <f t="shared" si="48"/>
        <v>0</v>
      </c>
      <c r="P80" s="138">
        <f t="shared" si="48"/>
        <v>0</v>
      </c>
      <c r="Q80" s="138">
        <f t="shared" si="48"/>
        <v>1.4</v>
      </c>
      <c r="R80" s="138">
        <f t="shared" si="48"/>
        <v>0</v>
      </c>
      <c r="S80" s="138">
        <f t="shared" si="48"/>
        <v>0</v>
      </c>
      <c r="T80" s="138">
        <f t="shared" si="48"/>
        <v>0</v>
      </c>
      <c r="U80" s="138">
        <f t="shared" si="48"/>
        <v>0</v>
      </c>
      <c r="V80" s="138">
        <f t="shared" si="48"/>
        <v>0</v>
      </c>
      <c r="W80" s="138">
        <f t="shared" si="48"/>
        <v>0</v>
      </c>
      <c r="X80" s="138">
        <f t="shared" si="48"/>
        <v>0</v>
      </c>
      <c r="Y80" s="138">
        <f t="shared" si="48"/>
        <v>0</v>
      </c>
      <c r="Z80" s="138">
        <f t="shared" si="48"/>
        <v>0</v>
      </c>
      <c r="AA80" s="138">
        <f t="shared" si="48"/>
        <v>0</v>
      </c>
      <c r="AB80" s="138">
        <f t="shared" si="48"/>
        <v>0</v>
      </c>
      <c r="AC80" s="243"/>
      <c r="AE80" s="177">
        <v>7</v>
      </c>
      <c r="AF80" s="171" t="str">
        <f>IF(ISBLANK(STUD!E52)," ",STUD!E52)</f>
        <v xml:space="preserve"> </v>
      </c>
      <c r="AG80" s="183">
        <f t="shared" si="41"/>
        <v>0</v>
      </c>
      <c r="AH80" s="183">
        <f t="shared" si="46"/>
        <v>0</v>
      </c>
      <c r="AI80" s="53" t="str">
        <f t="shared" si="42"/>
        <v xml:space="preserve"> </v>
      </c>
      <c r="AJ80" s="53" t="str">
        <f>IF(AI80="","",IFERROR(IF(VLOOKUP(AI80,Programa!$Q$3:$R$18,2,0)="","",VLOOKUP(AI80,Programa!$Q$3:$R$18,2,0)),""))</f>
        <v/>
      </c>
      <c r="AK80" s="53" t="str">
        <f t="shared" si="43"/>
        <v xml:space="preserve"> </v>
      </c>
      <c r="AL80" s="53" t="str">
        <f>IF(AK80="","",IFERROR(IF(VLOOKUP(AK80,Programa!$Q$19:$R$34,2,0)="","",VLOOKUP(AK80,Programa!$L$19:$M$34,2,0)),""))</f>
        <v/>
      </c>
      <c r="AM80" s="53" t="str">
        <f t="shared" si="44"/>
        <v xml:space="preserve"> </v>
      </c>
      <c r="AN80" s="53" t="str">
        <f>IF(AM80="","",IFERROR(IF(VLOOKUP(AM80,Programa!$Q$35:$R$50,2,0)="","",VLOOKUP(AM80,Programa!$Q$35:$R$50,2,0)),""))</f>
        <v/>
      </c>
    </row>
    <row r="81" spans="1:40" ht="15.75" customHeight="1" x14ac:dyDescent="0.4">
      <c r="A81" s="242">
        <f t="shared" ref="A81:A127" si="49">+A79+1</f>
        <v>5</v>
      </c>
      <c r="B81" s="243">
        <f>STUD!E39</f>
        <v>0</v>
      </c>
      <c r="C81" s="244">
        <f>SUM(D82:AB82)</f>
        <v>63.099999999999994</v>
      </c>
      <c r="D81" s="135">
        <v>12</v>
      </c>
      <c r="E81" s="135">
        <v>4</v>
      </c>
      <c r="F81" s="135">
        <v>5</v>
      </c>
      <c r="G81" s="135">
        <v>8</v>
      </c>
      <c r="H81" s="135">
        <v>1</v>
      </c>
      <c r="I81" s="135">
        <v>11</v>
      </c>
      <c r="J81" s="135">
        <v>8</v>
      </c>
      <c r="K81" s="135">
        <v>9</v>
      </c>
      <c r="L81" s="135">
        <v>7</v>
      </c>
      <c r="M81" s="135">
        <v>2</v>
      </c>
      <c r="N81" s="135">
        <v>9</v>
      </c>
      <c r="O81" s="136">
        <v>9</v>
      </c>
      <c r="P81" s="135">
        <v>10</v>
      </c>
      <c r="Q81" s="135">
        <v>2</v>
      </c>
      <c r="R81" s="135">
        <v>8</v>
      </c>
      <c r="S81" s="135">
        <v>8</v>
      </c>
      <c r="T81" s="135">
        <v>3</v>
      </c>
      <c r="U81" s="135">
        <v>14</v>
      </c>
      <c r="V81" s="135">
        <v>11</v>
      </c>
      <c r="W81" s="135"/>
      <c r="X81" s="135"/>
      <c r="Y81" s="122"/>
      <c r="Z81" s="122"/>
      <c r="AA81" s="122"/>
      <c r="AB81" s="122"/>
      <c r="AC81" s="243">
        <f>SUM(D82:AB82)</f>
        <v>63.099999999999994</v>
      </c>
      <c r="AE81" s="178">
        <v>8</v>
      </c>
      <c r="AF81" s="171" t="str">
        <f>IF(ISBLANK(STUD!E40)," ",STUD!E40)</f>
        <v xml:space="preserve"> </v>
      </c>
      <c r="AG81" s="183">
        <f t="shared" si="41"/>
        <v>0</v>
      </c>
      <c r="AH81" s="183">
        <f t="shared" si="46"/>
        <v>0</v>
      </c>
      <c r="AI81" s="53" t="str">
        <f t="shared" si="42"/>
        <v xml:space="preserve"> </v>
      </c>
      <c r="AJ81" s="53" t="str">
        <f>IF(AI81="","",IFERROR(IF(VLOOKUP(AI81,Programa!$Q$3:$R$18,2,0)="","",VLOOKUP(AI81,Programa!$Q$3:$R$18,2,0)),""))</f>
        <v/>
      </c>
      <c r="AK81" s="53" t="str">
        <f t="shared" si="43"/>
        <v xml:space="preserve"> </v>
      </c>
      <c r="AL81" s="53" t="str">
        <f>IF(AK81="","",IFERROR(IF(VLOOKUP(AK81,Programa!$Q$19:$R$34,2,0)="","",VLOOKUP(AK81,Programa!$L$19:$M$34,2,0)),""))</f>
        <v/>
      </c>
      <c r="AM81" s="53" t="str">
        <f t="shared" si="44"/>
        <v xml:space="preserve"> </v>
      </c>
      <c r="AN81" s="53" t="str">
        <f>IF(AM81="","",IFERROR(IF(VLOOKUP(AM81,Programa!$Q$35:$R$50,2,0)="","",VLOOKUP(AM81,Programa!$Q$35:$R$50,2,0)),""))</f>
        <v/>
      </c>
    </row>
    <row r="82" spans="1:40" ht="15.75" customHeight="1" x14ac:dyDescent="0.4">
      <c r="A82" s="242"/>
      <c r="B82" s="243"/>
      <c r="C82" s="245"/>
      <c r="D82" s="138">
        <f t="shared" ref="D82:AB82" si="50">IF(IFERROR(IF(VLOOKUP(D81,D$151:D$155,1,0)&gt;=1,D$150,0),D81)=D$132,D$136,IF(IFERROR(IF(VLOOKUP(D81,D$151:D$155,1,0)&gt;=1,D$150,0),D81)=D$139,D$142,IF(IFERROR(IF(VLOOKUP(D81,D$151:D$155,1,0)&gt;=1,D$150,0),D81)=D$145,D$147,0)))</f>
        <v>2.2999999999999998</v>
      </c>
      <c r="E82" s="138">
        <f t="shared" si="50"/>
        <v>0</v>
      </c>
      <c r="F82" s="138">
        <f t="shared" si="50"/>
        <v>0</v>
      </c>
      <c r="G82" s="138">
        <f t="shared" si="50"/>
        <v>8.4</v>
      </c>
      <c r="H82" s="138">
        <f t="shared" si="50"/>
        <v>2.2999999999999998</v>
      </c>
      <c r="I82" s="138">
        <f t="shared" si="50"/>
        <v>2.9000000000000004</v>
      </c>
      <c r="J82" s="138">
        <f t="shared" si="50"/>
        <v>3.5</v>
      </c>
      <c r="K82" s="138">
        <f t="shared" si="50"/>
        <v>0</v>
      </c>
      <c r="L82" s="138">
        <f t="shared" si="50"/>
        <v>0</v>
      </c>
      <c r="M82" s="138">
        <f t="shared" si="50"/>
        <v>3.5</v>
      </c>
      <c r="N82" s="138">
        <f t="shared" si="50"/>
        <v>6.2</v>
      </c>
      <c r="O82" s="138">
        <f t="shared" si="50"/>
        <v>0</v>
      </c>
      <c r="P82" s="138">
        <f t="shared" si="50"/>
        <v>15.799999999999999</v>
      </c>
      <c r="Q82" s="138">
        <f t="shared" si="50"/>
        <v>3.8000000000000003</v>
      </c>
      <c r="R82" s="138">
        <f t="shared" si="50"/>
        <v>8.4</v>
      </c>
      <c r="S82" s="138">
        <f t="shared" si="50"/>
        <v>0</v>
      </c>
      <c r="T82" s="138">
        <f t="shared" si="50"/>
        <v>0</v>
      </c>
      <c r="U82" s="138">
        <f t="shared" si="50"/>
        <v>0</v>
      </c>
      <c r="V82" s="138">
        <f t="shared" si="50"/>
        <v>6</v>
      </c>
      <c r="W82" s="138">
        <f t="shared" si="50"/>
        <v>0</v>
      </c>
      <c r="X82" s="138">
        <f t="shared" si="50"/>
        <v>0</v>
      </c>
      <c r="Y82" s="138">
        <f t="shared" si="50"/>
        <v>0</v>
      </c>
      <c r="Z82" s="138">
        <f t="shared" si="50"/>
        <v>0</v>
      </c>
      <c r="AA82" s="138">
        <f t="shared" si="50"/>
        <v>0</v>
      </c>
      <c r="AB82" s="138">
        <f t="shared" si="50"/>
        <v>0</v>
      </c>
      <c r="AC82" s="243"/>
      <c r="AE82" s="179">
        <v>9</v>
      </c>
      <c r="AF82" s="171" t="str">
        <f>IF(ISBLANK(STUD!E42)," ",STUD!E42)</f>
        <v xml:space="preserve"> </v>
      </c>
      <c r="AG82" s="183">
        <f t="shared" si="41"/>
        <v>0</v>
      </c>
      <c r="AH82" s="183">
        <f t="shared" si="46"/>
        <v>0</v>
      </c>
      <c r="AI82" s="53" t="str">
        <f t="shared" si="42"/>
        <v xml:space="preserve"> </v>
      </c>
      <c r="AJ82" s="53" t="str">
        <f>IF(AI82="","",IFERROR(IF(VLOOKUP(AI82,Programa!$Q$3:$R$18,2,0)="","",VLOOKUP(AI82,Programa!$Q$3:$R$18,2,0)),""))</f>
        <v/>
      </c>
      <c r="AK82" s="53" t="str">
        <f t="shared" si="43"/>
        <v xml:space="preserve"> </v>
      </c>
      <c r="AL82" s="53" t="str">
        <f>IF(AK82="","",IFERROR(IF(VLOOKUP(AK82,Programa!$Q$19:$R$34,2,0)="","",VLOOKUP(AK82,Programa!$L$19:$M$34,2,0)),""))</f>
        <v/>
      </c>
      <c r="AM82" s="53" t="str">
        <f t="shared" si="44"/>
        <v xml:space="preserve"> </v>
      </c>
      <c r="AN82" s="53" t="str">
        <f>IF(AM82="","",IFERROR(IF(VLOOKUP(AM82,Programa!$Q$35:$R$50,2,0)="","",VLOOKUP(AM82,Programa!$Q$35:$R$50,2,0)),""))</f>
        <v/>
      </c>
    </row>
    <row r="83" spans="1:40" ht="15.75" customHeight="1" x14ac:dyDescent="0.4">
      <c r="A83" s="242">
        <f t="shared" si="49"/>
        <v>6</v>
      </c>
      <c r="B83" s="243">
        <f>STUD!E40</f>
        <v>0</v>
      </c>
      <c r="C83" s="244">
        <f>SUM(D84:AB84)</f>
        <v>53.5</v>
      </c>
      <c r="D83" s="139">
        <v>15</v>
      </c>
      <c r="E83" s="139">
        <v>9</v>
      </c>
      <c r="F83" s="139">
        <v>3</v>
      </c>
      <c r="G83" s="139">
        <v>6</v>
      </c>
      <c r="H83" s="139">
        <v>2</v>
      </c>
      <c r="I83" s="139">
        <v>9</v>
      </c>
      <c r="J83" s="139">
        <v>5</v>
      </c>
      <c r="K83" s="139">
        <v>3</v>
      </c>
      <c r="L83" s="139">
        <v>9</v>
      </c>
      <c r="M83" s="139">
        <v>3</v>
      </c>
      <c r="N83" s="14">
        <v>8</v>
      </c>
      <c r="O83" s="14">
        <v>2</v>
      </c>
      <c r="P83" s="14">
        <v>7</v>
      </c>
      <c r="Q83" s="14">
        <v>14</v>
      </c>
      <c r="R83" s="14">
        <v>5</v>
      </c>
      <c r="S83" s="14">
        <v>3</v>
      </c>
      <c r="T83" s="14">
        <v>8</v>
      </c>
      <c r="U83" s="14">
        <v>9</v>
      </c>
      <c r="V83" s="14">
        <v>7</v>
      </c>
      <c r="W83" s="14"/>
      <c r="X83" s="14"/>
      <c r="Y83" s="122"/>
      <c r="Z83" s="122"/>
      <c r="AA83" s="122"/>
      <c r="AB83" s="122"/>
      <c r="AC83" s="243">
        <f>SUM(D84:AB84)</f>
        <v>53.5</v>
      </c>
      <c r="AE83" s="180">
        <v>10</v>
      </c>
      <c r="AF83" s="171" t="str">
        <f>IF(ISBLANK(STUD!E46)," ",STUD!E46)</f>
        <v xml:space="preserve"> </v>
      </c>
      <c r="AG83" s="183">
        <f t="shared" si="41"/>
        <v>0</v>
      </c>
      <c r="AH83" s="183">
        <f t="shared" si="46"/>
        <v>0</v>
      </c>
      <c r="AI83" s="53" t="str">
        <f t="shared" si="42"/>
        <v xml:space="preserve"> </v>
      </c>
      <c r="AJ83" s="53" t="str">
        <f>IF(AI83="","",IFERROR(IF(VLOOKUP(AI83,Programa!$Q$3:$R$18,2,0)="","",VLOOKUP(AI83,Programa!$Q$3:$R$18,2,0)),""))</f>
        <v/>
      </c>
      <c r="AK83" s="53" t="str">
        <f t="shared" si="43"/>
        <v xml:space="preserve"> </v>
      </c>
      <c r="AL83" s="53" t="str">
        <f>IF(AK83="","",IFERROR(IF(VLOOKUP(AK83,Programa!$Q$19:$R$34,2,0)="","",VLOOKUP(AK83,Programa!$L$19:$M$34,2,0)),""))</f>
        <v/>
      </c>
      <c r="AM83" s="53" t="str">
        <f t="shared" si="44"/>
        <v xml:space="preserve"> </v>
      </c>
      <c r="AN83" s="53" t="str">
        <f>IF(AM83="","",IFERROR(IF(VLOOKUP(AM83,Programa!$Q$35:$R$50,2,0)="","",VLOOKUP(AM83,Programa!$Q$35:$R$50,2,0)),""))</f>
        <v/>
      </c>
    </row>
    <row r="84" spans="1:40" ht="15.75" customHeight="1" x14ac:dyDescent="0.4">
      <c r="A84" s="242"/>
      <c r="B84" s="243"/>
      <c r="C84" s="245"/>
      <c r="D84" s="138">
        <f t="shared" ref="D84:AB84" si="51">IF(IFERROR(IF(VLOOKUP(D83,D$151:D$155,1,0)&gt;=1,D$150,0),D83)=D$132,D$136,IF(IFERROR(IF(VLOOKUP(D83,D$151:D$155,1,0)&gt;=1,D$150,0),D83)=D$139,D$142,IF(IFERROR(IF(VLOOKUP(D83,D$151:D$155,1,0)&gt;=1,D$150,0),D83)=D$145,D$147,0)))</f>
        <v>0</v>
      </c>
      <c r="E84" s="138">
        <f t="shared" si="51"/>
        <v>0</v>
      </c>
      <c r="F84" s="138">
        <f t="shared" si="51"/>
        <v>0</v>
      </c>
      <c r="G84" s="138">
        <f t="shared" si="51"/>
        <v>0</v>
      </c>
      <c r="H84" s="138">
        <f t="shared" si="51"/>
        <v>0</v>
      </c>
      <c r="I84" s="138">
        <f t="shared" si="51"/>
        <v>0</v>
      </c>
      <c r="J84" s="138">
        <f t="shared" si="51"/>
        <v>0</v>
      </c>
      <c r="K84" s="138">
        <f t="shared" si="51"/>
        <v>0</v>
      </c>
      <c r="L84" s="138">
        <f t="shared" si="51"/>
        <v>4.5</v>
      </c>
      <c r="M84" s="138">
        <f t="shared" si="51"/>
        <v>0</v>
      </c>
      <c r="N84" s="138">
        <f t="shared" si="51"/>
        <v>0</v>
      </c>
      <c r="O84" s="138">
        <f t="shared" si="51"/>
        <v>0</v>
      </c>
      <c r="P84" s="138">
        <f t="shared" si="51"/>
        <v>0</v>
      </c>
      <c r="Q84" s="138">
        <f t="shared" si="51"/>
        <v>13.1</v>
      </c>
      <c r="R84" s="138">
        <f t="shared" si="51"/>
        <v>20.2</v>
      </c>
      <c r="S84" s="138">
        <f t="shared" si="51"/>
        <v>0</v>
      </c>
      <c r="T84" s="138">
        <f t="shared" si="51"/>
        <v>9.6999999999999993</v>
      </c>
      <c r="U84" s="138">
        <f t="shared" si="51"/>
        <v>0</v>
      </c>
      <c r="V84" s="138">
        <f t="shared" si="51"/>
        <v>6</v>
      </c>
      <c r="W84" s="138">
        <f t="shared" si="51"/>
        <v>0</v>
      </c>
      <c r="X84" s="138">
        <f t="shared" si="51"/>
        <v>0</v>
      </c>
      <c r="Y84" s="138">
        <f t="shared" si="51"/>
        <v>0</v>
      </c>
      <c r="Z84" s="138">
        <f t="shared" si="51"/>
        <v>0</v>
      </c>
      <c r="AA84" s="138">
        <f t="shared" si="51"/>
        <v>0</v>
      </c>
      <c r="AB84" s="138">
        <f t="shared" si="51"/>
        <v>0</v>
      </c>
      <c r="AC84" s="243"/>
      <c r="AE84" s="196">
        <v>11</v>
      </c>
      <c r="AF84" s="171" t="str">
        <f>IF(ISBLANK(STUD!E43)," ",STUD!E43)</f>
        <v xml:space="preserve"> </v>
      </c>
      <c r="AG84" s="183">
        <f t="shared" si="41"/>
        <v>0</v>
      </c>
      <c r="AH84" s="183">
        <f t="shared" si="46"/>
        <v>0</v>
      </c>
      <c r="AI84" s="53" t="str">
        <f t="shared" si="42"/>
        <v xml:space="preserve"> </v>
      </c>
      <c r="AJ84" s="53" t="str">
        <f>IF(AI84="","",IFERROR(IF(VLOOKUP(AI84,Programa!$Q$3:$R$18,2,0)="","",VLOOKUP(AI84,Programa!$Q$3:$R$18,2,0)),""))</f>
        <v/>
      </c>
      <c r="AK84" s="53" t="str">
        <f t="shared" si="43"/>
        <v xml:space="preserve"> </v>
      </c>
      <c r="AL84" s="53" t="str">
        <f>IF(AK84="","",IFERROR(IF(VLOOKUP(AK84,Programa!$Q$19:$R$34,2,0)="","",VLOOKUP(AK84,Programa!$L$19:$M$34,2,0)),""))</f>
        <v/>
      </c>
      <c r="AM84" s="53" t="str">
        <f t="shared" si="44"/>
        <v xml:space="preserve"> </v>
      </c>
      <c r="AN84" s="53" t="str">
        <f>IF(AM84="","",IFERROR(IF(VLOOKUP(AM84,Programa!$Q$35:$R$50,2,0)="","",VLOOKUP(AM84,Programa!$Q$35:$R$50,2,0)),""))</f>
        <v/>
      </c>
    </row>
    <row r="85" spans="1:40" ht="15.75" customHeight="1" x14ac:dyDescent="0.4">
      <c r="A85" s="242">
        <f t="shared" si="49"/>
        <v>7</v>
      </c>
      <c r="B85" s="243">
        <f>STUD!E41</f>
        <v>0</v>
      </c>
      <c r="C85" s="244">
        <f>SUM(D86:AB86)</f>
        <v>37.4</v>
      </c>
      <c r="D85" s="135">
        <v>6</v>
      </c>
      <c r="E85" s="135">
        <v>11</v>
      </c>
      <c r="F85" s="135">
        <v>11</v>
      </c>
      <c r="G85" s="135">
        <v>5</v>
      </c>
      <c r="H85" s="135">
        <v>5</v>
      </c>
      <c r="I85" s="135">
        <v>6</v>
      </c>
      <c r="J85" s="135">
        <v>10</v>
      </c>
      <c r="K85" s="135">
        <v>7</v>
      </c>
      <c r="L85" s="135">
        <v>9</v>
      </c>
      <c r="M85" s="135">
        <v>2</v>
      </c>
      <c r="N85" s="135">
        <v>9</v>
      </c>
      <c r="O85" s="136">
        <v>8</v>
      </c>
      <c r="P85" s="135">
        <v>2</v>
      </c>
      <c r="Q85" s="135">
        <v>8</v>
      </c>
      <c r="R85" s="135">
        <v>11</v>
      </c>
      <c r="S85" s="135">
        <v>8</v>
      </c>
      <c r="T85" s="135">
        <v>2</v>
      </c>
      <c r="U85" s="135">
        <v>1</v>
      </c>
      <c r="V85" s="135">
        <v>6</v>
      </c>
      <c r="W85" s="135"/>
      <c r="X85" s="135"/>
      <c r="Y85" s="122"/>
      <c r="Z85" s="122"/>
      <c r="AA85" s="122"/>
      <c r="AB85" s="122"/>
      <c r="AC85" s="243">
        <f>SUM(D86:AB86)</f>
        <v>37.4</v>
      </c>
      <c r="AE85" s="197">
        <v>12</v>
      </c>
      <c r="AF85" s="171" t="str">
        <f>IF(ISBLANK(STUD!E41)," ",STUD!E41)</f>
        <v xml:space="preserve"> </v>
      </c>
      <c r="AG85" s="183">
        <f t="shared" si="41"/>
        <v>0</v>
      </c>
      <c r="AH85" s="183">
        <f t="shared" si="46"/>
        <v>0</v>
      </c>
      <c r="AI85" s="53" t="str">
        <f t="shared" si="42"/>
        <v xml:space="preserve"> </v>
      </c>
      <c r="AJ85" s="53" t="str">
        <f>IF(AI85="","",IFERROR(IF(VLOOKUP(AI85,Programa!$Q$3:$R$18,2,0)="","",VLOOKUP(AI85,Programa!$Q$3:$R$18,2,0)),""))</f>
        <v/>
      </c>
      <c r="AK85" s="53" t="str">
        <f t="shared" si="43"/>
        <v xml:space="preserve"> </v>
      </c>
      <c r="AL85" s="53" t="str">
        <f>IF(AK85="","",IFERROR(IF(VLOOKUP(AK85,Programa!$Q$19:$R$34,2,0)="","",VLOOKUP(AK85,Programa!$L$19:$M$34,2,0)),""))</f>
        <v/>
      </c>
      <c r="AM85" s="53" t="str">
        <f t="shared" si="44"/>
        <v xml:space="preserve"> </v>
      </c>
      <c r="AN85" s="53" t="str">
        <f>IF(AM85="","",IFERROR(IF(VLOOKUP(AM85,Programa!$Q$35:$R$50,2,0)="","",VLOOKUP(AM85,Programa!$Q$35:$R$50,2,0)),""))</f>
        <v/>
      </c>
    </row>
    <row r="86" spans="1:40" ht="15.75" customHeight="1" x14ac:dyDescent="0.4">
      <c r="A86" s="242"/>
      <c r="B86" s="243"/>
      <c r="C86" s="245"/>
      <c r="D86" s="138">
        <f t="shared" ref="D86:AB86" si="52">IF(IFERROR(IF(VLOOKUP(D85,D$151:D$155,1,0)&gt;=1,D$150,0),D85)=D$132,D$136,IF(IFERROR(IF(VLOOKUP(D85,D$151:D$155,1,0)&gt;=1,D$150,0),D85)=D$139,D$142,IF(IFERROR(IF(VLOOKUP(D85,D$151:D$155,1,0)&gt;=1,D$150,0),D85)=D$145,D$147,0)))</f>
        <v>0</v>
      </c>
      <c r="E86" s="138">
        <f t="shared" si="52"/>
        <v>3.2</v>
      </c>
      <c r="F86" s="138">
        <f t="shared" si="52"/>
        <v>11.399999999999999</v>
      </c>
      <c r="G86" s="138">
        <f t="shared" si="52"/>
        <v>0</v>
      </c>
      <c r="H86" s="138">
        <f t="shared" si="52"/>
        <v>0</v>
      </c>
      <c r="I86" s="138">
        <f t="shared" si="52"/>
        <v>2.9000000000000004</v>
      </c>
      <c r="J86" s="138">
        <f t="shared" si="52"/>
        <v>0</v>
      </c>
      <c r="K86" s="138">
        <f t="shared" si="52"/>
        <v>2.4</v>
      </c>
      <c r="L86" s="138">
        <f t="shared" si="52"/>
        <v>4.5</v>
      </c>
      <c r="M86" s="138">
        <f t="shared" si="52"/>
        <v>3.5</v>
      </c>
      <c r="N86" s="138">
        <f t="shared" si="52"/>
        <v>6.2</v>
      </c>
      <c r="O86" s="138">
        <f t="shared" si="52"/>
        <v>3.3</v>
      </c>
      <c r="P86" s="138">
        <f t="shared" si="52"/>
        <v>0</v>
      </c>
      <c r="Q86" s="138">
        <f t="shared" si="52"/>
        <v>0</v>
      </c>
      <c r="R86" s="138">
        <f t="shared" si="52"/>
        <v>0</v>
      </c>
      <c r="S86" s="138">
        <f t="shared" si="52"/>
        <v>0</v>
      </c>
      <c r="T86" s="138">
        <f t="shared" si="52"/>
        <v>0</v>
      </c>
      <c r="U86" s="138">
        <f t="shared" si="52"/>
        <v>0</v>
      </c>
      <c r="V86" s="138">
        <f t="shared" si="52"/>
        <v>0</v>
      </c>
      <c r="W86" s="138">
        <f t="shared" si="52"/>
        <v>0</v>
      </c>
      <c r="X86" s="138">
        <f t="shared" si="52"/>
        <v>0</v>
      </c>
      <c r="Y86" s="138">
        <f t="shared" si="52"/>
        <v>0</v>
      </c>
      <c r="Z86" s="138">
        <f t="shared" si="52"/>
        <v>0</v>
      </c>
      <c r="AA86" s="138">
        <f t="shared" si="52"/>
        <v>0</v>
      </c>
      <c r="AB86" s="138">
        <f t="shared" si="52"/>
        <v>0</v>
      </c>
      <c r="AC86" s="243"/>
      <c r="AE86" s="198">
        <v>13</v>
      </c>
      <c r="AF86" s="171" t="str">
        <f>IF(ISBLANK(STUD!E45)," ",STUD!E45)</f>
        <v xml:space="preserve"> </v>
      </c>
      <c r="AG86" s="183">
        <f t="shared" si="41"/>
        <v>0</v>
      </c>
      <c r="AH86" s="183">
        <f t="shared" si="46"/>
        <v>0</v>
      </c>
      <c r="AI86" s="53" t="str">
        <f t="shared" si="42"/>
        <v xml:space="preserve"> </v>
      </c>
      <c r="AJ86" s="53" t="str">
        <f>IF(AI86="","",IFERROR(IF(VLOOKUP(AI86,Programa!$Q$3:$R$18,2,0)="","",VLOOKUP(AI86,Programa!$Q$3:$R$18,2,0)),""))</f>
        <v/>
      </c>
      <c r="AK86" s="53" t="str">
        <f t="shared" si="43"/>
        <v xml:space="preserve"> </v>
      </c>
      <c r="AL86" s="53" t="str">
        <f>IF(AK86="","",IFERROR(IF(VLOOKUP(AK86,Programa!$Q$19:$R$34,2,0)="","",VLOOKUP(AK86,Programa!$L$19:$M$34,2,0)),""))</f>
        <v/>
      </c>
      <c r="AM86" s="53" t="str">
        <f t="shared" si="44"/>
        <v xml:space="preserve"> </v>
      </c>
      <c r="AN86" s="53" t="str">
        <f>IF(AM86="","",IFERROR(IF(VLOOKUP(AM86,Programa!$Q$35:$R$50,2,0)="","",VLOOKUP(AM86,Programa!$Q$35:$R$50,2,0)),""))</f>
        <v/>
      </c>
    </row>
    <row r="87" spans="1:40" ht="15.75" customHeight="1" x14ac:dyDescent="0.4">
      <c r="A87" s="242">
        <f t="shared" si="49"/>
        <v>8</v>
      </c>
      <c r="B87" s="243">
        <f>STUD!E42</f>
        <v>0</v>
      </c>
      <c r="C87" s="244">
        <f>SUM(D88:AB88)</f>
        <v>47.900000000000006</v>
      </c>
      <c r="D87" s="135">
        <v>13</v>
      </c>
      <c r="E87" s="135">
        <v>2</v>
      </c>
      <c r="F87" s="135">
        <v>8</v>
      </c>
      <c r="G87" s="135">
        <v>12</v>
      </c>
      <c r="H87" s="135">
        <v>1</v>
      </c>
      <c r="I87" s="135">
        <v>11</v>
      </c>
      <c r="J87" s="135">
        <v>4</v>
      </c>
      <c r="K87" s="135">
        <v>7</v>
      </c>
      <c r="L87" s="135">
        <v>9</v>
      </c>
      <c r="M87" s="135">
        <v>5</v>
      </c>
      <c r="N87" s="135">
        <v>6</v>
      </c>
      <c r="O87" s="136">
        <v>3</v>
      </c>
      <c r="P87" s="135">
        <v>7</v>
      </c>
      <c r="Q87" s="135">
        <v>2</v>
      </c>
      <c r="R87" s="135">
        <v>7</v>
      </c>
      <c r="S87" s="135">
        <v>4</v>
      </c>
      <c r="T87" s="135">
        <v>8</v>
      </c>
      <c r="U87" s="135">
        <v>13</v>
      </c>
      <c r="V87" s="135">
        <v>7</v>
      </c>
      <c r="W87" s="135"/>
      <c r="X87" s="135"/>
      <c r="Y87" s="122"/>
      <c r="Z87" s="122"/>
      <c r="AA87" s="122"/>
      <c r="AB87" s="122"/>
      <c r="AC87" s="243">
        <f>SUM(D88:AB88)</f>
        <v>47.900000000000006</v>
      </c>
      <c r="AE87" s="199">
        <v>14</v>
      </c>
      <c r="AF87" s="171" t="str">
        <f>IF(ISBLANK(STUD!E35)," ",STUD!E35)</f>
        <v xml:space="preserve"> </v>
      </c>
      <c r="AG87" s="183">
        <f t="shared" si="41"/>
        <v>0</v>
      </c>
      <c r="AH87" s="183">
        <f t="shared" si="46"/>
        <v>0</v>
      </c>
      <c r="AI87" s="53" t="str">
        <f t="shared" si="42"/>
        <v xml:space="preserve"> </v>
      </c>
      <c r="AJ87" s="53" t="str">
        <f>IF(AI87="","",IFERROR(IF(VLOOKUP(AI87,Programa!$Q$3:$R$18,2,0)="","",VLOOKUP(AI87,Programa!$Q$3:$R$18,2,0)),""))</f>
        <v/>
      </c>
      <c r="AK87" s="53" t="str">
        <f t="shared" si="43"/>
        <v xml:space="preserve"> </v>
      </c>
      <c r="AL87" s="53" t="str">
        <f>IF(AK87="","",IFERROR(IF(VLOOKUP(AK87,Programa!$Q$19:$R$34,2,0)="","",VLOOKUP(AK87,Programa!$L$19:$M$34,2,0)),""))</f>
        <v/>
      </c>
      <c r="AM87" s="53" t="str">
        <f t="shared" si="44"/>
        <v xml:space="preserve"> </v>
      </c>
      <c r="AN87" s="53" t="str">
        <f>IF(AM87="","",IFERROR(IF(VLOOKUP(AM87,Programa!$Q$35:$R$50,2,0)="","",VLOOKUP(AM87,Programa!$Q$35:$R$50,2,0)),""))</f>
        <v/>
      </c>
    </row>
    <row r="88" spans="1:40" ht="15.75" customHeight="1" x14ac:dyDescent="0.4">
      <c r="A88" s="242"/>
      <c r="B88" s="243"/>
      <c r="C88" s="245"/>
      <c r="D88" s="138">
        <f t="shared" ref="D88:AB88" si="53">IF(IFERROR(IF(VLOOKUP(D87,D$151:D$155,1,0)&gt;=1,D$150,0),D87)=D$132,D$136,IF(IFERROR(IF(VLOOKUP(D87,D$151:D$155,1,0)&gt;=1,D$150,0),D87)=D$139,D$142,IF(IFERROR(IF(VLOOKUP(D87,D$151:D$155,1,0)&gt;=1,D$150,0),D87)=D$145,D$147,0)))</f>
        <v>0</v>
      </c>
      <c r="E88" s="138">
        <f t="shared" si="53"/>
        <v>1</v>
      </c>
      <c r="F88" s="138">
        <f t="shared" si="53"/>
        <v>0</v>
      </c>
      <c r="G88" s="138">
        <f t="shared" si="53"/>
        <v>1.6</v>
      </c>
      <c r="H88" s="138">
        <f t="shared" si="53"/>
        <v>2.2999999999999998</v>
      </c>
      <c r="I88" s="138">
        <f t="shared" si="53"/>
        <v>2.9000000000000004</v>
      </c>
      <c r="J88" s="138">
        <f t="shared" si="53"/>
        <v>0</v>
      </c>
      <c r="K88" s="138">
        <f t="shared" si="53"/>
        <v>2.4</v>
      </c>
      <c r="L88" s="138">
        <f t="shared" si="53"/>
        <v>4.5</v>
      </c>
      <c r="M88" s="138">
        <f t="shared" si="53"/>
        <v>3.9000000000000004</v>
      </c>
      <c r="N88" s="138">
        <f t="shared" si="53"/>
        <v>6.2</v>
      </c>
      <c r="O88" s="138">
        <f t="shared" si="53"/>
        <v>3.6</v>
      </c>
      <c r="P88" s="138">
        <f t="shared" si="53"/>
        <v>0</v>
      </c>
      <c r="Q88" s="138">
        <f t="shared" si="53"/>
        <v>3.8000000000000003</v>
      </c>
      <c r="R88" s="138">
        <f t="shared" si="53"/>
        <v>0</v>
      </c>
      <c r="S88" s="138">
        <f t="shared" si="53"/>
        <v>0</v>
      </c>
      <c r="T88" s="138">
        <f t="shared" si="53"/>
        <v>9.6999999999999993</v>
      </c>
      <c r="U88" s="138">
        <f t="shared" si="53"/>
        <v>0</v>
      </c>
      <c r="V88" s="138">
        <f t="shared" si="53"/>
        <v>6</v>
      </c>
      <c r="W88" s="138">
        <f t="shared" si="53"/>
        <v>0</v>
      </c>
      <c r="X88" s="138">
        <f t="shared" si="53"/>
        <v>0</v>
      </c>
      <c r="Y88" s="138">
        <f t="shared" si="53"/>
        <v>0</v>
      </c>
      <c r="Z88" s="138">
        <f t="shared" si="53"/>
        <v>0</v>
      </c>
      <c r="AA88" s="138">
        <f t="shared" si="53"/>
        <v>0</v>
      </c>
      <c r="AB88" s="138">
        <f t="shared" si="53"/>
        <v>0</v>
      </c>
      <c r="AC88" s="243"/>
      <c r="AE88" s="200">
        <v>15</v>
      </c>
      <c r="AF88" s="171" t="str">
        <f>IF(ISBLANK(STUD!E44)," ",STUD!E44)</f>
        <v xml:space="preserve"> </v>
      </c>
      <c r="AG88" s="183">
        <f t="shared" si="41"/>
        <v>0</v>
      </c>
      <c r="AH88" s="183">
        <f t="shared" si="46"/>
        <v>0</v>
      </c>
      <c r="AI88" s="53" t="str">
        <f t="shared" si="42"/>
        <v xml:space="preserve"> </v>
      </c>
      <c r="AJ88" s="53" t="str">
        <f>IF(AI88="","",IFERROR(IF(VLOOKUP(AI88,Programa!$Q$3:$R$18,2,0)="","",VLOOKUP(AI88,Programa!$Q$3:$R$18,2,0)),""))</f>
        <v/>
      </c>
      <c r="AK88" s="53" t="str">
        <f t="shared" si="43"/>
        <v xml:space="preserve"> </v>
      </c>
      <c r="AL88" s="53" t="str">
        <f>IF(AK88="","",IFERROR(IF(VLOOKUP(AK88,Programa!$Q$19:$R$34,2,0)="","",VLOOKUP(AK88,Programa!$L$19:$M$34,2,0)),""))</f>
        <v/>
      </c>
      <c r="AM88" s="53" t="str">
        <f t="shared" si="44"/>
        <v xml:space="preserve"> </v>
      </c>
      <c r="AN88" s="53" t="str">
        <f>IF(AM88="","",IFERROR(IF(VLOOKUP(AM88,Programa!$Q$35:$R$50,2,0)="","",VLOOKUP(AM88,Programa!$Q$35:$R$50,2,0)),""))</f>
        <v/>
      </c>
    </row>
    <row r="89" spans="1:40" ht="15.75" customHeight="1" x14ac:dyDescent="0.4">
      <c r="A89" s="242">
        <f t="shared" si="49"/>
        <v>9</v>
      </c>
      <c r="B89" s="243">
        <f>STUD!E43</f>
        <v>0</v>
      </c>
      <c r="C89" s="244">
        <f>SUM(D90:AB90)</f>
        <v>39.599999999999994</v>
      </c>
      <c r="D89" s="14">
        <v>12</v>
      </c>
      <c r="E89" s="14">
        <v>4</v>
      </c>
      <c r="F89" s="14">
        <v>11</v>
      </c>
      <c r="G89" s="14">
        <v>5</v>
      </c>
      <c r="H89" s="14">
        <v>8</v>
      </c>
      <c r="I89" s="14">
        <v>4</v>
      </c>
      <c r="J89" s="14">
        <v>10</v>
      </c>
      <c r="K89" s="14">
        <v>12</v>
      </c>
      <c r="L89" s="14">
        <v>3</v>
      </c>
      <c r="M89" s="14">
        <v>3</v>
      </c>
      <c r="N89" s="14">
        <v>9</v>
      </c>
      <c r="O89" s="14">
        <v>3</v>
      </c>
      <c r="P89" s="14">
        <v>1</v>
      </c>
      <c r="Q89" s="14">
        <v>7</v>
      </c>
      <c r="R89" s="14">
        <v>1</v>
      </c>
      <c r="S89" s="14">
        <v>10</v>
      </c>
      <c r="T89" s="14">
        <v>8</v>
      </c>
      <c r="U89" s="14">
        <v>1</v>
      </c>
      <c r="V89" s="14">
        <v>13</v>
      </c>
      <c r="W89" s="14"/>
      <c r="X89" s="135"/>
      <c r="Y89" s="122"/>
      <c r="Z89" s="122"/>
      <c r="AA89" s="122"/>
      <c r="AB89" s="122"/>
      <c r="AC89" s="243">
        <f>SUM(D90:AB90)</f>
        <v>39.599999999999994</v>
      </c>
      <c r="AE89" s="201">
        <v>16</v>
      </c>
      <c r="AF89" s="171" t="str">
        <f>IF(ISBLANK(STUD!E51)," ",STUD!E51)</f>
        <v xml:space="preserve"> </v>
      </c>
      <c r="AG89" s="183">
        <f t="shared" si="41"/>
        <v>0</v>
      </c>
      <c r="AH89" s="183">
        <f t="shared" si="46"/>
        <v>0</v>
      </c>
      <c r="AI89" s="53" t="str">
        <f t="shared" si="42"/>
        <v xml:space="preserve"> </v>
      </c>
      <c r="AJ89" s="53" t="str">
        <f>IF(AI89="","",IFERROR(IF(VLOOKUP(AI89,Programa!$Q$3:$R$18,2,0)="","",VLOOKUP(AI89,Programa!$Q$3:$R$18,2,0)),""))</f>
        <v/>
      </c>
      <c r="AK89" s="53" t="str">
        <f t="shared" si="43"/>
        <v xml:space="preserve"> </v>
      </c>
      <c r="AL89" s="53" t="str">
        <f>IF(AK89="","",IFERROR(IF(VLOOKUP(AK89,Programa!$Q$19:$R$34,2,0)="","",VLOOKUP(AK89,Programa!$L$19:$M$34,2,0)),""))</f>
        <v/>
      </c>
      <c r="AM89" s="53" t="str">
        <f t="shared" si="44"/>
        <v xml:space="preserve"> </v>
      </c>
      <c r="AN89" s="53" t="str">
        <f>IF(AM89="","",IFERROR(IF(VLOOKUP(AM89,Programa!$Q$35:$R$50,2,0)="","",VLOOKUP(AM89,Programa!$Q$35:$R$50,2,0)),""))</f>
        <v/>
      </c>
    </row>
    <row r="90" spans="1:40" ht="15.75" customHeight="1" x14ac:dyDescent="0.4">
      <c r="A90" s="242"/>
      <c r="B90" s="243"/>
      <c r="C90" s="245"/>
      <c r="D90" s="138">
        <f t="shared" ref="D90:AB90" si="54">IF(IFERROR(IF(VLOOKUP(D89,D$151:D$155,1,0)&gt;=1,D$150,0),D89)=D$132,D$136,IF(IFERROR(IF(VLOOKUP(D89,D$151:D$155,1,0)&gt;=1,D$150,0),D89)=D$139,D$142,IF(IFERROR(IF(VLOOKUP(D89,D$151:D$155,1,0)&gt;=1,D$150,0),D89)=D$145,D$147,0)))</f>
        <v>2.2999999999999998</v>
      </c>
      <c r="E90" s="138">
        <f t="shared" si="54"/>
        <v>0</v>
      </c>
      <c r="F90" s="138">
        <f t="shared" si="54"/>
        <v>11.399999999999999</v>
      </c>
      <c r="G90" s="138">
        <f t="shared" si="54"/>
        <v>0</v>
      </c>
      <c r="H90" s="138">
        <f t="shared" si="54"/>
        <v>1.6</v>
      </c>
      <c r="I90" s="138">
        <f t="shared" si="54"/>
        <v>1.6</v>
      </c>
      <c r="J90" s="138">
        <f t="shared" si="54"/>
        <v>0</v>
      </c>
      <c r="K90" s="138">
        <f t="shared" si="54"/>
        <v>0</v>
      </c>
      <c r="L90" s="138">
        <f t="shared" si="54"/>
        <v>0</v>
      </c>
      <c r="M90" s="138">
        <f t="shared" si="54"/>
        <v>0</v>
      </c>
      <c r="N90" s="138">
        <f t="shared" si="54"/>
        <v>6.2</v>
      </c>
      <c r="O90" s="138">
        <f t="shared" si="54"/>
        <v>3.6</v>
      </c>
      <c r="P90" s="138">
        <f t="shared" si="54"/>
        <v>0</v>
      </c>
      <c r="Q90" s="138">
        <f t="shared" si="54"/>
        <v>0</v>
      </c>
      <c r="R90" s="138">
        <f t="shared" si="54"/>
        <v>0</v>
      </c>
      <c r="S90" s="138">
        <f t="shared" si="54"/>
        <v>3.2</v>
      </c>
      <c r="T90" s="138">
        <f t="shared" si="54"/>
        <v>9.6999999999999993</v>
      </c>
      <c r="U90" s="138">
        <f t="shared" si="54"/>
        <v>0</v>
      </c>
      <c r="V90" s="138">
        <f t="shared" si="54"/>
        <v>0</v>
      </c>
      <c r="W90" s="138">
        <f t="shared" si="54"/>
        <v>0</v>
      </c>
      <c r="X90" s="138">
        <f t="shared" si="54"/>
        <v>0</v>
      </c>
      <c r="Y90" s="138">
        <f t="shared" si="54"/>
        <v>0</v>
      </c>
      <c r="Z90" s="138">
        <f t="shared" si="54"/>
        <v>0</v>
      </c>
      <c r="AA90" s="138">
        <f t="shared" si="54"/>
        <v>0</v>
      </c>
      <c r="AB90" s="138">
        <f t="shared" si="54"/>
        <v>0</v>
      </c>
      <c r="AC90" s="243"/>
      <c r="AE90" s="202">
        <v>17</v>
      </c>
      <c r="AF90" s="171" t="str">
        <f>IF(ISBLANK(STUD!E48)," ",STUD!E48)</f>
        <v xml:space="preserve"> </v>
      </c>
      <c r="AG90" s="183">
        <f t="shared" si="41"/>
        <v>0</v>
      </c>
      <c r="AH90" s="183">
        <f t="shared" si="46"/>
        <v>0</v>
      </c>
      <c r="AI90" s="53" t="str">
        <f t="shared" si="42"/>
        <v xml:space="preserve"> </v>
      </c>
      <c r="AJ90" s="53" t="str">
        <f>IF(AI90="","",IFERROR(IF(VLOOKUP(AI90,Programa!$Q$3:$R$18,2,0)="","",VLOOKUP(AI90,Programa!$Q$3:$R$18,2,0)),""))</f>
        <v/>
      </c>
      <c r="AK90" s="53" t="str">
        <f t="shared" si="43"/>
        <v xml:space="preserve"> </v>
      </c>
      <c r="AL90" s="53" t="str">
        <f>IF(AK90="","",IFERROR(IF(VLOOKUP(AK90,Programa!$Q$19:$R$34,2,0)="","",VLOOKUP(AK90,Programa!$L$19:$M$34,2,0)),""))</f>
        <v/>
      </c>
      <c r="AM90" s="53" t="str">
        <f t="shared" si="44"/>
        <v xml:space="preserve"> </v>
      </c>
      <c r="AN90" s="53" t="str">
        <f>IF(AM90="","",IFERROR(IF(VLOOKUP(AM90,Programa!$Q$35:$R$50,2,0)="","",VLOOKUP(AM90,Programa!$Q$35:$R$50,2,0)),""))</f>
        <v/>
      </c>
    </row>
    <row r="91" spans="1:40" ht="15.75" customHeight="1" x14ac:dyDescent="0.4">
      <c r="A91" s="242">
        <f t="shared" si="49"/>
        <v>10</v>
      </c>
      <c r="B91" s="243">
        <f>STUD!E44</f>
        <v>0</v>
      </c>
      <c r="C91" s="244">
        <f>SUM(D92:AB92)</f>
        <v>24.199999999999996</v>
      </c>
      <c r="D91" s="135">
        <v>13</v>
      </c>
      <c r="E91" s="135">
        <v>2</v>
      </c>
      <c r="F91" s="135">
        <v>7</v>
      </c>
      <c r="G91" s="135">
        <v>12</v>
      </c>
      <c r="H91" s="135">
        <v>9</v>
      </c>
      <c r="I91" s="135">
        <v>9</v>
      </c>
      <c r="J91" s="135">
        <v>3</v>
      </c>
      <c r="K91" s="135">
        <v>8</v>
      </c>
      <c r="L91" s="135">
        <v>1</v>
      </c>
      <c r="M91" s="135">
        <v>4</v>
      </c>
      <c r="N91" s="135">
        <v>8</v>
      </c>
      <c r="O91" s="136">
        <v>6</v>
      </c>
      <c r="P91" s="135">
        <v>6</v>
      </c>
      <c r="Q91" s="135">
        <v>5</v>
      </c>
      <c r="R91" s="135">
        <v>12</v>
      </c>
      <c r="S91" s="135">
        <v>9</v>
      </c>
      <c r="T91" s="135">
        <v>9</v>
      </c>
      <c r="U91" s="135">
        <v>8</v>
      </c>
      <c r="V91" s="135">
        <v>12</v>
      </c>
      <c r="W91" s="135"/>
      <c r="X91" s="135"/>
      <c r="Y91" s="122"/>
      <c r="Z91" s="122"/>
      <c r="AA91" s="122"/>
      <c r="AB91" s="122"/>
      <c r="AC91" s="243">
        <f>SUM(D92:AB92)</f>
        <v>24.199999999999996</v>
      </c>
      <c r="AE91" s="203">
        <v>18</v>
      </c>
      <c r="AF91" s="171" t="str">
        <f>IF(ISBLANK(STUD!E37)," ",STUD!E37)</f>
        <v xml:space="preserve"> </v>
      </c>
      <c r="AG91" s="183">
        <f t="shared" si="41"/>
        <v>0</v>
      </c>
      <c r="AH91" s="183">
        <f t="shared" si="46"/>
        <v>0</v>
      </c>
      <c r="AI91" s="53" t="str">
        <f t="shared" si="42"/>
        <v xml:space="preserve"> </v>
      </c>
      <c r="AJ91" s="53" t="str">
        <f>IF(AI91="","",IFERROR(IF(VLOOKUP(AI91,Programa!$Q$3:$R$18,2,0)="","",VLOOKUP(AI91,Programa!$Q$3:$R$18,2,0)),""))</f>
        <v/>
      </c>
      <c r="AK91" s="53" t="str">
        <f t="shared" si="43"/>
        <v xml:space="preserve"> </v>
      </c>
      <c r="AL91" s="53" t="str">
        <f>IF(AK91="","",IFERROR(IF(VLOOKUP(AK91,Programa!$Q$19:$R$34,2,0)="","",VLOOKUP(AK91,Programa!$L$19:$M$34,2,0)),""))</f>
        <v/>
      </c>
      <c r="AM91" s="53" t="str">
        <f t="shared" si="44"/>
        <v xml:space="preserve"> </v>
      </c>
      <c r="AN91" s="53" t="str">
        <f>IF(AM91="","",IFERROR(IF(VLOOKUP(AM91,Programa!$Q$35:$R$50,2,0)="","",VLOOKUP(AM91,Programa!$Q$35:$R$50,2,0)),""))</f>
        <v/>
      </c>
    </row>
    <row r="92" spans="1:40" ht="15.75" customHeight="1" x14ac:dyDescent="0.4">
      <c r="A92" s="242"/>
      <c r="B92" s="243"/>
      <c r="C92" s="245"/>
      <c r="D92" s="138">
        <f t="shared" ref="D92:AB92" si="55">IF(IFERROR(IF(VLOOKUP(D91,D$151:D$155,1,0)&gt;=1,D$150,0),D91)=D$132,D$136,IF(IFERROR(IF(VLOOKUP(D91,D$151:D$155,1,0)&gt;=1,D$150,0),D91)=D$139,D$142,IF(IFERROR(IF(VLOOKUP(D91,D$151:D$155,1,0)&gt;=1,D$150,0),D91)=D$145,D$147,0)))</f>
        <v>0</v>
      </c>
      <c r="E92" s="138">
        <f t="shared" si="55"/>
        <v>1</v>
      </c>
      <c r="F92" s="138">
        <f t="shared" si="55"/>
        <v>6.5</v>
      </c>
      <c r="G92" s="138">
        <f t="shared" si="55"/>
        <v>1.6</v>
      </c>
      <c r="H92" s="138">
        <f t="shared" si="55"/>
        <v>2.2999999999999998</v>
      </c>
      <c r="I92" s="138">
        <f t="shared" si="55"/>
        <v>0</v>
      </c>
      <c r="J92" s="138">
        <f t="shared" si="55"/>
        <v>7</v>
      </c>
      <c r="K92" s="138">
        <f t="shared" si="55"/>
        <v>0</v>
      </c>
      <c r="L92" s="138">
        <f t="shared" si="55"/>
        <v>0</v>
      </c>
      <c r="M92" s="138">
        <f t="shared" si="55"/>
        <v>0</v>
      </c>
      <c r="N92" s="138">
        <f t="shared" si="55"/>
        <v>0</v>
      </c>
      <c r="O92" s="138">
        <f t="shared" si="55"/>
        <v>0</v>
      </c>
      <c r="P92" s="138">
        <f t="shared" si="55"/>
        <v>0</v>
      </c>
      <c r="Q92" s="138">
        <f t="shared" si="55"/>
        <v>1.4</v>
      </c>
      <c r="R92" s="138">
        <f t="shared" si="55"/>
        <v>4.4000000000000004</v>
      </c>
      <c r="S92" s="138">
        <f t="shared" si="55"/>
        <v>0</v>
      </c>
      <c r="T92" s="138">
        <f t="shared" si="55"/>
        <v>0</v>
      </c>
      <c r="U92" s="138">
        <f t="shared" si="55"/>
        <v>0</v>
      </c>
      <c r="V92" s="138">
        <f t="shared" si="55"/>
        <v>0</v>
      </c>
      <c r="W92" s="138">
        <f t="shared" si="55"/>
        <v>0</v>
      </c>
      <c r="X92" s="138">
        <f t="shared" si="55"/>
        <v>0</v>
      </c>
      <c r="Y92" s="138">
        <f t="shared" si="55"/>
        <v>0</v>
      </c>
      <c r="Z92" s="138">
        <f t="shared" si="55"/>
        <v>0</v>
      </c>
      <c r="AA92" s="138">
        <f t="shared" si="55"/>
        <v>0</v>
      </c>
      <c r="AB92" s="138">
        <f t="shared" si="55"/>
        <v>0</v>
      </c>
      <c r="AC92" s="243"/>
      <c r="AE92" s="204">
        <v>19</v>
      </c>
      <c r="AF92" s="171" t="str">
        <f>IF(ISBLANK(STUD!E50)," ",STUD!E50)</f>
        <v xml:space="preserve"> </v>
      </c>
      <c r="AG92" s="183">
        <f t="shared" si="41"/>
        <v>0</v>
      </c>
      <c r="AH92" s="183">
        <f t="shared" si="46"/>
        <v>0</v>
      </c>
      <c r="AI92" s="53" t="str">
        <f t="shared" si="42"/>
        <v xml:space="preserve"> </v>
      </c>
      <c r="AJ92" s="53" t="str">
        <f>IF(AI92="","",IFERROR(IF(VLOOKUP(AI92,Programa!$Q$3:$R$18,2,0)="","",VLOOKUP(AI92,Programa!$Q$3:$R$18,2,0)),""))</f>
        <v/>
      </c>
      <c r="AK92" s="53" t="str">
        <f t="shared" si="43"/>
        <v xml:space="preserve"> </v>
      </c>
      <c r="AL92" s="53" t="str">
        <f>IF(AK92="","",IFERROR(IF(VLOOKUP(AK92,Programa!$Q$19:$R$34,2,0)="","",VLOOKUP(AK92,Programa!$L$19:$M$34,2,0)),""))</f>
        <v/>
      </c>
      <c r="AM92" s="53" t="str">
        <f t="shared" si="44"/>
        <v xml:space="preserve"> </v>
      </c>
      <c r="AN92" s="53" t="str">
        <f>IF(AM92="","",IFERROR(IF(VLOOKUP(AM92,Programa!$Q$35:$R$50,2,0)="","",VLOOKUP(AM92,Programa!$Q$35:$R$50,2,0)),""))</f>
        <v/>
      </c>
    </row>
    <row r="93" spans="1:40" ht="15.75" customHeight="1" x14ac:dyDescent="0.4">
      <c r="A93" s="242">
        <f t="shared" si="49"/>
        <v>11</v>
      </c>
      <c r="B93" s="243">
        <f>STUD!E45</f>
        <v>0</v>
      </c>
      <c r="C93" s="244">
        <f>SUM(D94:AB94)</f>
        <v>31.3</v>
      </c>
      <c r="D93" s="135">
        <v>3</v>
      </c>
      <c r="E93" s="135">
        <v>9</v>
      </c>
      <c r="F93" s="135">
        <v>2</v>
      </c>
      <c r="G93" s="135">
        <v>12</v>
      </c>
      <c r="H93" s="135">
        <v>6</v>
      </c>
      <c r="I93" s="135">
        <v>5</v>
      </c>
      <c r="J93" s="135">
        <v>2</v>
      </c>
      <c r="K93" s="135">
        <v>7</v>
      </c>
      <c r="L93" s="135">
        <v>14</v>
      </c>
      <c r="M93" s="135">
        <v>5</v>
      </c>
      <c r="N93" s="135">
        <v>2</v>
      </c>
      <c r="O93" s="136">
        <v>2</v>
      </c>
      <c r="P93" s="135">
        <v>9</v>
      </c>
      <c r="Q93" s="135">
        <v>8</v>
      </c>
      <c r="R93" s="135">
        <v>5</v>
      </c>
      <c r="S93" s="135">
        <v>6</v>
      </c>
      <c r="T93" s="135">
        <v>13</v>
      </c>
      <c r="U93" s="135">
        <v>12</v>
      </c>
      <c r="V93" s="135">
        <v>13</v>
      </c>
      <c r="W93" s="135"/>
      <c r="X93" s="135"/>
      <c r="Y93" s="122"/>
      <c r="Z93" s="122"/>
      <c r="AA93" s="122"/>
      <c r="AB93" s="122"/>
      <c r="AC93" s="243">
        <f>SUM(D94:AB94)</f>
        <v>31.3</v>
      </c>
      <c r="AE93" s="205">
        <v>20</v>
      </c>
      <c r="AF93" s="171" t="str">
        <f>IF(ISBLANK(STUD!E54)," ",STUD!E54)</f>
        <v xml:space="preserve"> </v>
      </c>
      <c r="AG93" s="183">
        <f t="shared" si="41"/>
        <v>0</v>
      </c>
      <c r="AH93" s="183">
        <f t="shared" si="46"/>
        <v>0</v>
      </c>
      <c r="AI93" s="53" t="str">
        <f t="shared" si="42"/>
        <v xml:space="preserve"> </v>
      </c>
      <c r="AJ93" s="53" t="str">
        <f>IF(AI93="","",IFERROR(IF(VLOOKUP(AI93,Programa!$Q$3:$R$18,2,0)="","",VLOOKUP(AI93,Programa!$Q$3:$R$18,2,0)),""))</f>
        <v/>
      </c>
      <c r="AK93" s="53" t="str">
        <f t="shared" si="43"/>
        <v xml:space="preserve"> </v>
      </c>
      <c r="AL93" s="53" t="str">
        <f>IF(AK93="","",IFERROR(IF(VLOOKUP(AK93,Programa!$Q$19:$R$34,2,0)="","",VLOOKUP(AK93,Programa!$L$19:$M$34,2,0)),""))</f>
        <v/>
      </c>
      <c r="AM93" s="53" t="str">
        <f t="shared" si="44"/>
        <v xml:space="preserve"> </v>
      </c>
      <c r="AN93" s="53" t="str">
        <f>IF(AM93="","",IFERROR(IF(VLOOKUP(AM93,Programa!$Q$35:$R$50,2,0)="","",VLOOKUP(AM93,Programa!$Q$35:$R$50,2,0)),""))</f>
        <v/>
      </c>
    </row>
    <row r="94" spans="1:40" ht="15.75" customHeight="1" x14ac:dyDescent="0.4">
      <c r="A94" s="242"/>
      <c r="B94" s="243"/>
      <c r="C94" s="245"/>
      <c r="D94" s="138">
        <f t="shared" ref="D94:AB94" si="56">IF(IFERROR(IF(VLOOKUP(D93,D$151:D$155,1,0)&gt;=1,D$150,0),D93)=D$132,D$136,IF(IFERROR(IF(VLOOKUP(D93,D$151:D$155,1,0)&gt;=1,D$150,0),D93)=D$139,D$142,IF(IFERROR(IF(VLOOKUP(D93,D$151:D$155,1,0)&gt;=1,D$150,0),D93)=D$145,D$147,0)))</f>
        <v>0</v>
      </c>
      <c r="E94" s="138">
        <f t="shared" si="56"/>
        <v>0</v>
      </c>
      <c r="F94" s="138">
        <f t="shared" si="56"/>
        <v>0</v>
      </c>
      <c r="G94" s="138">
        <f t="shared" si="56"/>
        <v>1.6</v>
      </c>
      <c r="H94" s="138">
        <f t="shared" si="56"/>
        <v>0</v>
      </c>
      <c r="I94" s="138">
        <f t="shared" si="56"/>
        <v>0</v>
      </c>
      <c r="J94" s="138">
        <f t="shared" si="56"/>
        <v>0</v>
      </c>
      <c r="K94" s="138">
        <f t="shared" si="56"/>
        <v>2.4</v>
      </c>
      <c r="L94" s="138">
        <f t="shared" si="56"/>
        <v>0</v>
      </c>
      <c r="M94" s="138">
        <f t="shared" si="56"/>
        <v>3.9000000000000004</v>
      </c>
      <c r="N94" s="138">
        <f t="shared" si="56"/>
        <v>0</v>
      </c>
      <c r="O94" s="138">
        <f t="shared" si="56"/>
        <v>0</v>
      </c>
      <c r="P94" s="138">
        <f t="shared" si="56"/>
        <v>0</v>
      </c>
      <c r="Q94" s="138">
        <f t="shared" si="56"/>
        <v>0</v>
      </c>
      <c r="R94" s="138">
        <f t="shared" si="56"/>
        <v>20.2</v>
      </c>
      <c r="S94" s="138">
        <f t="shared" si="56"/>
        <v>3.2</v>
      </c>
      <c r="T94" s="138">
        <f t="shared" si="56"/>
        <v>0</v>
      </c>
      <c r="U94" s="138">
        <f t="shared" si="56"/>
        <v>0</v>
      </c>
      <c r="V94" s="138">
        <f t="shared" si="56"/>
        <v>0</v>
      </c>
      <c r="W94" s="138">
        <f t="shared" si="56"/>
        <v>0</v>
      </c>
      <c r="X94" s="138">
        <f t="shared" si="56"/>
        <v>0</v>
      </c>
      <c r="Y94" s="138">
        <f t="shared" si="56"/>
        <v>0</v>
      </c>
      <c r="Z94" s="138">
        <f t="shared" si="56"/>
        <v>0</v>
      </c>
      <c r="AA94" s="138">
        <f t="shared" si="56"/>
        <v>0</v>
      </c>
      <c r="AB94" s="138">
        <f t="shared" si="56"/>
        <v>0</v>
      </c>
      <c r="AC94" s="243"/>
      <c r="AE94" s="206">
        <v>21</v>
      </c>
      <c r="AF94" s="171" t="str">
        <f>IF(ISBLANK(STUD!E55)," ",STUD!E55)</f>
        <v xml:space="preserve"> </v>
      </c>
      <c r="AG94" s="183">
        <f t="shared" si="41"/>
        <v>0</v>
      </c>
      <c r="AH94" s="183">
        <f t="shared" si="46"/>
        <v>0</v>
      </c>
      <c r="AI94" s="53" t="str">
        <f t="shared" si="42"/>
        <v xml:space="preserve"> </v>
      </c>
      <c r="AJ94" s="53" t="str">
        <f>IF(AI94="","",IFERROR(IF(VLOOKUP(AI94,Programa!$Q$3:$R$18,2,0)="","",VLOOKUP(AI94,Programa!$Q$3:$R$18,2,0)),""))</f>
        <v/>
      </c>
      <c r="AK94" s="53" t="str">
        <f t="shared" si="43"/>
        <v xml:space="preserve"> </v>
      </c>
      <c r="AL94" s="53" t="str">
        <f>IF(AK94="","",IFERROR(IF(VLOOKUP(AK94,Programa!$Q$19:$R$34,2,0)="","",VLOOKUP(AK94,Programa!$L$19:$M$34,2,0)),""))</f>
        <v/>
      </c>
      <c r="AM94" s="53" t="str">
        <f t="shared" si="44"/>
        <v xml:space="preserve"> </v>
      </c>
      <c r="AN94" s="53" t="str">
        <f>IF(AM94="","",IFERROR(IF(VLOOKUP(AM94,Programa!$Q$35:$R$50,2,0)="","",VLOOKUP(AM94,Programa!$Q$35:$R$50,2,0)),""))</f>
        <v/>
      </c>
    </row>
    <row r="95" spans="1:40" ht="15.75" customHeight="1" x14ac:dyDescent="0.4">
      <c r="A95" s="242">
        <f t="shared" si="49"/>
        <v>12</v>
      </c>
      <c r="B95" s="243">
        <f>STUD!E46</f>
        <v>0</v>
      </c>
      <c r="C95" s="244">
        <f>SUM(D96:AB96)</f>
        <v>46.900000000000006</v>
      </c>
      <c r="D95" s="139">
        <v>12</v>
      </c>
      <c r="E95" s="139">
        <v>11</v>
      </c>
      <c r="F95" s="139">
        <v>8</v>
      </c>
      <c r="G95" s="139">
        <v>1</v>
      </c>
      <c r="H95" s="139">
        <v>1</v>
      </c>
      <c r="I95" s="139">
        <v>1</v>
      </c>
      <c r="J95" s="139">
        <v>10</v>
      </c>
      <c r="K95" s="139">
        <v>1</v>
      </c>
      <c r="L95" s="139">
        <v>4</v>
      </c>
      <c r="M95" s="139">
        <v>6</v>
      </c>
      <c r="N95" s="14">
        <v>1</v>
      </c>
      <c r="O95" s="14">
        <v>3</v>
      </c>
      <c r="P95" s="14">
        <v>6</v>
      </c>
      <c r="Q95" s="14">
        <v>6</v>
      </c>
      <c r="R95" s="14">
        <v>14</v>
      </c>
      <c r="S95" s="14">
        <v>3</v>
      </c>
      <c r="T95" s="14">
        <v>11</v>
      </c>
      <c r="U95" s="14">
        <v>3</v>
      </c>
      <c r="V95" s="14">
        <v>1</v>
      </c>
      <c r="W95" s="14"/>
      <c r="X95" s="135"/>
      <c r="Y95" s="122"/>
      <c r="Z95" s="122"/>
      <c r="AA95" s="122"/>
      <c r="AB95" s="122"/>
      <c r="AC95" s="243">
        <f>SUM(D96:AB96)</f>
        <v>46.900000000000006</v>
      </c>
      <c r="AE95" s="207">
        <v>22</v>
      </c>
      <c r="AF95" s="171" t="str">
        <f>IF(ISBLANK(STUD!E58)," ",STUD!E58)</f>
        <v xml:space="preserve"> </v>
      </c>
      <c r="AG95" s="183">
        <f t="shared" si="41"/>
        <v>0</v>
      </c>
      <c r="AH95" s="183">
        <f t="shared" si="46"/>
        <v>0</v>
      </c>
      <c r="AI95" s="53" t="str">
        <f t="shared" si="42"/>
        <v xml:space="preserve"> </v>
      </c>
      <c r="AJ95" s="53" t="str">
        <f>IF(AI95="","",IFERROR(IF(VLOOKUP(AI95,Programa!$Q$3:$R$18,2,0)="","",VLOOKUP(AI95,Programa!$Q$3:$R$18,2,0)),""))</f>
        <v/>
      </c>
      <c r="AK95" s="53" t="str">
        <f t="shared" si="43"/>
        <v xml:space="preserve"> </v>
      </c>
      <c r="AL95" s="53" t="str">
        <f>IF(AK95="","",IFERROR(IF(VLOOKUP(AK95,Programa!$Q$19:$R$34,2,0)="","",VLOOKUP(AK95,Programa!$L$19:$M$34,2,0)),""))</f>
        <v/>
      </c>
      <c r="AM95" s="53" t="str">
        <f t="shared" si="44"/>
        <v xml:space="preserve"> </v>
      </c>
      <c r="AN95" s="53" t="str">
        <f>IF(AM95="","",IFERROR(IF(VLOOKUP(AM95,Programa!$Q$35:$R$50,2,0)="","",VLOOKUP(AM95,Programa!$Q$35:$R$50,2,0)),""))</f>
        <v/>
      </c>
    </row>
    <row r="96" spans="1:40" ht="15.75" customHeight="1" x14ac:dyDescent="0.4">
      <c r="A96" s="242"/>
      <c r="B96" s="243"/>
      <c r="C96" s="245"/>
      <c r="D96" s="138">
        <f t="shared" ref="D96:AB96" si="57">IF(IFERROR(IF(VLOOKUP(D95,D$151:D$155,1,0)&gt;=1,D$150,0),D95)=D$132,D$136,IF(IFERROR(IF(VLOOKUP(D95,D$151:D$155,1,0)&gt;=1,D$150,0),D95)=D$139,D$142,IF(IFERROR(IF(VLOOKUP(D95,D$151:D$155,1,0)&gt;=1,D$150,0),D95)=D$145,D$147,0)))</f>
        <v>2.2999999999999998</v>
      </c>
      <c r="E96" s="138">
        <f t="shared" si="57"/>
        <v>3.2</v>
      </c>
      <c r="F96" s="138">
        <f t="shared" si="57"/>
        <v>0</v>
      </c>
      <c r="G96" s="138">
        <f t="shared" si="57"/>
        <v>0</v>
      </c>
      <c r="H96" s="138">
        <f t="shared" si="57"/>
        <v>2.2999999999999998</v>
      </c>
      <c r="I96" s="138">
        <f t="shared" si="57"/>
        <v>10.4</v>
      </c>
      <c r="J96" s="138">
        <f t="shared" si="57"/>
        <v>0</v>
      </c>
      <c r="K96" s="138">
        <f t="shared" si="57"/>
        <v>0</v>
      </c>
      <c r="L96" s="138">
        <f t="shared" si="57"/>
        <v>0</v>
      </c>
      <c r="M96" s="138">
        <f t="shared" si="57"/>
        <v>0</v>
      </c>
      <c r="N96" s="138">
        <f t="shared" si="57"/>
        <v>3.5</v>
      </c>
      <c r="O96" s="138">
        <f t="shared" si="57"/>
        <v>3.6</v>
      </c>
      <c r="P96" s="138">
        <f t="shared" si="57"/>
        <v>0</v>
      </c>
      <c r="Q96" s="138">
        <f t="shared" si="57"/>
        <v>0</v>
      </c>
      <c r="R96" s="138">
        <f t="shared" si="57"/>
        <v>0</v>
      </c>
      <c r="S96" s="138">
        <f t="shared" si="57"/>
        <v>0</v>
      </c>
      <c r="T96" s="138">
        <f t="shared" si="57"/>
        <v>2.1</v>
      </c>
      <c r="U96" s="138">
        <f t="shared" si="57"/>
        <v>1.7</v>
      </c>
      <c r="V96" s="138">
        <f t="shared" si="57"/>
        <v>17.8</v>
      </c>
      <c r="W96" s="138">
        <f t="shared" si="57"/>
        <v>0</v>
      </c>
      <c r="X96" s="138">
        <f t="shared" si="57"/>
        <v>0</v>
      </c>
      <c r="Y96" s="138">
        <f t="shared" si="57"/>
        <v>0</v>
      </c>
      <c r="Z96" s="138">
        <f t="shared" si="57"/>
        <v>0</v>
      </c>
      <c r="AA96" s="138">
        <f t="shared" si="57"/>
        <v>0</v>
      </c>
      <c r="AB96" s="138">
        <f t="shared" si="57"/>
        <v>0</v>
      </c>
      <c r="AC96" s="243"/>
      <c r="AE96" s="208">
        <v>23</v>
      </c>
      <c r="AF96" s="171" t="str">
        <f>IF(ISBLANK(STUD!E57)," ",STUD!E57)</f>
        <v xml:space="preserve"> </v>
      </c>
      <c r="AG96" s="183">
        <f t="shared" si="41"/>
        <v>0</v>
      </c>
      <c r="AH96" s="183">
        <f t="shared" si="46"/>
        <v>0</v>
      </c>
      <c r="AI96" s="53" t="str">
        <f t="shared" si="42"/>
        <v xml:space="preserve"> </v>
      </c>
      <c r="AJ96" s="53" t="str">
        <f>IF(AI96="","",IFERROR(IF(VLOOKUP(AI96,Programa!$Q$3:$R$18,2,0)="","",VLOOKUP(AI96,Programa!$Q$3:$R$18,2,0)),""))</f>
        <v/>
      </c>
      <c r="AK96" s="53" t="str">
        <f t="shared" si="43"/>
        <v xml:space="preserve"> </v>
      </c>
      <c r="AL96" s="53" t="str">
        <f>IF(AK96="","",IFERROR(IF(VLOOKUP(AK96,Programa!$Q$19:$R$34,2,0)="","",VLOOKUP(AK96,Programa!$L$19:$M$34,2,0)),""))</f>
        <v/>
      </c>
      <c r="AM96" s="53" t="str">
        <f t="shared" si="44"/>
        <v xml:space="preserve"> </v>
      </c>
      <c r="AN96" s="53" t="str">
        <f>IF(AM96="","",IFERROR(IF(VLOOKUP(AM96,Programa!$Q$35:$R$50,2,0)="","",VLOOKUP(AM96,Programa!$Q$35:$R$50,2,0)),""))</f>
        <v/>
      </c>
    </row>
    <row r="97" spans="1:40" ht="15.75" customHeight="1" x14ac:dyDescent="0.4">
      <c r="A97" s="242">
        <f t="shared" si="49"/>
        <v>13</v>
      </c>
      <c r="B97" s="243">
        <f>STUD!E47</f>
        <v>0</v>
      </c>
      <c r="C97" s="244">
        <f>SUM(D98:AB98)</f>
        <v>87.999999999999986</v>
      </c>
      <c r="D97" s="139">
        <v>15</v>
      </c>
      <c r="E97" s="139">
        <v>9</v>
      </c>
      <c r="F97" s="139">
        <v>2</v>
      </c>
      <c r="G97" s="139">
        <v>1</v>
      </c>
      <c r="H97" s="139">
        <v>13</v>
      </c>
      <c r="I97" s="139">
        <v>7</v>
      </c>
      <c r="J97" s="139">
        <v>4</v>
      </c>
      <c r="K97" s="139">
        <v>7</v>
      </c>
      <c r="L97" s="139">
        <v>2</v>
      </c>
      <c r="M97" s="139">
        <v>1</v>
      </c>
      <c r="N97" s="14">
        <v>9</v>
      </c>
      <c r="O97" s="14">
        <v>1</v>
      </c>
      <c r="P97" s="14">
        <v>3</v>
      </c>
      <c r="Q97" s="14">
        <v>14</v>
      </c>
      <c r="R97" s="14">
        <v>5</v>
      </c>
      <c r="S97" s="14">
        <v>1</v>
      </c>
      <c r="T97" s="14">
        <v>7</v>
      </c>
      <c r="U97" s="14">
        <v>14</v>
      </c>
      <c r="V97" s="14">
        <v>5</v>
      </c>
      <c r="W97" s="14"/>
      <c r="X97" s="135"/>
      <c r="Y97" s="122"/>
      <c r="Z97" s="122"/>
      <c r="AA97" s="122"/>
      <c r="AB97" s="122"/>
      <c r="AC97" s="243">
        <f>SUM(D98:AB98)</f>
        <v>87.999999999999986</v>
      </c>
      <c r="AE97" s="209">
        <v>24</v>
      </c>
      <c r="AF97" s="171" t="str">
        <f>IF(ISBLANK(STUD!E56)," ",STUD!E56)</f>
        <v xml:space="preserve"> </v>
      </c>
      <c r="AG97" s="183">
        <f t="shared" si="41"/>
        <v>0</v>
      </c>
      <c r="AH97" s="183">
        <f t="shared" si="46"/>
        <v>0</v>
      </c>
      <c r="AI97" s="53" t="str">
        <f t="shared" si="42"/>
        <v xml:space="preserve"> </v>
      </c>
      <c r="AJ97" s="53" t="str">
        <f>IF(AI97="","",IFERROR(IF(VLOOKUP(AI97,Programa!$Q$3:$R$18,2,0)="","",VLOOKUP(AI97,Programa!$Q$3:$R$18,2,0)),""))</f>
        <v/>
      </c>
      <c r="AK97" s="53" t="str">
        <f t="shared" si="43"/>
        <v xml:space="preserve"> </v>
      </c>
      <c r="AL97" s="53" t="str">
        <f>IF(AK97="","",IFERROR(IF(VLOOKUP(AK97,Programa!$Q$19:$R$34,2,0)="","",VLOOKUP(AK97,Programa!$L$19:$M$34,2,0)),""))</f>
        <v/>
      </c>
      <c r="AM97" s="53" t="str">
        <f t="shared" si="44"/>
        <v xml:space="preserve"> </v>
      </c>
      <c r="AN97" s="53" t="str">
        <f>IF(AM97="","",IFERROR(IF(VLOOKUP(AM97,Programa!$Q$35:$R$50,2,0)="","",VLOOKUP(AM97,Programa!$Q$35:$R$50,2,0)),""))</f>
        <v/>
      </c>
    </row>
    <row r="98" spans="1:40" ht="15.75" customHeight="1" x14ac:dyDescent="0.4">
      <c r="A98" s="242"/>
      <c r="B98" s="243"/>
      <c r="C98" s="245"/>
      <c r="D98" s="138">
        <f t="shared" ref="D98:AB98" si="58">IF(IFERROR(IF(VLOOKUP(D97,D$151:D$155,1,0)&gt;=1,D$150,0),D97)=D$132,D$136,IF(IFERROR(IF(VLOOKUP(D97,D$151:D$155,1,0)&gt;=1,D$150,0),D97)=D$139,D$142,IF(IFERROR(IF(VLOOKUP(D97,D$151:D$155,1,0)&gt;=1,D$150,0),D97)=D$145,D$147,0)))</f>
        <v>0</v>
      </c>
      <c r="E98" s="138">
        <f t="shared" si="58"/>
        <v>0</v>
      </c>
      <c r="F98" s="138">
        <f t="shared" si="58"/>
        <v>0</v>
      </c>
      <c r="G98" s="138">
        <f t="shared" si="58"/>
        <v>0</v>
      </c>
      <c r="H98" s="138">
        <f t="shared" si="58"/>
        <v>23.2</v>
      </c>
      <c r="I98" s="138">
        <f t="shared" si="58"/>
        <v>0</v>
      </c>
      <c r="J98" s="138">
        <f t="shared" si="58"/>
        <v>0</v>
      </c>
      <c r="K98" s="138">
        <f t="shared" si="58"/>
        <v>2.4</v>
      </c>
      <c r="L98" s="138">
        <f t="shared" si="58"/>
        <v>8.1999999999999993</v>
      </c>
      <c r="M98" s="138">
        <f t="shared" si="58"/>
        <v>2.5</v>
      </c>
      <c r="N98" s="138">
        <f t="shared" si="58"/>
        <v>6.2</v>
      </c>
      <c r="O98" s="138">
        <f t="shared" si="58"/>
        <v>0</v>
      </c>
      <c r="P98" s="138">
        <f t="shared" si="58"/>
        <v>0</v>
      </c>
      <c r="Q98" s="138">
        <f t="shared" si="58"/>
        <v>13.1</v>
      </c>
      <c r="R98" s="138">
        <f t="shared" si="58"/>
        <v>20.2</v>
      </c>
      <c r="S98" s="138">
        <f t="shared" si="58"/>
        <v>7.6</v>
      </c>
      <c r="T98" s="138">
        <f t="shared" si="58"/>
        <v>0</v>
      </c>
      <c r="U98" s="138">
        <f t="shared" si="58"/>
        <v>0</v>
      </c>
      <c r="V98" s="138">
        <f t="shared" si="58"/>
        <v>4.5999999999999996</v>
      </c>
      <c r="W98" s="138">
        <f t="shared" si="58"/>
        <v>0</v>
      </c>
      <c r="X98" s="138">
        <f t="shared" si="58"/>
        <v>0</v>
      </c>
      <c r="Y98" s="138">
        <f t="shared" si="58"/>
        <v>0</v>
      </c>
      <c r="Z98" s="138">
        <f t="shared" si="58"/>
        <v>0</v>
      </c>
      <c r="AA98" s="138">
        <f t="shared" si="58"/>
        <v>0</v>
      </c>
      <c r="AB98" s="138">
        <f t="shared" si="58"/>
        <v>0</v>
      </c>
      <c r="AC98" s="243"/>
      <c r="AE98" s="210">
        <v>25</v>
      </c>
      <c r="AF98" s="171" t="str">
        <f>IF(ISBLANK(STUD!E59)," ",STUD!E59)</f>
        <v xml:space="preserve"> </v>
      </c>
      <c r="AG98" s="183">
        <f t="shared" si="41"/>
        <v>0</v>
      </c>
      <c r="AH98" s="183">
        <f t="shared" si="46"/>
        <v>0</v>
      </c>
      <c r="AI98" s="53" t="str">
        <f t="shared" si="42"/>
        <v xml:space="preserve"> </v>
      </c>
      <c r="AJ98" s="53" t="str">
        <f>IF(AI98="","",IFERROR(IF(VLOOKUP(AI98,Programa!$Q$3:$R$18,2,0)="","",VLOOKUP(AI98,Programa!$Q$3:$R$18,2,0)),""))</f>
        <v/>
      </c>
      <c r="AK98" s="53" t="str">
        <f t="shared" si="43"/>
        <v xml:space="preserve"> </v>
      </c>
      <c r="AL98" s="53" t="str">
        <f>IF(AK98="","",IFERROR(IF(VLOOKUP(AK98,Programa!$Q$19:$R$34,2,0)="","",VLOOKUP(AK98,Programa!$L$19:$M$34,2,0)),""))</f>
        <v/>
      </c>
      <c r="AM98" s="53" t="str">
        <f t="shared" si="44"/>
        <v xml:space="preserve"> </v>
      </c>
      <c r="AN98" s="53" t="str">
        <f>IF(AM98="","",IFERROR(IF(VLOOKUP(AM98,Programa!$Q$35:$R$50,2,0)="","",VLOOKUP(AM98,Programa!$Q$35:$R$50,2,0)),""))</f>
        <v/>
      </c>
    </row>
    <row r="99" spans="1:40" ht="15.75" customHeight="1" x14ac:dyDescent="0.4">
      <c r="A99" s="242">
        <f t="shared" si="49"/>
        <v>14</v>
      </c>
      <c r="B99" s="243">
        <f>STUD!E48</f>
        <v>0</v>
      </c>
      <c r="C99" s="244">
        <f>SUM(D100:AB100)</f>
        <v>14.3</v>
      </c>
      <c r="D99" s="139">
        <v>2</v>
      </c>
      <c r="E99" s="139">
        <v>7</v>
      </c>
      <c r="F99" s="139">
        <v>9</v>
      </c>
      <c r="G99" s="139">
        <v>14</v>
      </c>
      <c r="H99" s="139">
        <v>3</v>
      </c>
      <c r="I99" s="139">
        <v>4</v>
      </c>
      <c r="J99" s="139">
        <v>7</v>
      </c>
      <c r="K99" s="139">
        <v>12</v>
      </c>
      <c r="L99" s="139">
        <v>6</v>
      </c>
      <c r="M99" s="139">
        <v>2</v>
      </c>
      <c r="N99" s="14">
        <v>2</v>
      </c>
      <c r="O99" s="14">
        <v>4</v>
      </c>
      <c r="P99" s="14">
        <v>7</v>
      </c>
      <c r="Q99" s="14">
        <v>12</v>
      </c>
      <c r="R99" s="14">
        <v>1</v>
      </c>
      <c r="S99" s="14">
        <v>6</v>
      </c>
      <c r="T99" s="14">
        <v>12</v>
      </c>
      <c r="U99" s="14">
        <v>6</v>
      </c>
      <c r="V99" s="14">
        <v>8</v>
      </c>
      <c r="W99" s="14"/>
      <c r="X99" s="135"/>
      <c r="Y99" s="122"/>
      <c r="Z99" s="122"/>
      <c r="AA99" s="122"/>
      <c r="AB99" s="122"/>
      <c r="AC99" s="243">
        <f>SUM(D100:AB100)</f>
        <v>14.3</v>
      </c>
      <c r="AE99" s="211">
        <v>26</v>
      </c>
      <c r="AF99" s="171" t="str">
        <f>IF(ISBLANK(STUD!E60)," ",STUD!E60)</f>
        <v xml:space="preserve"> </v>
      </c>
      <c r="AG99" s="183">
        <f t="shared" si="41"/>
        <v>0</v>
      </c>
      <c r="AH99" s="183">
        <f t="shared" si="46"/>
        <v>0</v>
      </c>
      <c r="AI99" s="53" t="str">
        <f t="shared" si="42"/>
        <v xml:space="preserve"> </v>
      </c>
      <c r="AJ99" s="53" t="str">
        <f>IF(AI99="","",IFERROR(IF(VLOOKUP(AI99,Programa!$Q$3:$R$18,2,0)="","",VLOOKUP(AI99,Programa!$Q$3:$R$18,2,0)),""))</f>
        <v/>
      </c>
      <c r="AK99" s="53" t="str">
        <f t="shared" si="43"/>
        <v xml:space="preserve"> </v>
      </c>
      <c r="AL99" s="53" t="str">
        <f>IF(AK99="","",IFERROR(IF(VLOOKUP(AK99,Programa!$Q$19:$R$34,2,0)="","",VLOOKUP(AK99,Programa!$L$19:$M$34,2,0)),""))</f>
        <v/>
      </c>
      <c r="AM99" s="53" t="str">
        <f t="shared" si="44"/>
        <v xml:space="preserve"> </v>
      </c>
      <c r="AN99" s="53" t="str">
        <f>IF(AM99="","",IFERROR(IF(VLOOKUP(AM99,Programa!$Q$35:$R$50,2,0)="","",VLOOKUP(AM99,Programa!$Q$35:$R$50,2,0)),""))</f>
        <v/>
      </c>
    </row>
    <row r="100" spans="1:40" ht="15.75" customHeight="1" x14ac:dyDescent="0.4">
      <c r="A100" s="242"/>
      <c r="B100" s="243"/>
      <c r="C100" s="245"/>
      <c r="D100" s="138">
        <f t="shared" ref="D100:AB100" si="59">IF(IFERROR(IF(VLOOKUP(D99,D$151:D$155,1,0)&gt;=1,D$150,0),D99)=D$132,D$136,IF(IFERROR(IF(VLOOKUP(D99,D$151:D$155,1,0)&gt;=1,D$150,0),D99)=D$139,D$142,IF(IFERROR(IF(VLOOKUP(D99,D$151:D$155,1,0)&gt;=1,D$150,0),D99)=D$145,D$147,0)))</f>
        <v>0</v>
      </c>
      <c r="E100" s="138">
        <f t="shared" si="59"/>
        <v>0</v>
      </c>
      <c r="F100" s="138">
        <f t="shared" si="59"/>
        <v>0</v>
      </c>
      <c r="G100" s="138">
        <f t="shared" si="59"/>
        <v>0</v>
      </c>
      <c r="H100" s="138">
        <f t="shared" si="59"/>
        <v>0</v>
      </c>
      <c r="I100" s="138">
        <f t="shared" si="59"/>
        <v>1.6</v>
      </c>
      <c r="J100" s="138">
        <f t="shared" si="59"/>
        <v>0</v>
      </c>
      <c r="K100" s="138">
        <f t="shared" si="59"/>
        <v>0</v>
      </c>
      <c r="L100" s="138">
        <f t="shared" si="59"/>
        <v>0</v>
      </c>
      <c r="M100" s="138">
        <f t="shared" si="59"/>
        <v>3.5</v>
      </c>
      <c r="N100" s="138">
        <f t="shared" si="59"/>
        <v>0</v>
      </c>
      <c r="O100" s="138">
        <f t="shared" si="59"/>
        <v>0</v>
      </c>
      <c r="P100" s="138">
        <f t="shared" si="59"/>
        <v>0</v>
      </c>
      <c r="Q100" s="138">
        <f t="shared" si="59"/>
        <v>0</v>
      </c>
      <c r="R100" s="138">
        <f t="shared" si="59"/>
        <v>0</v>
      </c>
      <c r="S100" s="138">
        <f t="shared" si="59"/>
        <v>3.2</v>
      </c>
      <c r="T100" s="138">
        <f t="shared" si="59"/>
        <v>0</v>
      </c>
      <c r="U100" s="138">
        <f t="shared" si="59"/>
        <v>0</v>
      </c>
      <c r="V100" s="138">
        <f t="shared" si="59"/>
        <v>6</v>
      </c>
      <c r="W100" s="138">
        <f t="shared" si="59"/>
        <v>0</v>
      </c>
      <c r="X100" s="138">
        <f t="shared" si="59"/>
        <v>0</v>
      </c>
      <c r="Y100" s="138">
        <f t="shared" si="59"/>
        <v>0</v>
      </c>
      <c r="Z100" s="138">
        <f t="shared" si="59"/>
        <v>0</v>
      </c>
      <c r="AA100" s="138">
        <f t="shared" si="59"/>
        <v>0</v>
      </c>
      <c r="AB100" s="138">
        <f t="shared" si="59"/>
        <v>0</v>
      </c>
      <c r="AC100" s="243"/>
      <c r="AE100" s="212">
        <v>27</v>
      </c>
      <c r="AF100" s="171" t="str">
        <f>IF(ISBLANK(STUD!E61)," ",STUD!E61)</f>
        <v xml:space="preserve"> </v>
      </c>
      <c r="AG100" s="183">
        <f t="shared" si="41"/>
        <v>0</v>
      </c>
      <c r="AH100" s="183">
        <f t="shared" si="46"/>
        <v>0</v>
      </c>
      <c r="AI100" s="53" t="str">
        <f t="shared" si="42"/>
        <v xml:space="preserve"> </v>
      </c>
      <c r="AJ100" s="53" t="str">
        <f>IF(AI100="","",IFERROR(IF(VLOOKUP(AI100,Programa!$Q$3:$R$18,2,0)="","",VLOOKUP(AI100,Programa!$Q$3:$R$18,2,0)),""))</f>
        <v/>
      </c>
      <c r="AK100" s="53" t="str">
        <f t="shared" si="43"/>
        <v xml:space="preserve"> </v>
      </c>
      <c r="AL100" s="53" t="str">
        <f>IF(AK100="","",IFERROR(IF(VLOOKUP(AK100,Programa!$Q$19:$R$34,2,0)="","",VLOOKUP(AK100,Programa!$L$19:$M$34,2,0)),""))</f>
        <v/>
      </c>
      <c r="AM100" s="53" t="str">
        <f t="shared" si="44"/>
        <v xml:space="preserve"> </v>
      </c>
      <c r="AN100" s="53" t="str">
        <f>IF(AM100="","",IFERROR(IF(VLOOKUP(AM100,Programa!$Q$35:$R$50,2,0)="","",VLOOKUP(AM100,Programa!$Q$35:$R$50,2,0)),""))</f>
        <v/>
      </c>
    </row>
    <row r="101" spans="1:40" ht="15.75" customHeight="1" x14ac:dyDescent="0.4">
      <c r="A101" s="242">
        <f t="shared" si="49"/>
        <v>15</v>
      </c>
      <c r="B101" s="243">
        <f>STUD!E49</f>
        <v>0</v>
      </c>
      <c r="C101" s="244">
        <f>SUM(D102:AB102)</f>
        <v>55.100000000000009</v>
      </c>
      <c r="D101" s="14">
        <v>13</v>
      </c>
      <c r="E101" s="14">
        <v>2</v>
      </c>
      <c r="F101" s="14">
        <v>7</v>
      </c>
      <c r="G101" s="14">
        <v>7</v>
      </c>
      <c r="H101" s="14">
        <v>8</v>
      </c>
      <c r="I101" s="14">
        <v>2</v>
      </c>
      <c r="J101" s="14">
        <v>11</v>
      </c>
      <c r="K101" s="14">
        <v>9</v>
      </c>
      <c r="L101" s="14">
        <v>13</v>
      </c>
      <c r="M101" s="14">
        <v>5</v>
      </c>
      <c r="N101" s="14">
        <v>10</v>
      </c>
      <c r="O101" s="14">
        <v>3</v>
      </c>
      <c r="P101" s="14">
        <v>6</v>
      </c>
      <c r="Q101" s="14">
        <v>14</v>
      </c>
      <c r="R101" s="14">
        <v>6</v>
      </c>
      <c r="S101" s="14">
        <v>9</v>
      </c>
      <c r="T101" s="14">
        <v>7</v>
      </c>
      <c r="U101" s="14">
        <v>11</v>
      </c>
      <c r="V101" s="14">
        <v>7</v>
      </c>
      <c r="W101" s="135"/>
      <c r="X101" s="135"/>
      <c r="Y101" s="122"/>
      <c r="Z101" s="122"/>
      <c r="AA101" s="122"/>
      <c r="AB101" s="122"/>
      <c r="AC101" s="243">
        <f>SUM(D102:AB102)</f>
        <v>55.100000000000009</v>
      </c>
      <c r="AE101" s="223">
        <v>28</v>
      </c>
      <c r="AF101" s="171" t="str">
        <f>IF(ISBLANK(STUD!E62)," ",STUD!E62)</f>
        <v xml:space="preserve"> </v>
      </c>
      <c r="AG101" s="224">
        <f t="shared" si="41"/>
        <v>0</v>
      </c>
      <c r="AH101" s="224">
        <f t="shared" si="46"/>
        <v>0</v>
      </c>
      <c r="AI101" s="53" t="str">
        <f t="shared" si="42"/>
        <v xml:space="preserve"> </v>
      </c>
      <c r="AJ101" s="53" t="str">
        <f>IF(AI101="","",IFERROR(IF(VLOOKUP(AI101,Programa!$Q$3:$R$18,2,0)="","",VLOOKUP(AI101,Programa!$Q$3:$R$18,2,0)),""))</f>
        <v/>
      </c>
      <c r="AK101" s="53" t="str">
        <f t="shared" si="43"/>
        <v xml:space="preserve"> </v>
      </c>
      <c r="AL101" s="53" t="str">
        <f>IF(AK101="","",IFERROR(IF(VLOOKUP(AK101,Programa!$Q$19:$R$34,2,0)="","",VLOOKUP(AK101,Programa!$L$19:$M$34,2,0)),""))</f>
        <v/>
      </c>
      <c r="AM101" s="53" t="str">
        <f t="shared" si="44"/>
        <v xml:space="preserve"> </v>
      </c>
      <c r="AN101" s="53" t="str">
        <f>IF(AM101="","",IFERROR(IF(VLOOKUP(AM101,Programa!$Q$35:$R$50,2,0)="","",VLOOKUP(AM101,Programa!$Q$35:$R$50,2,0)),""))</f>
        <v/>
      </c>
    </row>
    <row r="102" spans="1:40" ht="15.75" customHeight="1" x14ac:dyDescent="0.4">
      <c r="A102" s="242"/>
      <c r="B102" s="243"/>
      <c r="C102" s="245"/>
      <c r="D102" s="138">
        <f t="shared" ref="D102:AB102" si="60">IF(IFERROR(IF(VLOOKUP(D101,D$151:D$155,1,0)&gt;=1,D$150,0),D101)=D$132,D$136,IF(IFERROR(IF(VLOOKUP(D101,D$151:D$155,1,0)&gt;=1,D$150,0),D101)=D$139,D$142,IF(IFERROR(IF(VLOOKUP(D101,D$151:D$155,1,0)&gt;=1,D$150,0),D101)=D$145,D$147,0)))</f>
        <v>0</v>
      </c>
      <c r="E102" s="138">
        <f t="shared" si="60"/>
        <v>1</v>
      </c>
      <c r="F102" s="138">
        <f t="shared" si="60"/>
        <v>6.5</v>
      </c>
      <c r="G102" s="138">
        <f t="shared" si="60"/>
        <v>17.8</v>
      </c>
      <c r="H102" s="138">
        <f t="shared" si="60"/>
        <v>1.6</v>
      </c>
      <c r="I102" s="138">
        <f t="shared" si="60"/>
        <v>0</v>
      </c>
      <c r="J102" s="138">
        <f t="shared" si="60"/>
        <v>0</v>
      </c>
      <c r="K102" s="138">
        <f t="shared" si="60"/>
        <v>0</v>
      </c>
      <c r="L102" s="138">
        <f t="shared" si="60"/>
        <v>1.6</v>
      </c>
      <c r="M102" s="138">
        <f t="shared" si="60"/>
        <v>3.9000000000000004</v>
      </c>
      <c r="N102" s="138">
        <f t="shared" si="60"/>
        <v>0</v>
      </c>
      <c r="O102" s="138">
        <f t="shared" si="60"/>
        <v>3.6</v>
      </c>
      <c r="P102" s="138">
        <f t="shared" si="60"/>
        <v>0</v>
      </c>
      <c r="Q102" s="138">
        <f t="shared" si="60"/>
        <v>13.1</v>
      </c>
      <c r="R102" s="138">
        <f t="shared" si="60"/>
        <v>0</v>
      </c>
      <c r="S102" s="138">
        <f t="shared" si="60"/>
        <v>0</v>
      </c>
      <c r="T102" s="138">
        <f t="shared" si="60"/>
        <v>0</v>
      </c>
      <c r="U102" s="138">
        <f t="shared" si="60"/>
        <v>0</v>
      </c>
      <c r="V102" s="138">
        <f t="shared" si="60"/>
        <v>6</v>
      </c>
      <c r="W102" s="138">
        <f t="shared" si="60"/>
        <v>0</v>
      </c>
      <c r="X102" s="138">
        <f t="shared" si="60"/>
        <v>0</v>
      </c>
      <c r="Y102" s="138">
        <f t="shared" si="60"/>
        <v>0</v>
      </c>
      <c r="Z102" s="138">
        <f t="shared" si="60"/>
        <v>0</v>
      </c>
      <c r="AA102" s="138">
        <f t="shared" si="60"/>
        <v>0</v>
      </c>
      <c r="AB102" s="138">
        <f t="shared" si="60"/>
        <v>0</v>
      </c>
      <c r="AC102" s="243"/>
      <c r="AI102" s="54"/>
      <c r="AJ102" s="54"/>
      <c r="AK102" s="54"/>
      <c r="AL102" s="54"/>
      <c r="AM102" s="54"/>
      <c r="AN102" s="54"/>
    </row>
    <row r="103" spans="1:40" ht="15.75" customHeight="1" x14ac:dyDescent="0.45">
      <c r="A103" s="242">
        <f t="shared" si="49"/>
        <v>16</v>
      </c>
      <c r="B103" s="243">
        <f>STUD!E50</f>
        <v>0</v>
      </c>
      <c r="C103" s="244">
        <f>SUM(D104:AB104)</f>
        <v>6.8000000000000007</v>
      </c>
      <c r="D103" s="139">
        <v>5</v>
      </c>
      <c r="E103" s="139">
        <v>12</v>
      </c>
      <c r="F103" s="139">
        <v>8</v>
      </c>
      <c r="G103" s="139">
        <v>11</v>
      </c>
      <c r="H103" s="139">
        <v>3</v>
      </c>
      <c r="I103" s="139">
        <v>9</v>
      </c>
      <c r="J103" s="139">
        <v>2</v>
      </c>
      <c r="K103" s="139">
        <v>2</v>
      </c>
      <c r="L103" s="139">
        <v>1</v>
      </c>
      <c r="M103" s="139">
        <v>9</v>
      </c>
      <c r="N103" s="14">
        <v>13</v>
      </c>
      <c r="O103" s="14">
        <v>1</v>
      </c>
      <c r="P103" s="14">
        <v>7</v>
      </c>
      <c r="Q103" s="14">
        <v>5</v>
      </c>
      <c r="R103" s="14">
        <v>2</v>
      </c>
      <c r="S103" s="14">
        <v>12</v>
      </c>
      <c r="T103" s="14">
        <v>14</v>
      </c>
      <c r="U103" s="14">
        <v>7</v>
      </c>
      <c r="V103" s="14">
        <v>14</v>
      </c>
      <c r="W103" s="135"/>
      <c r="X103" s="135"/>
      <c r="Y103" s="122"/>
      <c r="Z103" s="122"/>
      <c r="AA103" s="122"/>
      <c r="AB103" s="122"/>
      <c r="AC103" s="243">
        <f>SUM(D104:AB104)</f>
        <v>6.8000000000000007</v>
      </c>
      <c r="AE103" s="55" t="s">
        <v>51</v>
      </c>
      <c r="AF103" s="57">
        <f>COUNTA(STUD!B35:B68)</f>
        <v>34</v>
      </c>
      <c r="AG103" s="55" t="s">
        <v>16</v>
      </c>
      <c r="AH103" s="56">
        <f>(AF103-1)*5000</f>
        <v>165000</v>
      </c>
    </row>
    <row r="104" spans="1:40" ht="15.75" customHeight="1" x14ac:dyDescent="0.4">
      <c r="A104" s="242"/>
      <c r="B104" s="243"/>
      <c r="C104" s="245"/>
      <c r="D104" s="138">
        <f t="shared" ref="D104:AB104" si="61">IF(IFERROR(IF(VLOOKUP(D103,D$151:D$155,1,0)&gt;=1,D$150,0),D103)=D$132,D$136,IF(IFERROR(IF(VLOOKUP(D103,D$151:D$155,1,0)&gt;=1,D$150,0),D103)=D$139,D$142,IF(IFERROR(IF(VLOOKUP(D103,D$151:D$155,1,0)&gt;=1,D$150,0),D103)=D$145,D$147,0)))</f>
        <v>0</v>
      </c>
      <c r="E104" s="138">
        <f t="shared" si="61"/>
        <v>0</v>
      </c>
      <c r="F104" s="138">
        <f t="shared" si="61"/>
        <v>0</v>
      </c>
      <c r="G104" s="138">
        <f t="shared" si="61"/>
        <v>0</v>
      </c>
      <c r="H104" s="138">
        <f t="shared" si="61"/>
        <v>0</v>
      </c>
      <c r="I104" s="138">
        <f t="shared" si="61"/>
        <v>0</v>
      </c>
      <c r="J104" s="138">
        <f t="shared" si="61"/>
        <v>0</v>
      </c>
      <c r="K104" s="138">
        <f t="shared" si="61"/>
        <v>0</v>
      </c>
      <c r="L104" s="138">
        <f t="shared" si="61"/>
        <v>0</v>
      </c>
      <c r="M104" s="138">
        <f t="shared" si="61"/>
        <v>0</v>
      </c>
      <c r="N104" s="138">
        <f t="shared" si="61"/>
        <v>0</v>
      </c>
      <c r="O104" s="138">
        <f t="shared" si="61"/>
        <v>0</v>
      </c>
      <c r="P104" s="138">
        <f t="shared" si="61"/>
        <v>0</v>
      </c>
      <c r="Q104" s="138">
        <f t="shared" si="61"/>
        <v>1.4</v>
      </c>
      <c r="R104" s="138">
        <f t="shared" si="61"/>
        <v>0</v>
      </c>
      <c r="S104" s="138">
        <f t="shared" si="61"/>
        <v>0</v>
      </c>
      <c r="T104" s="138">
        <f t="shared" si="61"/>
        <v>0</v>
      </c>
      <c r="U104" s="138">
        <f t="shared" si="61"/>
        <v>5.4</v>
      </c>
      <c r="V104" s="138">
        <f t="shared" si="61"/>
        <v>0</v>
      </c>
      <c r="W104" s="138">
        <f t="shared" si="61"/>
        <v>0</v>
      </c>
      <c r="X104" s="138">
        <f t="shared" si="61"/>
        <v>0</v>
      </c>
      <c r="Y104" s="138">
        <f t="shared" si="61"/>
        <v>0</v>
      </c>
      <c r="Z104" s="138">
        <f t="shared" si="61"/>
        <v>0</v>
      </c>
      <c r="AA104" s="138">
        <f t="shared" si="61"/>
        <v>0</v>
      </c>
      <c r="AB104" s="138">
        <f t="shared" si="61"/>
        <v>0</v>
      </c>
      <c r="AC104" s="243"/>
      <c r="AE104" s="58" t="s">
        <v>38</v>
      </c>
      <c r="AF104" s="58"/>
      <c r="AG104" s="59">
        <f>($AH$103-$AG$106)*80%</f>
        <v>118800</v>
      </c>
      <c r="AH104" s="59"/>
    </row>
    <row r="105" spans="1:40" ht="15.75" customHeight="1" x14ac:dyDescent="0.4">
      <c r="A105" s="242">
        <f t="shared" si="49"/>
        <v>17</v>
      </c>
      <c r="B105" s="243">
        <f>STUD!E51</f>
        <v>0</v>
      </c>
      <c r="C105" s="244">
        <f>SUM(D106:AB106)</f>
        <v>22.2</v>
      </c>
      <c r="D105" s="139">
        <v>6</v>
      </c>
      <c r="E105" s="139">
        <v>10</v>
      </c>
      <c r="F105" s="139">
        <v>2</v>
      </c>
      <c r="G105" s="139">
        <v>13</v>
      </c>
      <c r="H105" s="139">
        <v>4</v>
      </c>
      <c r="I105" s="139">
        <v>6</v>
      </c>
      <c r="J105" s="139">
        <v>7</v>
      </c>
      <c r="K105" s="139">
        <v>4</v>
      </c>
      <c r="L105" s="139">
        <v>2</v>
      </c>
      <c r="M105" s="139">
        <v>7</v>
      </c>
      <c r="N105" s="14">
        <v>14</v>
      </c>
      <c r="O105" s="14">
        <v>6</v>
      </c>
      <c r="P105" s="14">
        <v>5</v>
      </c>
      <c r="Q105" s="14">
        <v>15</v>
      </c>
      <c r="R105" s="14">
        <v>12</v>
      </c>
      <c r="S105" s="14">
        <v>2</v>
      </c>
      <c r="T105" s="14">
        <v>5</v>
      </c>
      <c r="U105" s="14">
        <v>13</v>
      </c>
      <c r="V105" s="14">
        <v>15</v>
      </c>
      <c r="W105" s="14"/>
      <c r="X105" s="14"/>
      <c r="Y105" s="122"/>
      <c r="Z105" s="122"/>
      <c r="AA105" s="122"/>
      <c r="AB105" s="122"/>
      <c r="AC105" s="243">
        <f>SUM(D106:AB106)</f>
        <v>22.2</v>
      </c>
      <c r="AE105" s="58" t="s">
        <v>39</v>
      </c>
      <c r="AF105" s="58"/>
      <c r="AG105" s="59">
        <f>($AH$103-$AG$106)*20%</f>
        <v>29700</v>
      </c>
      <c r="AH105" s="59"/>
    </row>
    <row r="106" spans="1:40" ht="15.75" customHeight="1" x14ac:dyDescent="0.4">
      <c r="A106" s="242"/>
      <c r="B106" s="243"/>
      <c r="C106" s="245"/>
      <c r="D106" s="138">
        <f t="shared" ref="D106:AB106" si="62">IF(IFERROR(IF(VLOOKUP(D105,D$151:D$155,1,0)&gt;=1,D$150,0),D105)=D$132,D$136,IF(IFERROR(IF(VLOOKUP(D105,D$151:D$155,1,0)&gt;=1,D$150,0),D105)=D$139,D$142,IF(IFERROR(IF(VLOOKUP(D105,D$151:D$155,1,0)&gt;=1,D$150,0),D105)=D$145,D$147,0)))</f>
        <v>0</v>
      </c>
      <c r="E106" s="138">
        <f t="shared" si="62"/>
        <v>0</v>
      </c>
      <c r="F106" s="138">
        <f t="shared" si="62"/>
        <v>0</v>
      </c>
      <c r="G106" s="138">
        <f t="shared" si="62"/>
        <v>0</v>
      </c>
      <c r="H106" s="138">
        <f t="shared" si="62"/>
        <v>0</v>
      </c>
      <c r="I106" s="138">
        <f t="shared" si="62"/>
        <v>2.9000000000000004</v>
      </c>
      <c r="J106" s="138">
        <f t="shared" si="62"/>
        <v>0</v>
      </c>
      <c r="K106" s="138">
        <f t="shared" si="62"/>
        <v>0</v>
      </c>
      <c r="L106" s="138">
        <f t="shared" si="62"/>
        <v>8.1999999999999993</v>
      </c>
      <c r="M106" s="138">
        <f t="shared" si="62"/>
        <v>0</v>
      </c>
      <c r="N106" s="138">
        <f t="shared" si="62"/>
        <v>0</v>
      </c>
      <c r="O106" s="138">
        <f t="shared" si="62"/>
        <v>0</v>
      </c>
      <c r="P106" s="138">
        <f t="shared" si="62"/>
        <v>0</v>
      </c>
      <c r="Q106" s="138">
        <f t="shared" si="62"/>
        <v>0</v>
      </c>
      <c r="R106" s="138">
        <f t="shared" si="62"/>
        <v>4.4000000000000004</v>
      </c>
      <c r="S106" s="138">
        <f t="shared" si="62"/>
        <v>0</v>
      </c>
      <c r="T106" s="138">
        <f t="shared" si="62"/>
        <v>6.7</v>
      </c>
      <c r="U106" s="138">
        <f t="shared" si="62"/>
        <v>0</v>
      </c>
      <c r="V106" s="138">
        <f t="shared" si="62"/>
        <v>0</v>
      </c>
      <c r="W106" s="138">
        <f t="shared" si="62"/>
        <v>0</v>
      </c>
      <c r="X106" s="138">
        <f t="shared" si="62"/>
        <v>0</v>
      </c>
      <c r="Y106" s="138">
        <f t="shared" si="62"/>
        <v>0</v>
      </c>
      <c r="Z106" s="138">
        <f t="shared" si="62"/>
        <v>0</v>
      </c>
      <c r="AA106" s="138">
        <f t="shared" si="62"/>
        <v>0</v>
      </c>
      <c r="AB106" s="138">
        <f t="shared" si="62"/>
        <v>0</v>
      </c>
      <c r="AC106" s="243"/>
      <c r="AE106" s="58" t="s">
        <v>40</v>
      </c>
      <c r="AF106" s="58"/>
      <c r="AG106" s="60">
        <f>(AH103*10%)</f>
        <v>16500</v>
      </c>
      <c r="AH106" s="60"/>
    </row>
    <row r="107" spans="1:40" ht="15.75" customHeight="1" x14ac:dyDescent="0.4">
      <c r="A107" s="242">
        <f t="shared" si="49"/>
        <v>18</v>
      </c>
      <c r="B107" s="243">
        <f>STUD!E52</f>
        <v>0</v>
      </c>
      <c r="C107" s="244">
        <f>SUM(D108:AB108)</f>
        <v>54.599999999999994</v>
      </c>
      <c r="D107" s="14">
        <v>7</v>
      </c>
      <c r="E107" s="14">
        <v>4</v>
      </c>
      <c r="F107" s="14">
        <v>1</v>
      </c>
      <c r="G107" s="14">
        <v>6</v>
      </c>
      <c r="H107" s="14">
        <v>1</v>
      </c>
      <c r="I107" s="14">
        <v>6</v>
      </c>
      <c r="J107" s="14">
        <v>3</v>
      </c>
      <c r="K107" s="14">
        <v>1</v>
      </c>
      <c r="L107" s="14">
        <v>4</v>
      </c>
      <c r="M107" s="14">
        <v>5</v>
      </c>
      <c r="N107" s="14">
        <v>9</v>
      </c>
      <c r="O107" s="14">
        <v>3</v>
      </c>
      <c r="P107" s="14">
        <v>10</v>
      </c>
      <c r="Q107" s="14">
        <v>4</v>
      </c>
      <c r="R107" s="14">
        <v>12</v>
      </c>
      <c r="S107" s="14">
        <v>2</v>
      </c>
      <c r="T107" s="14">
        <v>14</v>
      </c>
      <c r="U107" s="14">
        <v>10</v>
      </c>
      <c r="V107" s="14">
        <v>15</v>
      </c>
      <c r="W107" s="14"/>
      <c r="X107" s="14"/>
      <c r="Y107" s="122"/>
      <c r="Z107" s="122"/>
      <c r="AA107" s="122"/>
      <c r="AB107" s="122"/>
      <c r="AC107" s="243">
        <f>SUM(D108:AB108)</f>
        <v>54.599999999999994</v>
      </c>
    </row>
    <row r="108" spans="1:40" ht="15.75" customHeight="1" x14ac:dyDescent="0.4">
      <c r="A108" s="242"/>
      <c r="B108" s="243"/>
      <c r="C108" s="245"/>
      <c r="D108" s="138">
        <f t="shared" ref="D108:AB108" si="63">IF(IFERROR(IF(VLOOKUP(D107,D$151:D$155,1,0)&gt;=1,D$150,0),D107)=D$132,D$136,IF(IFERROR(IF(VLOOKUP(D107,D$151:D$155,1,0)&gt;=1,D$150,0),D107)=D$139,D$142,IF(IFERROR(IF(VLOOKUP(D107,D$151:D$155,1,0)&gt;=1,D$150,0),D107)=D$145,D$147,0)))</f>
        <v>7.1000000000000005</v>
      </c>
      <c r="E108" s="138">
        <f t="shared" si="63"/>
        <v>0</v>
      </c>
      <c r="F108" s="138">
        <f t="shared" si="63"/>
        <v>0</v>
      </c>
      <c r="G108" s="138">
        <f t="shared" si="63"/>
        <v>0</v>
      </c>
      <c r="H108" s="138">
        <f t="shared" si="63"/>
        <v>2.2999999999999998</v>
      </c>
      <c r="I108" s="138">
        <f t="shared" si="63"/>
        <v>2.9000000000000004</v>
      </c>
      <c r="J108" s="138">
        <f t="shared" si="63"/>
        <v>7</v>
      </c>
      <c r="K108" s="138">
        <f t="shared" si="63"/>
        <v>0</v>
      </c>
      <c r="L108" s="138">
        <f t="shared" si="63"/>
        <v>0</v>
      </c>
      <c r="M108" s="138">
        <f t="shared" si="63"/>
        <v>3.9000000000000004</v>
      </c>
      <c r="N108" s="138">
        <f t="shared" si="63"/>
        <v>6.2</v>
      </c>
      <c r="O108" s="138">
        <f t="shared" si="63"/>
        <v>3.6</v>
      </c>
      <c r="P108" s="138">
        <f t="shared" si="63"/>
        <v>15.799999999999999</v>
      </c>
      <c r="Q108" s="138">
        <f t="shared" si="63"/>
        <v>1.4</v>
      </c>
      <c r="R108" s="138">
        <f t="shared" si="63"/>
        <v>4.4000000000000004</v>
      </c>
      <c r="S108" s="138">
        <f t="shared" si="63"/>
        <v>0</v>
      </c>
      <c r="T108" s="138">
        <f t="shared" si="63"/>
        <v>0</v>
      </c>
      <c r="U108" s="138">
        <f t="shared" si="63"/>
        <v>0</v>
      </c>
      <c r="V108" s="138">
        <f t="shared" si="63"/>
        <v>0</v>
      </c>
      <c r="W108" s="138">
        <f t="shared" si="63"/>
        <v>0</v>
      </c>
      <c r="X108" s="138">
        <f t="shared" si="63"/>
        <v>0</v>
      </c>
      <c r="Y108" s="138">
        <f t="shared" si="63"/>
        <v>0</v>
      </c>
      <c r="Z108" s="138">
        <f t="shared" si="63"/>
        <v>0</v>
      </c>
      <c r="AA108" s="138">
        <f t="shared" si="63"/>
        <v>0</v>
      </c>
      <c r="AB108" s="138">
        <f t="shared" si="63"/>
        <v>0</v>
      </c>
      <c r="AC108" s="243"/>
    </row>
    <row r="109" spans="1:40" ht="15.75" customHeight="1" x14ac:dyDescent="0.4">
      <c r="A109" s="242">
        <f t="shared" si="49"/>
        <v>19</v>
      </c>
      <c r="B109" s="243">
        <f>STUD!E53</f>
        <v>0</v>
      </c>
      <c r="C109" s="244">
        <f>SUM(D110:AB110)</f>
        <v>55.999999999999993</v>
      </c>
      <c r="D109" s="139">
        <v>8</v>
      </c>
      <c r="E109" s="139">
        <v>2</v>
      </c>
      <c r="F109" s="139">
        <v>7</v>
      </c>
      <c r="G109" s="139">
        <v>7</v>
      </c>
      <c r="H109" s="139">
        <v>11</v>
      </c>
      <c r="I109" s="139">
        <v>3</v>
      </c>
      <c r="J109" s="139">
        <v>10</v>
      </c>
      <c r="K109" s="139">
        <v>1</v>
      </c>
      <c r="L109" s="139">
        <v>9</v>
      </c>
      <c r="M109" s="139">
        <v>2</v>
      </c>
      <c r="N109" s="14">
        <v>10</v>
      </c>
      <c r="O109" s="14">
        <v>3</v>
      </c>
      <c r="P109" s="14">
        <v>8</v>
      </c>
      <c r="Q109" s="14">
        <v>15</v>
      </c>
      <c r="R109" s="14">
        <v>8</v>
      </c>
      <c r="S109" s="14">
        <v>4</v>
      </c>
      <c r="T109" s="14">
        <v>14</v>
      </c>
      <c r="U109" s="14">
        <v>1</v>
      </c>
      <c r="V109" s="14">
        <v>15</v>
      </c>
      <c r="W109" s="14"/>
      <c r="X109" s="14"/>
      <c r="Y109" s="122"/>
      <c r="Z109" s="122"/>
      <c r="AA109" s="122"/>
      <c r="AB109" s="122"/>
      <c r="AC109" s="243">
        <f>SUM(D110:AB110)</f>
        <v>55.999999999999993</v>
      </c>
    </row>
    <row r="110" spans="1:40" ht="15.75" customHeight="1" x14ac:dyDescent="0.4">
      <c r="A110" s="242"/>
      <c r="B110" s="243"/>
      <c r="C110" s="245"/>
      <c r="D110" s="138">
        <f t="shared" ref="D110:AB110" si="64">IF(IFERROR(IF(VLOOKUP(D109,D$151:D$155,1,0)&gt;=1,D$150,0),D109)=D$132,D$136,IF(IFERROR(IF(VLOOKUP(D109,D$151:D$155,1,0)&gt;=1,D$150,0),D109)=D$139,D$142,IF(IFERROR(IF(VLOOKUP(D109,D$151:D$155,1,0)&gt;=1,D$150,0),D109)=D$145,D$147,0)))</f>
        <v>0</v>
      </c>
      <c r="E110" s="138">
        <f t="shared" si="64"/>
        <v>1</v>
      </c>
      <c r="F110" s="138">
        <f t="shared" si="64"/>
        <v>6.5</v>
      </c>
      <c r="G110" s="138">
        <f t="shared" si="64"/>
        <v>17.8</v>
      </c>
      <c r="H110" s="138">
        <f t="shared" si="64"/>
        <v>0</v>
      </c>
      <c r="I110" s="138">
        <f t="shared" si="64"/>
        <v>0</v>
      </c>
      <c r="J110" s="138">
        <f t="shared" si="64"/>
        <v>0</v>
      </c>
      <c r="K110" s="138">
        <f t="shared" si="64"/>
        <v>0</v>
      </c>
      <c r="L110" s="138">
        <f t="shared" si="64"/>
        <v>4.5</v>
      </c>
      <c r="M110" s="138">
        <f t="shared" si="64"/>
        <v>3.5</v>
      </c>
      <c r="N110" s="138">
        <f t="shared" si="64"/>
        <v>0</v>
      </c>
      <c r="O110" s="138">
        <f t="shared" si="64"/>
        <v>3.6</v>
      </c>
      <c r="P110" s="138">
        <f t="shared" si="64"/>
        <v>10.7</v>
      </c>
      <c r="Q110" s="138">
        <f t="shared" si="64"/>
        <v>0</v>
      </c>
      <c r="R110" s="138">
        <f t="shared" si="64"/>
        <v>8.4</v>
      </c>
      <c r="S110" s="138">
        <f t="shared" si="64"/>
        <v>0</v>
      </c>
      <c r="T110" s="138">
        <f t="shared" si="64"/>
        <v>0</v>
      </c>
      <c r="U110" s="138">
        <f t="shared" si="64"/>
        <v>0</v>
      </c>
      <c r="V110" s="138">
        <f t="shared" si="64"/>
        <v>0</v>
      </c>
      <c r="W110" s="138">
        <f t="shared" si="64"/>
        <v>0</v>
      </c>
      <c r="X110" s="138">
        <f t="shared" si="64"/>
        <v>0</v>
      </c>
      <c r="Y110" s="138">
        <f t="shared" si="64"/>
        <v>0</v>
      </c>
      <c r="Z110" s="138">
        <f t="shared" si="64"/>
        <v>0</v>
      </c>
      <c r="AA110" s="138">
        <f t="shared" si="64"/>
        <v>0</v>
      </c>
      <c r="AB110" s="138">
        <f t="shared" si="64"/>
        <v>0</v>
      </c>
      <c r="AC110" s="243"/>
    </row>
    <row r="111" spans="1:40" ht="15.75" hidden="1" customHeight="1" x14ac:dyDescent="0.4">
      <c r="A111" s="242">
        <f t="shared" si="49"/>
        <v>20</v>
      </c>
      <c r="B111" s="243">
        <f>STUD!E54</f>
        <v>0</v>
      </c>
      <c r="C111" s="244">
        <f>SUM(D112:AB112)</f>
        <v>0</v>
      </c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6"/>
      <c r="P111" s="135"/>
      <c r="Q111" s="135"/>
      <c r="R111" s="135"/>
      <c r="S111" s="135"/>
      <c r="T111" s="135"/>
      <c r="U111" s="135"/>
      <c r="V111" s="135"/>
      <c r="W111" s="135"/>
      <c r="X111" s="135"/>
      <c r="Y111" s="122"/>
      <c r="Z111" s="122"/>
      <c r="AA111" s="122"/>
      <c r="AB111" s="122"/>
      <c r="AC111" s="243">
        <f>SUM(D112:AB112)</f>
        <v>0</v>
      </c>
    </row>
    <row r="112" spans="1:40" ht="15.75" hidden="1" customHeight="1" x14ac:dyDescent="0.4">
      <c r="A112" s="242"/>
      <c r="B112" s="243"/>
      <c r="C112" s="245"/>
      <c r="D112" s="138">
        <f t="shared" ref="D112:AB112" si="65">IF(IFERROR(IF(VLOOKUP(D111,D$151:D$155,1,0)&gt;=1,D$150,0),D111)=D$132,D$136,IF(IFERROR(IF(VLOOKUP(D111,D$151:D$155,1,0)&gt;=1,D$150,0),D111)=D$139,D$142,IF(IFERROR(IF(VLOOKUP(D111,D$151:D$155,1,0)&gt;=1,D$150,0),D111)=D$145,D$147,0)))</f>
        <v>0</v>
      </c>
      <c r="E112" s="138">
        <f t="shared" si="65"/>
        <v>0</v>
      </c>
      <c r="F112" s="138">
        <f t="shared" si="65"/>
        <v>0</v>
      </c>
      <c r="G112" s="138">
        <f t="shared" si="65"/>
        <v>0</v>
      </c>
      <c r="H112" s="138">
        <f t="shared" si="65"/>
        <v>0</v>
      </c>
      <c r="I112" s="138">
        <f t="shared" si="65"/>
        <v>0</v>
      </c>
      <c r="J112" s="138">
        <f t="shared" si="65"/>
        <v>0</v>
      </c>
      <c r="K112" s="138">
        <f t="shared" si="65"/>
        <v>0</v>
      </c>
      <c r="L112" s="138">
        <f t="shared" si="65"/>
        <v>0</v>
      </c>
      <c r="M112" s="138">
        <f t="shared" si="65"/>
        <v>0</v>
      </c>
      <c r="N112" s="138">
        <f t="shared" si="65"/>
        <v>0</v>
      </c>
      <c r="O112" s="138">
        <f t="shared" si="65"/>
        <v>0</v>
      </c>
      <c r="P112" s="138">
        <f t="shared" si="65"/>
        <v>0</v>
      </c>
      <c r="Q112" s="138">
        <f t="shared" si="65"/>
        <v>0</v>
      </c>
      <c r="R112" s="138">
        <f t="shared" si="65"/>
        <v>0</v>
      </c>
      <c r="S112" s="138">
        <f t="shared" si="65"/>
        <v>0</v>
      </c>
      <c r="T112" s="138">
        <f t="shared" si="65"/>
        <v>0</v>
      </c>
      <c r="U112" s="138">
        <f t="shared" si="65"/>
        <v>0</v>
      </c>
      <c r="V112" s="138">
        <f t="shared" si="65"/>
        <v>0</v>
      </c>
      <c r="W112" s="138">
        <f t="shared" si="65"/>
        <v>0</v>
      </c>
      <c r="X112" s="138">
        <f t="shared" si="65"/>
        <v>0</v>
      </c>
      <c r="Y112" s="127">
        <f t="shared" si="65"/>
        <v>0</v>
      </c>
      <c r="Z112" s="127">
        <f t="shared" si="65"/>
        <v>0</v>
      </c>
      <c r="AA112" s="127">
        <f t="shared" si="65"/>
        <v>0</v>
      </c>
      <c r="AB112" s="127">
        <f t="shared" si="65"/>
        <v>0</v>
      </c>
      <c r="AC112" s="243"/>
    </row>
    <row r="113" spans="1:29" ht="15.75" hidden="1" customHeight="1" x14ac:dyDescent="0.4">
      <c r="A113" s="242">
        <f t="shared" si="49"/>
        <v>21</v>
      </c>
      <c r="B113" s="243">
        <f>STUD!E55</f>
        <v>0</v>
      </c>
      <c r="C113" s="244">
        <f>SUM(D114:AB114)</f>
        <v>0</v>
      </c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5"/>
      <c r="S113" s="135"/>
      <c r="T113" s="135"/>
      <c r="U113" s="135"/>
      <c r="V113" s="135"/>
      <c r="W113" s="135"/>
      <c r="X113" s="135"/>
      <c r="Y113" s="122"/>
      <c r="Z113" s="122"/>
      <c r="AA113" s="122"/>
      <c r="AB113" s="122"/>
      <c r="AC113" s="243">
        <f>SUM(D114:AB114)</f>
        <v>0</v>
      </c>
    </row>
    <row r="114" spans="1:29" ht="15.75" hidden="1" customHeight="1" x14ac:dyDescent="0.4">
      <c r="A114" s="242"/>
      <c r="B114" s="243"/>
      <c r="C114" s="245"/>
      <c r="D114" s="138">
        <f t="shared" ref="D114:AB114" si="66">IF(IFERROR(IF(VLOOKUP(D113,D$151:D$155,1,0)&gt;=1,D$150,0),D113)=D$132,D$136,IF(IFERROR(IF(VLOOKUP(D113,D$151:D$155,1,0)&gt;=1,D$150,0),D113)=D$139,D$142,IF(IFERROR(IF(VLOOKUP(D113,D$151:D$155,1,0)&gt;=1,D$150,0),D113)=D$145,D$147,0)))</f>
        <v>0</v>
      </c>
      <c r="E114" s="138">
        <f t="shared" si="66"/>
        <v>0</v>
      </c>
      <c r="F114" s="138">
        <f t="shared" si="66"/>
        <v>0</v>
      </c>
      <c r="G114" s="138">
        <f t="shared" si="66"/>
        <v>0</v>
      </c>
      <c r="H114" s="138">
        <f t="shared" si="66"/>
        <v>0</v>
      </c>
      <c r="I114" s="138">
        <f t="shared" si="66"/>
        <v>0</v>
      </c>
      <c r="J114" s="138">
        <f t="shared" si="66"/>
        <v>0</v>
      </c>
      <c r="K114" s="138">
        <f t="shared" si="66"/>
        <v>0</v>
      </c>
      <c r="L114" s="138">
        <f t="shared" si="66"/>
        <v>0</v>
      </c>
      <c r="M114" s="138">
        <f t="shared" si="66"/>
        <v>0</v>
      </c>
      <c r="N114" s="138">
        <f t="shared" si="66"/>
        <v>0</v>
      </c>
      <c r="O114" s="138">
        <f t="shared" si="66"/>
        <v>0</v>
      </c>
      <c r="P114" s="138">
        <f t="shared" si="66"/>
        <v>0</v>
      </c>
      <c r="Q114" s="138">
        <f t="shared" si="66"/>
        <v>0</v>
      </c>
      <c r="R114" s="138">
        <f t="shared" si="66"/>
        <v>0</v>
      </c>
      <c r="S114" s="138">
        <f t="shared" si="66"/>
        <v>0</v>
      </c>
      <c r="T114" s="138">
        <f t="shared" si="66"/>
        <v>0</v>
      </c>
      <c r="U114" s="138">
        <f t="shared" si="66"/>
        <v>0</v>
      </c>
      <c r="V114" s="138">
        <f t="shared" si="66"/>
        <v>0</v>
      </c>
      <c r="W114" s="138">
        <f t="shared" si="66"/>
        <v>0</v>
      </c>
      <c r="X114" s="138">
        <f t="shared" si="66"/>
        <v>0</v>
      </c>
      <c r="Y114" s="127">
        <f t="shared" si="66"/>
        <v>0</v>
      </c>
      <c r="Z114" s="127">
        <f t="shared" si="66"/>
        <v>0</v>
      </c>
      <c r="AA114" s="127">
        <f t="shared" si="66"/>
        <v>0</v>
      </c>
      <c r="AB114" s="127">
        <f t="shared" si="66"/>
        <v>0</v>
      </c>
      <c r="AC114" s="243"/>
    </row>
    <row r="115" spans="1:29" ht="15.75" hidden="1" customHeight="1" x14ac:dyDescent="0.4">
      <c r="A115" s="242">
        <f t="shared" si="49"/>
        <v>22</v>
      </c>
      <c r="B115" s="243">
        <f>STUD!E56</f>
        <v>0</v>
      </c>
      <c r="C115" s="244">
        <f>SUM(D116:AB116)</f>
        <v>0</v>
      </c>
      <c r="D115" s="135"/>
      <c r="E115" s="135"/>
      <c r="F115" s="135"/>
      <c r="G115" s="135"/>
      <c r="H115" s="135"/>
      <c r="I115" s="135"/>
      <c r="J115" s="135"/>
      <c r="K115" s="135"/>
      <c r="L115" s="135"/>
      <c r="M115" s="135"/>
      <c r="N115" s="135"/>
      <c r="O115" s="136"/>
      <c r="P115" s="135"/>
      <c r="Q115" s="135"/>
      <c r="R115" s="135"/>
      <c r="S115" s="135"/>
      <c r="T115" s="135"/>
      <c r="U115" s="135"/>
      <c r="V115" s="135"/>
      <c r="W115" s="135"/>
      <c r="X115" s="14"/>
      <c r="Y115" s="122"/>
      <c r="Z115" s="122"/>
      <c r="AA115" s="122"/>
      <c r="AB115" s="122"/>
      <c r="AC115" s="243">
        <f>SUM(D116:AB116)</f>
        <v>0</v>
      </c>
    </row>
    <row r="116" spans="1:29" ht="15.75" hidden="1" customHeight="1" x14ac:dyDescent="0.4">
      <c r="A116" s="242"/>
      <c r="B116" s="243"/>
      <c r="C116" s="245"/>
      <c r="D116" s="138">
        <f t="shared" ref="D116:AB116" si="67">IF(IFERROR(IF(VLOOKUP(D115,D$151:D$155,1,0)&gt;=1,D$150,0),D115)=D$132,D$136,IF(IFERROR(IF(VLOOKUP(D115,D$151:D$155,1,0)&gt;=1,D$150,0),D115)=D$139,D$142,IF(IFERROR(IF(VLOOKUP(D115,D$151:D$155,1,0)&gt;=1,D$150,0),D115)=D$145,D$147,0)))</f>
        <v>0</v>
      </c>
      <c r="E116" s="138">
        <f t="shared" si="67"/>
        <v>0</v>
      </c>
      <c r="F116" s="138">
        <f t="shared" si="67"/>
        <v>0</v>
      </c>
      <c r="G116" s="138">
        <f t="shared" si="67"/>
        <v>0</v>
      </c>
      <c r="H116" s="138">
        <f t="shared" si="67"/>
        <v>0</v>
      </c>
      <c r="I116" s="138">
        <f t="shared" si="67"/>
        <v>0</v>
      </c>
      <c r="J116" s="138">
        <f t="shared" si="67"/>
        <v>0</v>
      </c>
      <c r="K116" s="138">
        <f t="shared" si="67"/>
        <v>0</v>
      </c>
      <c r="L116" s="138">
        <f t="shared" si="67"/>
        <v>0</v>
      </c>
      <c r="M116" s="138">
        <f t="shared" si="67"/>
        <v>0</v>
      </c>
      <c r="N116" s="138">
        <f t="shared" si="67"/>
        <v>0</v>
      </c>
      <c r="O116" s="138">
        <f t="shared" si="67"/>
        <v>0</v>
      </c>
      <c r="P116" s="138">
        <f t="shared" si="67"/>
        <v>0</v>
      </c>
      <c r="Q116" s="138">
        <f t="shared" si="67"/>
        <v>0</v>
      </c>
      <c r="R116" s="138">
        <f t="shared" si="67"/>
        <v>0</v>
      </c>
      <c r="S116" s="138">
        <f t="shared" si="67"/>
        <v>0</v>
      </c>
      <c r="T116" s="138">
        <f t="shared" si="67"/>
        <v>0</v>
      </c>
      <c r="U116" s="138">
        <f t="shared" si="67"/>
        <v>0</v>
      </c>
      <c r="V116" s="138">
        <f t="shared" si="67"/>
        <v>0</v>
      </c>
      <c r="W116" s="138">
        <f t="shared" si="67"/>
        <v>0</v>
      </c>
      <c r="X116" s="138">
        <f t="shared" si="67"/>
        <v>0</v>
      </c>
      <c r="Y116" s="127">
        <f t="shared" si="67"/>
        <v>0</v>
      </c>
      <c r="Z116" s="127">
        <f t="shared" si="67"/>
        <v>0</v>
      </c>
      <c r="AA116" s="127">
        <f t="shared" si="67"/>
        <v>0</v>
      </c>
      <c r="AB116" s="127">
        <f t="shared" si="67"/>
        <v>0</v>
      </c>
      <c r="AC116" s="243"/>
    </row>
    <row r="117" spans="1:29" ht="15.75" hidden="1" customHeight="1" x14ac:dyDescent="0.4">
      <c r="A117" s="242">
        <f t="shared" si="49"/>
        <v>23</v>
      </c>
      <c r="B117" s="243">
        <f>STUD!E57</f>
        <v>0</v>
      </c>
      <c r="C117" s="244">
        <f>SUM(D118:AB118)</f>
        <v>0</v>
      </c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  <c r="U117" s="135"/>
      <c r="V117" s="135"/>
      <c r="W117" s="135"/>
      <c r="X117" s="135"/>
      <c r="Y117" s="124"/>
      <c r="Z117" s="124"/>
      <c r="AA117" s="124"/>
      <c r="AB117" s="124"/>
      <c r="AC117" s="243">
        <f>SUM(D118:AB118)</f>
        <v>0</v>
      </c>
    </row>
    <row r="118" spans="1:29" ht="15.75" hidden="1" customHeight="1" x14ac:dyDescent="0.4">
      <c r="A118" s="242"/>
      <c r="B118" s="243"/>
      <c r="C118" s="245"/>
      <c r="D118" s="138">
        <f t="shared" ref="D118:AB118" si="68">IF(IFERROR(IF(VLOOKUP(D117,D$151:D$155,1,0)&gt;=1,D$150,0),D117)=D$132,D$136,IF(IFERROR(IF(VLOOKUP(D117,D$151:D$155,1,0)&gt;=1,D$150,0),D117)=D$139,D$142,IF(IFERROR(IF(VLOOKUP(D117,D$151:D$155,1,0)&gt;=1,D$150,0),D117)=D$145,D$147,0)))</f>
        <v>0</v>
      </c>
      <c r="E118" s="138">
        <f t="shared" si="68"/>
        <v>0</v>
      </c>
      <c r="F118" s="138">
        <f t="shared" si="68"/>
        <v>0</v>
      </c>
      <c r="G118" s="138">
        <f t="shared" si="68"/>
        <v>0</v>
      </c>
      <c r="H118" s="138">
        <f t="shared" si="68"/>
        <v>0</v>
      </c>
      <c r="I118" s="138">
        <f t="shared" si="68"/>
        <v>0</v>
      </c>
      <c r="J118" s="138">
        <f t="shared" si="68"/>
        <v>0</v>
      </c>
      <c r="K118" s="138">
        <f t="shared" si="68"/>
        <v>0</v>
      </c>
      <c r="L118" s="138">
        <f t="shared" si="68"/>
        <v>0</v>
      </c>
      <c r="M118" s="138">
        <f t="shared" si="68"/>
        <v>0</v>
      </c>
      <c r="N118" s="138">
        <f t="shared" si="68"/>
        <v>0</v>
      </c>
      <c r="O118" s="138">
        <f t="shared" si="68"/>
        <v>0</v>
      </c>
      <c r="P118" s="138">
        <f t="shared" si="68"/>
        <v>0</v>
      </c>
      <c r="Q118" s="138">
        <f t="shared" si="68"/>
        <v>0</v>
      </c>
      <c r="R118" s="138">
        <f t="shared" si="68"/>
        <v>0</v>
      </c>
      <c r="S118" s="138">
        <f t="shared" si="68"/>
        <v>0</v>
      </c>
      <c r="T118" s="138">
        <f t="shared" si="68"/>
        <v>0</v>
      </c>
      <c r="U118" s="138">
        <f t="shared" si="68"/>
        <v>0</v>
      </c>
      <c r="V118" s="138">
        <f t="shared" si="68"/>
        <v>0</v>
      </c>
      <c r="W118" s="138">
        <f t="shared" si="68"/>
        <v>0</v>
      </c>
      <c r="X118" s="138">
        <f t="shared" si="68"/>
        <v>0</v>
      </c>
      <c r="Y118" s="127">
        <f t="shared" si="68"/>
        <v>0</v>
      </c>
      <c r="Z118" s="127">
        <f t="shared" si="68"/>
        <v>0</v>
      </c>
      <c r="AA118" s="127">
        <f t="shared" si="68"/>
        <v>0</v>
      </c>
      <c r="AB118" s="127">
        <f t="shared" si="68"/>
        <v>0</v>
      </c>
      <c r="AC118" s="243"/>
    </row>
    <row r="119" spans="1:29" ht="15.75" hidden="1" customHeight="1" x14ac:dyDescent="0.4">
      <c r="A119" s="242">
        <f t="shared" si="49"/>
        <v>24</v>
      </c>
      <c r="B119" s="243">
        <f>STUD!E58</f>
        <v>0</v>
      </c>
      <c r="C119" s="244">
        <f>SUM(D120:AB120)</f>
        <v>0</v>
      </c>
      <c r="D119" s="135"/>
      <c r="E119" s="135"/>
      <c r="F119" s="135"/>
      <c r="G119" s="135"/>
      <c r="H119" s="135"/>
      <c r="I119" s="135"/>
      <c r="J119" s="135"/>
      <c r="K119" s="135"/>
      <c r="L119" s="135"/>
      <c r="M119" s="135"/>
      <c r="N119" s="135"/>
      <c r="O119" s="135"/>
      <c r="P119" s="135"/>
      <c r="Q119" s="135"/>
      <c r="R119" s="135"/>
      <c r="S119" s="135"/>
      <c r="T119" s="135"/>
      <c r="U119" s="135"/>
      <c r="V119" s="135"/>
      <c r="W119" s="135"/>
      <c r="X119" s="135"/>
      <c r="Y119" s="124"/>
      <c r="Z119" s="124"/>
      <c r="AA119" s="124"/>
      <c r="AB119" s="124"/>
      <c r="AC119" s="243">
        <f>SUM(D120:AB120)</f>
        <v>0</v>
      </c>
    </row>
    <row r="120" spans="1:29" ht="15.75" hidden="1" customHeight="1" x14ac:dyDescent="0.4">
      <c r="A120" s="242"/>
      <c r="B120" s="243"/>
      <c r="C120" s="245"/>
      <c r="D120" s="138">
        <f t="shared" ref="D120:AB120" si="69">IF(IFERROR(IF(VLOOKUP(D119,D$151:D$155,1,0)&gt;=1,D$150,0),D119)=D$132,D$136,IF(IFERROR(IF(VLOOKUP(D119,D$151:D$155,1,0)&gt;=1,D$150,0),D119)=D$139,D$142,IF(IFERROR(IF(VLOOKUP(D119,D$151:D$155,1,0)&gt;=1,D$150,0),D119)=D$145,D$147,0)))</f>
        <v>0</v>
      </c>
      <c r="E120" s="138">
        <f t="shared" si="69"/>
        <v>0</v>
      </c>
      <c r="F120" s="138">
        <f t="shared" si="69"/>
        <v>0</v>
      </c>
      <c r="G120" s="138">
        <f t="shared" si="69"/>
        <v>0</v>
      </c>
      <c r="H120" s="138">
        <f t="shared" si="69"/>
        <v>0</v>
      </c>
      <c r="I120" s="138">
        <f t="shared" si="69"/>
        <v>0</v>
      </c>
      <c r="J120" s="138">
        <f t="shared" si="69"/>
        <v>0</v>
      </c>
      <c r="K120" s="138">
        <f t="shared" si="69"/>
        <v>0</v>
      </c>
      <c r="L120" s="138">
        <f t="shared" si="69"/>
        <v>0</v>
      </c>
      <c r="M120" s="138">
        <f t="shared" si="69"/>
        <v>0</v>
      </c>
      <c r="N120" s="138">
        <f t="shared" si="69"/>
        <v>0</v>
      </c>
      <c r="O120" s="138">
        <f t="shared" si="69"/>
        <v>0</v>
      </c>
      <c r="P120" s="138">
        <f t="shared" si="69"/>
        <v>0</v>
      </c>
      <c r="Q120" s="138">
        <f t="shared" si="69"/>
        <v>0</v>
      </c>
      <c r="R120" s="138">
        <f t="shared" si="69"/>
        <v>0</v>
      </c>
      <c r="S120" s="138">
        <f t="shared" si="69"/>
        <v>0</v>
      </c>
      <c r="T120" s="138">
        <f t="shared" si="69"/>
        <v>0</v>
      </c>
      <c r="U120" s="138">
        <f t="shared" si="69"/>
        <v>0</v>
      </c>
      <c r="V120" s="138">
        <f t="shared" si="69"/>
        <v>0</v>
      </c>
      <c r="W120" s="138">
        <f t="shared" si="69"/>
        <v>0</v>
      </c>
      <c r="X120" s="138">
        <f t="shared" si="69"/>
        <v>0</v>
      </c>
      <c r="Y120" s="127">
        <f t="shared" si="69"/>
        <v>0</v>
      </c>
      <c r="Z120" s="127">
        <f t="shared" si="69"/>
        <v>0</v>
      </c>
      <c r="AA120" s="127">
        <f t="shared" si="69"/>
        <v>0</v>
      </c>
      <c r="AB120" s="127">
        <f t="shared" si="69"/>
        <v>0</v>
      </c>
      <c r="AC120" s="243"/>
    </row>
    <row r="121" spans="1:29" ht="15.75" hidden="1" customHeight="1" x14ac:dyDescent="0.4">
      <c r="A121" s="242">
        <f t="shared" si="49"/>
        <v>25</v>
      </c>
      <c r="B121" s="243">
        <f>STUD!E59</f>
        <v>0</v>
      </c>
      <c r="C121" s="244">
        <f>SUM(D122:AB122)</f>
        <v>0</v>
      </c>
      <c r="D121" s="135"/>
      <c r="E121" s="135"/>
      <c r="F121" s="135"/>
      <c r="G121" s="135"/>
      <c r="H121" s="135"/>
      <c r="I121" s="135"/>
      <c r="J121" s="135"/>
      <c r="K121" s="135"/>
      <c r="L121" s="135"/>
      <c r="M121" s="135"/>
      <c r="N121" s="135"/>
      <c r="O121" s="135"/>
      <c r="P121" s="135"/>
      <c r="Q121" s="135"/>
      <c r="R121" s="135"/>
      <c r="S121" s="135"/>
      <c r="T121" s="135"/>
      <c r="U121" s="135"/>
      <c r="V121" s="135"/>
      <c r="W121" s="135"/>
      <c r="X121" s="135"/>
      <c r="Y121" s="124"/>
      <c r="Z121" s="124"/>
      <c r="AA121" s="124"/>
      <c r="AB121" s="124"/>
      <c r="AC121" s="243">
        <f>SUM(D122:AB122)</f>
        <v>0</v>
      </c>
    </row>
    <row r="122" spans="1:29" ht="15.75" hidden="1" customHeight="1" x14ac:dyDescent="0.4">
      <c r="A122" s="242"/>
      <c r="B122" s="243"/>
      <c r="C122" s="245"/>
      <c r="D122" s="138">
        <f t="shared" ref="D122:AB122" si="70">IF(IFERROR(IF(VLOOKUP(D121,D$151:D$155,1,0)&gt;=1,D$150,0),D121)=D$132,D$136,IF(IFERROR(IF(VLOOKUP(D121,D$151:D$155,1,0)&gt;=1,D$150,0),D121)=D$139,D$142,IF(IFERROR(IF(VLOOKUP(D121,D$151:D$155,1,0)&gt;=1,D$150,0),D121)=D$145,D$147,0)))</f>
        <v>0</v>
      </c>
      <c r="E122" s="138">
        <f t="shared" si="70"/>
        <v>0</v>
      </c>
      <c r="F122" s="138">
        <f t="shared" si="70"/>
        <v>0</v>
      </c>
      <c r="G122" s="138">
        <f t="shared" si="70"/>
        <v>0</v>
      </c>
      <c r="H122" s="138">
        <f t="shared" si="70"/>
        <v>0</v>
      </c>
      <c r="I122" s="138">
        <f t="shared" si="70"/>
        <v>0</v>
      </c>
      <c r="J122" s="138">
        <f t="shared" si="70"/>
        <v>0</v>
      </c>
      <c r="K122" s="138">
        <f t="shared" si="70"/>
        <v>0</v>
      </c>
      <c r="L122" s="138">
        <f t="shared" si="70"/>
        <v>0</v>
      </c>
      <c r="M122" s="138">
        <f t="shared" si="70"/>
        <v>0</v>
      </c>
      <c r="N122" s="138">
        <f t="shared" si="70"/>
        <v>0</v>
      </c>
      <c r="O122" s="138">
        <f t="shared" si="70"/>
        <v>0</v>
      </c>
      <c r="P122" s="138">
        <f t="shared" si="70"/>
        <v>0</v>
      </c>
      <c r="Q122" s="138">
        <f t="shared" si="70"/>
        <v>0</v>
      </c>
      <c r="R122" s="138">
        <f t="shared" si="70"/>
        <v>0</v>
      </c>
      <c r="S122" s="138">
        <f t="shared" si="70"/>
        <v>0</v>
      </c>
      <c r="T122" s="138">
        <f t="shared" si="70"/>
        <v>0</v>
      </c>
      <c r="U122" s="138">
        <f t="shared" si="70"/>
        <v>0</v>
      </c>
      <c r="V122" s="138">
        <f t="shared" si="70"/>
        <v>0</v>
      </c>
      <c r="W122" s="138">
        <f t="shared" si="70"/>
        <v>0</v>
      </c>
      <c r="X122" s="138">
        <f t="shared" si="70"/>
        <v>0</v>
      </c>
      <c r="Y122" s="127">
        <f t="shared" si="70"/>
        <v>0</v>
      </c>
      <c r="Z122" s="127">
        <f t="shared" si="70"/>
        <v>0</v>
      </c>
      <c r="AA122" s="127">
        <f t="shared" si="70"/>
        <v>0</v>
      </c>
      <c r="AB122" s="127">
        <f t="shared" si="70"/>
        <v>0</v>
      </c>
      <c r="AC122" s="243"/>
    </row>
    <row r="123" spans="1:29" ht="15.75" hidden="1" customHeight="1" x14ac:dyDescent="0.4">
      <c r="A123" s="242">
        <f t="shared" si="49"/>
        <v>26</v>
      </c>
      <c r="B123" s="243">
        <f>STUD!E60</f>
        <v>0</v>
      </c>
      <c r="C123" s="244">
        <f>SUM(D124:AB124)</f>
        <v>0</v>
      </c>
      <c r="D123" s="135"/>
      <c r="E123" s="135"/>
      <c r="F123" s="135"/>
      <c r="G123" s="135"/>
      <c r="H123" s="135"/>
      <c r="I123" s="135"/>
      <c r="J123" s="135"/>
      <c r="K123" s="135"/>
      <c r="L123" s="135"/>
      <c r="M123" s="135"/>
      <c r="N123" s="135"/>
      <c r="O123" s="135"/>
      <c r="P123" s="135"/>
      <c r="Q123" s="135"/>
      <c r="R123" s="135"/>
      <c r="S123" s="135"/>
      <c r="T123" s="135"/>
      <c r="U123" s="135"/>
      <c r="V123" s="135"/>
      <c r="W123" s="135"/>
      <c r="X123" s="220"/>
      <c r="Y123" s="124"/>
      <c r="Z123" s="124"/>
      <c r="AA123" s="124"/>
      <c r="AB123" s="124"/>
      <c r="AC123" s="243">
        <f>SUM(D124:AB124)</f>
        <v>0</v>
      </c>
    </row>
    <row r="124" spans="1:29" ht="19.5" hidden="1" x14ac:dyDescent="0.4">
      <c r="A124" s="242"/>
      <c r="B124" s="243"/>
      <c r="C124" s="245"/>
      <c r="D124" s="138">
        <f t="shared" ref="D124:AB124" si="71">IF(IFERROR(IF(VLOOKUP(D123,D$151:D$155,1,0)&gt;=1,D$150,0),D123)=D$132,D$136,IF(IFERROR(IF(VLOOKUP(D123,D$151:D$155,1,0)&gt;=1,D$150,0),D123)=D$139,D$142,IF(IFERROR(IF(VLOOKUP(D123,D$151:D$155,1,0)&gt;=1,D$150,0),D123)=D$145,D$147,0)))</f>
        <v>0</v>
      </c>
      <c r="E124" s="138">
        <f t="shared" si="71"/>
        <v>0</v>
      </c>
      <c r="F124" s="138">
        <f t="shared" si="71"/>
        <v>0</v>
      </c>
      <c r="G124" s="138">
        <f t="shared" si="71"/>
        <v>0</v>
      </c>
      <c r="H124" s="138">
        <f t="shared" si="71"/>
        <v>0</v>
      </c>
      <c r="I124" s="138">
        <f t="shared" si="71"/>
        <v>0</v>
      </c>
      <c r="J124" s="138">
        <f t="shared" si="71"/>
        <v>0</v>
      </c>
      <c r="K124" s="138">
        <f t="shared" si="71"/>
        <v>0</v>
      </c>
      <c r="L124" s="138">
        <f t="shared" si="71"/>
        <v>0</v>
      </c>
      <c r="M124" s="138">
        <f t="shared" si="71"/>
        <v>0</v>
      </c>
      <c r="N124" s="138">
        <f t="shared" si="71"/>
        <v>0</v>
      </c>
      <c r="O124" s="138">
        <f t="shared" si="71"/>
        <v>0</v>
      </c>
      <c r="P124" s="138">
        <f t="shared" si="71"/>
        <v>0</v>
      </c>
      <c r="Q124" s="138">
        <f t="shared" si="71"/>
        <v>0</v>
      </c>
      <c r="R124" s="138">
        <f t="shared" si="71"/>
        <v>0</v>
      </c>
      <c r="S124" s="138">
        <f t="shared" si="71"/>
        <v>0</v>
      </c>
      <c r="T124" s="138">
        <f t="shared" si="71"/>
        <v>0</v>
      </c>
      <c r="U124" s="138">
        <f t="shared" si="71"/>
        <v>0</v>
      </c>
      <c r="V124" s="138">
        <f t="shared" si="71"/>
        <v>0</v>
      </c>
      <c r="W124" s="138">
        <f t="shared" si="71"/>
        <v>0</v>
      </c>
      <c r="X124" s="138">
        <f t="shared" si="71"/>
        <v>0</v>
      </c>
      <c r="Y124" s="127">
        <f t="shared" si="71"/>
        <v>0</v>
      </c>
      <c r="Z124" s="127">
        <f t="shared" si="71"/>
        <v>0</v>
      </c>
      <c r="AA124" s="127">
        <f t="shared" si="71"/>
        <v>0</v>
      </c>
      <c r="AB124" s="127">
        <f t="shared" si="71"/>
        <v>0</v>
      </c>
      <c r="AC124" s="243"/>
    </row>
    <row r="125" spans="1:29" ht="15.75" hidden="1" x14ac:dyDescent="0.4">
      <c r="A125" s="242">
        <f t="shared" si="49"/>
        <v>27</v>
      </c>
      <c r="B125" s="243">
        <f>STUD!E61</f>
        <v>0</v>
      </c>
      <c r="C125" s="244">
        <f>SUM(D126:AB126)</f>
        <v>0</v>
      </c>
      <c r="D125" s="221"/>
      <c r="E125" s="221"/>
      <c r="F125" s="221"/>
      <c r="G125" s="221"/>
      <c r="H125" s="221"/>
      <c r="I125" s="221"/>
      <c r="J125" s="221"/>
      <c r="K125" s="221"/>
      <c r="L125" s="221"/>
      <c r="M125" s="221"/>
      <c r="N125" s="221"/>
      <c r="O125" s="221"/>
      <c r="P125" s="221"/>
      <c r="Q125" s="221"/>
      <c r="R125" s="221"/>
      <c r="S125" s="221"/>
      <c r="T125" s="221"/>
      <c r="U125" s="221"/>
      <c r="V125" s="221"/>
      <c r="W125" s="221"/>
      <c r="X125" s="222"/>
      <c r="Y125" s="126"/>
      <c r="Z125" s="126"/>
      <c r="AA125" s="126"/>
      <c r="AB125" s="126"/>
      <c r="AC125" s="263">
        <f>SUM(D126:AB126)</f>
        <v>0</v>
      </c>
    </row>
    <row r="126" spans="1:29" ht="19.5" hidden="1" x14ac:dyDescent="0.4">
      <c r="A126" s="242"/>
      <c r="B126" s="243"/>
      <c r="C126" s="245"/>
      <c r="D126" s="138">
        <f t="shared" ref="D126:AB126" si="72">IF(IFERROR(IF(VLOOKUP(D125,D$151:D$155,1,0)&gt;=1,D$150,0),D125)=D$132,D$136,IF(IFERROR(IF(VLOOKUP(D125,D$151:D$155,1,0)&gt;=1,D$150,0),D125)=D$139,D$142,IF(IFERROR(IF(VLOOKUP(D125,D$151:D$155,1,0)&gt;=1,D$150,0),D125)=D$145,D$147,0)))</f>
        <v>0</v>
      </c>
      <c r="E126" s="138">
        <f t="shared" si="72"/>
        <v>0</v>
      </c>
      <c r="F126" s="138">
        <f t="shared" si="72"/>
        <v>0</v>
      </c>
      <c r="G126" s="138">
        <f t="shared" si="72"/>
        <v>0</v>
      </c>
      <c r="H126" s="138">
        <f t="shared" si="72"/>
        <v>0</v>
      </c>
      <c r="I126" s="138">
        <f t="shared" si="72"/>
        <v>0</v>
      </c>
      <c r="J126" s="138">
        <f t="shared" si="72"/>
        <v>0</v>
      </c>
      <c r="K126" s="138">
        <f t="shared" si="72"/>
        <v>0</v>
      </c>
      <c r="L126" s="138">
        <f t="shared" si="72"/>
        <v>0</v>
      </c>
      <c r="M126" s="138">
        <f t="shared" si="72"/>
        <v>0</v>
      </c>
      <c r="N126" s="138">
        <f t="shared" si="72"/>
        <v>0</v>
      </c>
      <c r="O126" s="138">
        <f t="shared" si="72"/>
        <v>0</v>
      </c>
      <c r="P126" s="138">
        <f t="shared" si="72"/>
        <v>0</v>
      </c>
      <c r="Q126" s="138">
        <f t="shared" si="72"/>
        <v>0</v>
      </c>
      <c r="R126" s="138">
        <f t="shared" si="72"/>
        <v>0</v>
      </c>
      <c r="S126" s="138">
        <f t="shared" si="72"/>
        <v>0</v>
      </c>
      <c r="T126" s="138">
        <f t="shared" si="72"/>
        <v>0</v>
      </c>
      <c r="U126" s="138">
        <f t="shared" si="72"/>
        <v>0</v>
      </c>
      <c r="V126" s="138">
        <f t="shared" si="72"/>
        <v>0</v>
      </c>
      <c r="W126" s="138">
        <f t="shared" si="72"/>
        <v>0</v>
      </c>
      <c r="X126" s="138">
        <f t="shared" si="72"/>
        <v>0</v>
      </c>
      <c r="Y126" s="127">
        <f t="shared" si="72"/>
        <v>0</v>
      </c>
      <c r="Z126" s="127">
        <f t="shared" si="72"/>
        <v>0</v>
      </c>
      <c r="AA126" s="127">
        <f t="shared" si="72"/>
        <v>0</v>
      </c>
      <c r="AB126" s="127">
        <f t="shared" si="72"/>
        <v>0</v>
      </c>
      <c r="AC126" s="263"/>
    </row>
    <row r="127" spans="1:29" ht="15.75" hidden="1" x14ac:dyDescent="0.4">
      <c r="A127" s="242">
        <f t="shared" si="49"/>
        <v>28</v>
      </c>
      <c r="B127" s="243">
        <f>STUD!E62</f>
        <v>0</v>
      </c>
      <c r="C127" s="244">
        <f>SUM(D128:AB128)</f>
        <v>0</v>
      </c>
      <c r="D127" s="221"/>
      <c r="E127" s="221"/>
      <c r="F127" s="221"/>
      <c r="G127" s="221"/>
      <c r="H127" s="221"/>
      <c r="I127" s="221"/>
      <c r="J127" s="221"/>
      <c r="K127" s="221"/>
      <c r="L127" s="221"/>
      <c r="M127" s="221"/>
      <c r="N127" s="221"/>
      <c r="O127" s="221"/>
      <c r="P127" s="221"/>
      <c r="Q127" s="221"/>
      <c r="R127" s="221"/>
      <c r="S127" s="221"/>
      <c r="T127" s="221"/>
      <c r="U127" s="221"/>
      <c r="V127" s="221"/>
      <c r="W127" s="221"/>
      <c r="X127" s="222"/>
      <c r="Y127" s="126"/>
      <c r="Z127" s="126"/>
      <c r="AA127" s="126"/>
      <c r="AB127" s="126"/>
      <c r="AC127" s="263">
        <f>SUM(D128:AB128)</f>
        <v>0</v>
      </c>
    </row>
    <row r="128" spans="1:29" ht="19.5" hidden="1" x14ac:dyDescent="0.4">
      <c r="A128" s="242"/>
      <c r="B128" s="243"/>
      <c r="C128" s="245"/>
      <c r="D128" s="138">
        <f t="shared" ref="D128:AB128" si="73">IF(IFERROR(IF(VLOOKUP(D127,D$151:D$155,1,0)&gt;=1,D$150,0),D127)=D$132,D$136,IF(IFERROR(IF(VLOOKUP(D127,D$151:D$155,1,0)&gt;=1,D$150,0),D127)=D$139,D$142,IF(IFERROR(IF(VLOOKUP(D127,D$151:D$155,1,0)&gt;=1,D$150,0),D127)=D$145,D$147,0)))</f>
        <v>0</v>
      </c>
      <c r="E128" s="138">
        <f t="shared" si="73"/>
        <v>0</v>
      </c>
      <c r="F128" s="138">
        <f t="shared" si="73"/>
        <v>0</v>
      </c>
      <c r="G128" s="138">
        <f t="shared" si="73"/>
        <v>0</v>
      </c>
      <c r="H128" s="138">
        <f t="shared" si="73"/>
        <v>0</v>
      </c>
      <c r="I128" s="138">
        <f t="shared" si="73"/>
        <v>0</v>
      </c>
      <c r="J128" s="138">
        <f t="shared" si="73"/>
        <v>0</v>
      </c>
      <c r="K128" s="138">
        <f t="shared" si="73"/>
        <v>0</v>
      </c>
      <c r="L128" s="138">
        <f t="shared" si="73"/>
        <v>0</v>
      </c>
      <c r="M128" s="138">
        <f t="shared" si="73"/>
        <v>0</v>
      </c>
      <c r="N128" s="138">
        <f t="shared" si="73"/>
        <v>0</v>
      </c>
      <c r="O128" s="138">
        <f t="shared" si="73"/>
        <v>0</v>
      </c>
      <c r="P128" s="138">
        <f t="shared" si="73"/>
        <v>0</v>
      </c>
      <c r="Q128" s="138">
        <f t="shared" si="73"/>
        <v>0</v>
      </c>
      <c r="R128" s="138">
        <f t="shared" si="73"/>
        <v>0</v>
      </c>
      <c r="S128" s="138">
        <f t="shared" si="73"/>
        <v>0</v>
      </c>
      <c r="T128" s="138">
        <f t="shared" si="73"/>
        <v>0</v>
      </c>
      <c r="U128" s="138">
        <f t="shared" si="73"/>
        <v>0</v>
      </c>
      <c r="V128" s="138">
        <f t="shared" si="73"/>
        <v>0</v>
      </c>
      <c r="W128" s="138">
        <f t="shared" si="73"/>
        <v>0</v>
      </c>
      <c r="X128" s="138">
        <f t="shared" si="73"/>
        <v>0</v>
      </c>
      <c r="Y128" s="127">
        <f t="shared" si="73"/>
        <v>0</v>
      </c>
      <c r="Z128" s="127">
        <f t="shared" si="73"/>
        <v>0</v>
      </c>
      <c r="AA128" s="127">
        <f t="shared" si="73"/>
        <v>0</v>
      </c>
      <c r="AB128" s="127">
        <f t="shared" si="73"/>
        <v>0</v>
      </c>
      <c r="AC128" s="263"/>
    </row>
    <row r="129" spans="1:29" hidden="1" x14ac:dyDescent="0.4">
      <c r="A129" s="13"/>
      <c r="B129" s="10"/>
      <c r="C129" s="10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0"/>
    </row>
    <row r="130" spans="1:29" ht="13.5" thickBot="1" x14ac:dyDescent="0.45">
      <c r="A130" s="3"/>
    </row>
    <row r="131" spans="1:29" ht="19.899999999999999" thickBot="1" x14ac:dyDescent="0.65">
      <c r="A131" s="3"/>
      <c r="C131" s="17" t="s">
        <v>21</v>
      </c>
      <c r="D131" s="18">
        <v>1</v>
      </c>
      <c r="E131" s="18">
        <v>2</v>
      </c>
      <c r="F131" s="18">
        <v>3</v>
      </c>
      <c r="G131" s="18">
        <v>4</v>
      </c>
      <c r="H131" s="18">
        <v>5</v>
      </c>
      <c r="I131" s="18">
        <v>6</v>
      </c>
      <c r="J131" s="18">
        <v>7</v>
      </c>
      <c r="K131" s="18">
        <v>8</v>
      </c>
      <c r="L131" s="18">
        <v>9</v>
      </c>
      <c r="M131" s="18">
        <v>10</v>
      </c>
      <c r="N131" s="18">
        <v>11</v>
      </c>
      <c r="O131" s="18">
        <v>12</v>
      </c>
      <c r="P131" s="18">
        <v>13</v>
      </c>
      <c r="Q131" s="18">
        <v>14</v>
      </c>
      <c r="R131" s="18">
        <v>15</v>
      </c>
      <c r="S131" s="18">
        <v>16</v>
      </c>
      <c r="T131" s="18">
        <v>17</v>
      </c>
      <c r="U131" s="18">
        <v>18</v>
      </c>
      <c r="V131" s="18">
        <v>19</v>
      </c>
      <c r="W131" s="18">
        <v>20</v>
      </c>
      <c r="X131" s="18">
        <v>21</v>
      </c>
      <c r="Y131" s="18">
        <v>22</v>
      </c>
      <c r="Z131" s="18">
        <v>23</v>
      </c>
      <c r="AA131" s="4">
        <v>24</v>
      </c>
      <c r="AB131" s="4">
        <v>25</v>
      </c>
    </row>
    <row r="132" spans="1:29" ht="19.5" x14ac:dyDescent="0.6">
      <c r="A132" s="3"/>
      <c r="C132" s="19" t="s">
        <v>22</v>
      </c>
      <c r="D132" s="20">
        <v>7</v>
      </c>
      <c r="E132" s="20">
        <v>13</v>
      </c>
      <c r="F132" s="20">
        <v>11</v>
      </c>
      <c r="G132" s="20">
        <v>7</v>
      </c>
      <c r="H132" s="20">
        <v>13</v>
      </c>
      <c r="I132" s="20">
        <v>1</v>
      </c>
      <c r="J132" s="20">
        <v>3</v>
      </c>
      <c r="K132" s="20">
        <v>15</v>
      </c>
      <c r="L132" s="20">
        <v>9</v>
      </c>
      <c r="M132" s="41">
        <v>5</v>
      </c>
      <c r="N132" s="41">
        <v>6</v>
      </c>
      <c r="O132" s="41">
        <v>3</v>
      </c>
      <c r="P132" s="20">
        <v>10</v>
      </c>
      <c r="Q132" s="20">
        <v>14</v>
      </c>
      <c r="R132" s="20">
        <v>5</v>
      </c>
      <c r="S132" s="41">
        <v>1</v>
      </c>
      <c r="T132" s="41">
        <v>8</v>
      </c>
      <c r="U132" s="41">
        <v>4</v>
      </c>
      <c r="V132" s="20">
        <v>1</v>
      </c>
      <c r="W132" s="20"/>
      <c r="X132" s="41"/>
      <c r="Y132" s="5"/>
      <c r="Z132" s="5"/>
      <c r="AA132" s="5"/>
      <c r="AB132" s="5"/>
    </row>
    <row r="133" spans="1:29" ht="19.5" x14ac:dyDescent="0.6">
      <c r="A133" s="3"/>
      <c r="C133" s="22" t="s">
        <v>23</v>
      </c>
      <c r="D133" s="37">
        <v>3.4</v>
      </c>
      <c r="E133" s="37">
        <v>29.2</v>
      </c>
      <c r="F133" s="37">
        <v>6.3</v>
      </c>
      <c r="G133" s="37">
        <v>10</v>
      </c>
      <c r="H133" s="37">
        <v>16</v>
      </c>
      <c r="I133" s="37">
        <v>6.7</v>
      </c>
      <c r="J133" s="37">
        <v>3.1</v>
      </c>
      <c r="K133" s="37">
        <v>9.1999999999999993</v>
      </c>
      <c r="L133" s="37">
        <v>1.7</v>
      </c>
      <c r="M133" s="42">
        <v>1.5</v>
      </c>
      <c r="N133" s="43">
        <v>3.3</v>
      </c>
      <c r="O133" s="43">
        <v>1.4</v>
      </c>
      <c r="P133" s="37">
        <v>7.4</v>
      </c>
      <c r="Q133" s="37">
        <v>7.9</v>
      </c>
      <c r="R133" s="37">
        <v>10.199999999999999</v>
      </c>
      <c r="S133" s="43">
        <v>4.2</v>
      </c>
      <c r="T133" s="43">
        <v>5.8</v>
      </c>
      <c r="U133" s="43">
        <v>12.2</v>
      </c>
      <c r="V133" s="37">
        <v>10.4</v>
      </c>
      <c r="W133" s="37"/>
      <c r="X133" s="43"/>
      <c r="Y133" s="6"/>
      <c r="Z133" s="6"/>
      <c r="AA133" s="6"/>
      <c r="AB133" s="6"/>
    </row>
    <row r="134" spans="1:29" ht="19.5" x14ac:dyDescent="0.6">
      <c r="A134" s="3"/>
      <c r="C134" s="22" t="s">
        <v>24</v>
      </c>
      <c r="D134" s="37">
        <v>2</v>
      </c>
      <c r="E134" s="37">
        <v>7.2</v>
      </c>
      <c r="F134" s="37">
        <v>3.4</v>
      </c>
      <c r="G134" s="37">
        <v>4.8</v>
      </c>
      <c r="H134" s="37">
        <v>4.5</v>
      </c>
      <c r="I134" s="37">
        <v>2.2999999999999998</v>
      </c>
      <c r="J134" s="37">
        <v>2</v>
      </c>
      <c r="K134" s="37">
        <v>2.9</v>
      </c>
      <c r="L134" s="37">
        <v>1.6</v>
      </c>
      <c r="M134" s="43">
        <v>1.2</v>
      </c>
      <c r="N134" s="43">
        <v>1.6</v>
      </c>
      <c r="O134" s="43">
        <v>1.1000000000000001</v>
      </c>
      <c r="P134" s="37">
        <v>5.3</v>
      </c>
      <c r="Q134" s="37">
        <v>3.3</v>
      </c>
      <c r="R134" s="37">
        <v>6.8</v>
      </c>
      <c r="S134" s="43">
        <v>1.9</v>
      </c>
      <c r="T134" s="43">
        <v>2.4</v>
      </c>
      <c r="U134" s="43">
        <v>7.3</v>
      </c>
      <c r="V134" s="37">
        <v>4.2</v>
      </c>
      <c r="W134" s="37"/>
      <c r="X134" s="43"/>
      <c r="Y134" s="6"/>
      <c r="Z134" s="6"/>
      <c r="AA134" s="6"/>
      <c r="AB134" s="6"/>
    </row>
    <row r="135" spans="1:29" ht="19.5" x14ac:dyDescent="0.6">
      <c r="A135" s="3"/>
      <c r="C135" s="22" t="s">
        <v>25</v>
      </c>
      <c r="D135" s="37">
        <v>1.7</v>
      </c>
      <c r="E135" s="37">
        <v>1.5</v>
      </c>
      <c r="F135" s="37">
        <v>1.7</v>
      </c>
      <c r="G135" s="37">
        <v>3</v>
      </c>
      <c r="H135" s="37">
        <v>2.7</v>
      </c>
      <c r="I135" s="37">
        <v>1.4</v>
      </c>
      <c r="J135" s="37">
        <v>1.9</v>
      </c>
      <c r="K135" s="37">
        <v>3.3</v>
      </c>
      <c r="L135" s="37">
        <v>1.2</v>
      </c>
      <c r="M135" s="43">
        <v>1.2</v>
      </c>
      <c r="N135" s="43">
        <v>1.3</v>
      </c>
      <c r="O135" s="43">
        <v>1.1000000000000001</v>
      </c>
      <c r="P135" s="37">
        <v>3.1</v>
      </c>
      <c r="Q135" s="37">
        <v>1.9</v>
      </c>
      <c r="R135" s="37">
        <v>3.2</v>
      </c>
      <c r="S135" s="43">
        <v>1.5</v>
      </c>
      <c r="T135" s="43">
        <v>1.5</v>
      </c>
      <c r="U135" s="43">
        <v>4.2</v>
      </c>
      <c r="V135" s="37">
        <v>3.2</v>
      </c>
      <c r="W135" s="37"/>
      <c r="X135" s="43"/>
      <c r="Y135" s="6"/>
      <c r="Z135" s="6"/>
      <c r="AA135" s="6"/>
      <c r="AB135" s="6"/>
    </row>
    <row r="136" spans="1:29" ht="19.899999999999999" thickBot="1" x14ac:dyDescent="0.65">
      <c r="A136" s="3"/>
      <c r="C136" s="24" t="s">
        <v>26</v>
      </c>
      <c r="D136" s="40">
        <f>IF(D130="U",D137*2,D137)</f>
        <v>7.1000000000000005</v>
      </c>
      <c r="E136" s="40">
        <f t="shared" ref="E136:AC136" si="74">IF(E130="U",E137*2,E137)</f>
        <v>37.9</v>
      </c>
      <c r="F136" s="40">
        <f t="shared" si="74"/>
        <v>11.399999999999999</v>
      </c>
      <c r="G136" s="40">
        <f t="shared" si="74"/>
        <v>17.8</v>
      </c>
      <c r="H136" s="40">
        <f t="shared" si="74"/>
        <v>23.2</v>
      </c>
      <c r="I136" s="40">
        <f t="shared" si="74"/>
        <v>10.4</v>
      </c>
      <c r="J136" s="40">
        <f t="shared" si="74"/>
        <v>7</v>
      </c>
      <c r="K136" s="40">
        <f t="shared" si="74"/>
        <v>15.399999999999999</v>
      </c>
      <c r="L136" s="40">
        <f t="shared" si="74"/>
        <v>4.5</v>
      </c>
      <c r="M136" s="40">
        <f t="shared" si="74"/>
        <v>3.9000000000000004</v>
      </c>
      <c r="N136" s="40">
        <f t="shared" si="74"/>
        <v>6.2</v>
      </c>
      <c r="O136" s="40">
        <f t="shared" si="74"/>
        <v>3.6</v>
      </c>
      <c r="P136" s="40">
        <f t="shared" si="74"/>
        <v>15.799999999999999</v>
      </c>
      <c r="Q136" s="40">
        <f t="shared" si="74"/>
        <v>13.1</v>
      </c>
      <c r="R136" s="40">
        <f t="shared" si="74"/>
        <v>20.2</v>
      </c>
      <c r="S136" s="40">
        <f t="shared" si="74"/>
        <v>7.6</v>
      </c>
      <c r="T136" s="40">
        <f t="shared" si="74"/>
        <v>9.6999999999999993</v>
      </c>
      <c r="U136" s="40">
        <f t="shared" si="74"/>
        <v>23.7</v>
      </c>
      <c r="V136" s="40">
        <f t="shared" si="74"/>
        <v>17.8</v>
      </c>
      <c r="W136" s="40">
        <f t="shared" si="74"/>
        <v>0</v>
      </c>
      <c r="X136" s="40">
        <f t="shared" si="74"/>
        <v>0</v>
      </c>
      <c r="Y136" s="40">
        <f t="shared" si="74"/>
        <v>0</v>
      </c>
      <c r="Z136" s="40">
        <f t="shared" si="74"/>
        <v>0</v>
      </c>
      <c r="AA136" s="40">
        <f t="shared" si="74"/>
        <v>0</v>
      </c>
      <c r="AB136" s="40">
        <f t="shared" si="74"/>
        <v>0</v>
      </c>
      <c r="AC136" s="40">
        <f t="shared" si="74"/>
        <v>0</v>
      </c>
    </row>
    <row r="137" spans="1:29" ht="19.5" x14ac:dyDescent="0.6">
      <c r="A137" s="3"/>
      <c r="C137" s="26"/>
      <c r="D137" s="27">
        <f>SUM(D133:D135)</f>
        <v>7.1000000000000005</v>
      </c>
      <c r="E137" s="27">
        <f t="shared" ref="E137:AC137" si="75">SUM(E133:E135)</f>
        <v>37.9</v>
      </c>
      <c r="F137" s="27">
        <f t="shared" si="75"/>
        <v>11.399999999999999</v>
      </c>
      <c r="G137" s="27">
        <f t="shared" si="75"/>
        <v>17.8</v>
      </c>
      <c r="H137" s="27">
        <f t="shared" si="75"/>
        <v>23.2</v>
      </c>
      <c r="I137" s="27">
        <f t="shared" si="75"/>
        <v>10.4</v>
      </c>
      <c r="J137" s="27">
        <f t="shared" si="75"/>
        <v>7</v>
      </c>
      <c r="K137" s="27">
        <f t="shared" si="75"/>
        <v>15.399999999999999</v>
      </c>
      <c r="L137" s="27">
        <f t="shared" si="75"/>
        <v>4.5</v>
      </c>
      <c r="M137" s="27">
        <f t="shared" si="75"/>
        <v>3.9000000000000004</v>
      </c>
      <c r="N137" s="27">
        <f t="shared" si="75"/>
        <v>6.2</v>
      </c>
      <c r="O137" s="27">
        <f t="shared" si="75"/>
        <v>3.6</v>
      </c>
      <c r="P137" s="27">
        <f t="shared" si="75"/>
        <v>15.799999999999999</v>
      </c>
      <c r="Q137" s="27">
        <f t="shared" si="75"/>
        <v>13.1</v>
      </c>
      <c r="R137" s="27">
        <f t="shared" si="75"/>
        <v>20.2</v>
      </c>
      <c r="S137" s="27">
        <f t="shared" si="75"/>
        <v>7.6</v>
      </c>
      <c r="T137" s="27">
        <f t="shared" si="75"/>
        <v>9.6999999999999993</v>
      </c>
      <c r="U137" s="27">
        <f t="shared" si="75"/>
        <v>23.7</v>
      </c>
      <c r="V137" s="27">
        <f t="shared" si="75"/>
        <v>17.8</v>
      </c>
      <c r="W137" s="27">
        <f t="shared" si="75"/>
        <v>0</v>
      </c>
      <c r="X137" s="27">
        <f t="shared" si="75"/>
        <v>0</v>
      </c>
      <c r="Y137" s="27">
        <f t="shared" si="75"/>
        <v>0</v>
      </c>
      <c r="Z137" s="27">
        <f t="shared" si="75"/>
        <v>0</v>
      </c>
      <c r="AA137" s="27">
        <f t="shared" si="75"/>
        <v>0</v>
      </c>
      <c r="AB137" s="27">
        <f t="shared" si="75"/>
        <v>0</v>
      </c>
      <c r="AC137" s="27">
        <f t="shared" si="75"/>
        <v>0</v>
      </c>
    </row>
    <row r="138" spans="1:29" ht="19.899999999999999" thickBot="1" x14ac:dyDescent="0.65">
      <c r="A138" s="3"/>
      <c r="C138" s="28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8"/>
    </row>
    <row r="139" spans="1:29" ht="19.5" x14ac:dyDescent="0.6">
      <c r="A139" s="3"/>
      <c r="C139" s="30" t="s">
        <v>27</v>
      </c>
      <c r="D139" s="20">
        <v>1</v>
      </c>
      <c r="E139" s="20">
        <v>11</v>
      </c>
      <c r="F139" s="20">
        <v>7</v>
      </c>
      <c r="G139" s="20">
        <v>8</v>
      </c>
      <c r="H139" s="20">
        <v>1</v>
      </c>
      <c r="I139" s="20">
        <v>11</v>
      </c>
      <c r="J139" s="20">
        <v>6</v>
      </c>
      <c r="K139" s="20">
        <v>5</v>
      </c>
      <c r="L139" s="20">
        <v>2</v>
      </c>
      <c r="M139" s="41">
        <v>2</v>
      </c>
      <c r="N139" s="41">
        <v>1</v>
      </c>
      <c r="O139" s="41">
        <v>8</v>
      </c>
      <c r="P139" s="20">
        <v>8</v>
      </c>
      <c r="Q139" s="20">
        <v>2</v>
      </c>
      <c r="R139" s="20">
        <v>8</v>
      </c>
      <c r="S139" s="41">
        <v>6</v>
      </c>
      <c r="T139" s="41">
        <v>5</v>
      </c>
      <c r="U139" s="41">
        <v>7</v>
      </c>
      <c r="V139" s="20">
        <v>7</v>
      </c>
      <c r="W139" s="20"/>
      <c r="X139" s="21"/>
      <c r="Y139" s="5"/>
      <c r="Z139" s="5"/>
      <c r="AA139" s="5"/>
      <c r="AB139" s="5"/>
    </row>
    <row r="140" spans="1:29" ht="19.5" x14ac:dyDescent="0.6">
      <c r="A140" s="3"/>
      <c r="C140" s="22" t="s">
        <v>24</v>
      </c>
      <c r="D140" s="37">
        <v>1.5</v>
      </c>
      <c r="E140" s="37">
        <v>2.2000000000000002</v>
      </c>
      <c r="F140" s="37">
        <v>4.4000000000000004</v>
      </c>
      <c r="G140" s="37">
        <v>5.5</v>
      </c>
      <c r="H140" s="37">
        <v>1.2</v>
      </c>
      <c r="I140" s="37">
        <v>1.8</v>
      </c>
      <c r="J140" s="37">
        <v>10</v>
      </c>
      <c r="K140" s="37">
        <v>4.5</v>
      </c>
      <c r="L140" s="37">
        <v>5.9</v>
      </c>
      <c r="M140" s="43">
        <v>1.9</v>
      </c>
      <c r="N140" s="43">
        <v>2.1</v>
      </c>
      <c r="O140" s="43">
        <v>1.5</v>
      </c>
      <c r="P140" s="37">
        <v>7.1</v>
      </c>
      <c r="Q140" s="37">
        <v>2.2000000000000002</v>
      </c>
      <c r="R140" s="37">
        <v>5.7</v>
      </c>
      <c r="S140" s="43">
        <v>1.4</v>
      </c>
      <c r="T140" s="43">
        <v>4.4000000000000004</v>
      </c>
      <c r="U140" s="43">
        <v>2.9</v>
      </c>
      <c r="V140" s="37">
        <v>3.4</v>
      </c>
      <c r="W140" s="37"/>
      <c r="X140" s="38"/>
      <c r="Y140" s="6"/>
      <c r="Z140" s="6"/>
      <c r="AA140" s="6"/>
      <c r="AB140" s="6"/>
    </row>
    <row r="141" spans="1:29" ht="19.5" x14ac:dyDescent="0.6">
      <c r="A141" s="3"/>
      <c r="C141" s="22" t="s">
        <v>25</v>
      </c>
      <c r="D141" s="37">
        <v>1.3</v>
      </c>
      <c r="E141" s="37">
        <v>1</v>
      </c>
      <c r="F141" s="37">
        <v>2.1</v>
      </c>
      <c r="G141" s="37">
        <v>2.9</v>
      </c>
      <c r="H141" s="37">
        <v>1.1000000000000001</v>
      </c>
      <c r="I141" s="37">
        <v>1.1000000000000001</v>
      </c>
      <c r="J141" s="37">
        <v>11.9</v>
      </c>
      <c r="K141" s="37">
        <v>3.7</v>
      </c>
      <c r="L141" s="37">
        <v>2.2999999999999998</v>
      </c>
      <c r="M141" s="43">
        <v>1.6</v>
      </c>
      <c r="N141" s="43">
        <v>1.4</v>
      </c>
      <c r="O141" s="43">
        <v>1.8</v>
      </c>
      <c r="P141" s="37">
        <v>3.6</v>
      </c>
      <c r="Q141" s="37">
        <v>1.6</v>
      </c>
      <c r="R141" s="37">
        <v>2.7</v>
      </c>
      <c r="S141" s="43">
        <v>1.8</v>
      </c>
      <c r="T141" s="43">
        <v>2.2999999999999998</v>
      </c>
      <c r="U141" s="43">
        <v>2.5</v>
      </c>
      <c r="V141" s="37">
        <v>2.6</v>
      </c>
      <c r="W141" s="37"/>
      <c r="X141" s="38"/>
      <c r="Y141" s="6"/>
      <c r="Z141" s="6"/>
      <c r="AA141" s="6"/>
      <c r="AB141" s="6"/>
    </row>
    <row r="142" spans="1:29" ht="19.899999999999999" thickBot="1" x14ac:dyDescent="0.65">
      <c r="A142" s="3"/>
      <c r="C142" s="24" t="s">
        <v>28</v>
      </c>
      <c r="D142" s="40">
        <f>IF(D130="U",D143*2,D143)</f>
        <v>2.8</v>
      </c>
      <c r="E142" s="40">
        <f t="shared" ref="E142:Z142" si="76">IF(E130="U",E143*2,E143)</f>
        <v>3.2</v>
      </c>
      <c r="F142" s="40">
        <f t="shared" si="76"/>
        <v>6.5</v>
      </c>
      <c r="G142" s="40">
        <f t="shared" si="76"/>
        <v>8.4</v>
      </c>
      <c r="H142" s="40">
        <f t="shared" si="76"/>
        <v>2.2999999999999998</v>
      </c>
      <c r="I142" s="40">
        <f t="shared" si="76"/>
        <v>2.9000000000000004</v>
      </c>
      <c r="J142" s="40">
        <f t="shared" si="76"/>
        <v>21.9</v>
      </c>
      <c r="K142" s="40">
        <f t="shared" si="76"/>
        <v>8.1999999999999993</v>
      </c>
      <c r="L142" s="40">
        <f t="shared" si="76"/>
        <v>8.1999999999999993</v>
      </c>
      <c r="M142" s="40">
        <f t="shared" si="76"/>
        <v>3.5</v>
      </c>
      <c r="N142" s="40">
        <f t="shared" si="76"/>
        <v>3.5</v>
      </c>
      <c r="O142" s="40">
        <f t="shared" si="76"/>
        <v>3.3</v>
      </c>
      <c r="P142" s="40">
        <f t="shared" si="76"/>
        <v>10.7</v>
      </c>
      <c r="Q142" s="40">
        <f t="shared" si="76"/>
        <v>3.8000000000000003</v>
      </c>
      <c r="R142" s="40">
        <f t="shared" si="76"/>
        <v>8.4</v>
      </c>
      <c r="S142" s="40">
        <f t="shared" si="76"/>
        <v>3.2</v>
      </c>
      <c r="T142" s="40">
        <f t="shared" si="76"/>
        <v>6.7</v>
      </c>
      <c r="U142" s="40">
        <f t="shared" si="76"/>
        <v>5.4</v>
      </c>
      <c r="V142" s="40">
        <f t="shared" si="76"/>
        <v>6</v>
      </c>
      <c r="W142" s="40">
        <f t="shared" si="76"/>
        <v>0</v>
      </c>
      <c r="X142" s="40">
        <f t="shared" si="76"/>
        <v>0</v>
      </c>
      <c r="Y142" s="40">
        <f t="shared" si="76"/>
        <v>0</v>
      </c>
      <c r="Z142" s="40">
        <f t="shared" si="76"/>
        <v>0</v>
      </c>
      <c r="AA142" s="7">
        <f>+SUM(AA140:AA141)</f>
        <v>0</v>
      </c>
      <c r="AB142" s="7">
        <f>+SUM(AB140:AB141)</f>
        <v>0</v>
      </c>
    </row>
    <row r="143" spans="1:29" ht="19.5" x14ac:dyDescent="0.6">
      <c r="A143" s="3"/>
      <c r="C143" s="26"/>
      <c r="D143" s="27">
        <f>SUM(D140:D141)</f>
        <v>2.8</v>
      </c>
      <c r="E143" s="27">
        <f t="shared" ref="E143:Z143" si="77">SUM(E140:E141)</f>
        <v>3.2</v>
      </c>
      <c r="F143" s="27">
        <f t="shared" si="77"/>
        <v>6.5</v>
      </c>
      <c r="G143" s="27">
        <f t="shared" si="77"/>
        <v>8.4</v>
      </c>
      <c r="H143" s="27">
        <f t="shared" si="77"/>
        <v>2.2999999999999998</v>
      </c>
      <c r="I143" s="27">
        <f t="shared" si="77"/>
        <v>2.9000000000000004</v>
      </c>
      <c r="J143" s="27">
        <f t="shared" si="77"/>
        <v>21.9</v>
      </c>
      <c r="K143" s="27">
        <f t="shared" si="77"/>
        <v>8.1999999999999993</v>
      </c>
      <c r="L143" s="27">
        <f t="shared" si="77"/>
        <v>8.1999999999999993</v>
      </c>
      <c r="M143" s="27">
        <f t="shared" si="77"/>
        <v>3.5</v>
      </c>
      <c r="N143" s="27">
        <f t="shared" si="77"/>
        <v>3.5</v>
      </c>
      <c r="O143" s="27">
        <f t="shared" si="77"/>
        <v>3.3</v>
      </c>
      <c r="P143" s="27">
        <f t="shared" si="77"/>
        <v>10.7</v>
      </c>
      <c r="Q143" s="27">
        <f t="shared" si="77"/>
        <v>3.8000000000000003</v>
      </c>
      <c r="R143" s="27">
        <f t="shared" si="77"/>
        <v>8.4</v>
      </c>
      <c r="S143" s="27">
        <f t="shared" si="77"/>
        <v>3.2</v>
      </c>
      <c r="T143" s="27">
        <f t="shared" si="77"/>
        <v>6.7</v>
      </c>
      <c r="U143" s="27">
        <f t="shared" si="77"/>
        <v>5.4</v>
      </c>
      <c r="V143" s="27">
        <f t="shared" si="77"/>
        <v>6</v>
      </c>
      <c r="W143" s="27">
        <f t="shared" si="77"/>
        <v>0</v>
      </c>
      <c r="X143" s="27">
        <f t="shared" si="77"/>
        <v>0</v>
      </c>
      <c r="Y143" s="27">
        <f t="shared" si="77"/>
        <v>0</v>
      </c>
      <c r="Z143" s="27">
        <f t="shared" si="77"/>
        <v>0</v>
      </c>
      <c r="AA143" s="12"/>
      <c r="AB143" s="12"/>
    </row>
    <row r="144" spans="1:29" ht="19.899999999999999" thickBot="1" x14ac:dyDescent="0.65">
      <c r="A144" s="3"/>
      <c r="C144" s="28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8"/>
    </row>
    <row r="145" spans="1:28" ht="19.5" x14ac:dyDescent="0.6">
      <c r="A145" s="3"/>
      <c r="C145" s="30" t="s">
        <v>29</v>
      </c>
      <c r="D145" s="20">
        <v>12</v>
      </c>
      <c r="E145" s="20">
        <v>2</v>
      </c>
      <c r="F145" s="20">
        <v>10</v>
      </c>
      <c r="G145" s="20">
        <v>12</v>
      </c>
      <c r="H145" s="20">
        <v>8</v>
      </c>
      <c r="I145" s="20">
        <v>4</v>
      </c>
      <c r="J145" s="20">
        <v>8</v>
      </c>
      <c r="K145" s="20">
        <v>7</v>
      </c>
      <c r="L145" s="20">
        <v>13</v>
      </c>
      <c r="M145" s="41">
        <v>1</v>
      </c>
      <c r="N145" s="20">
        <v>11</v>
      </c>
      <c r="O145" s="20">
        <v>7</v>
      </c>
      <c r="P145" s="20">
        <v>13</v>
      </c>
      <c r="Q145" s="20">
        <v>5</v>
      </c>
      <c r="R145" s="20">
        <v>12</v>
      </c>
      <c r="S145" s="41">
        <v>7</v>
      </c>
      <c r="T145" s="41">
        <v>11</v>
      </c>
      <c r="U145" s="41">
        <v>3</v>
      </c>
      <c r="V145" s="20">
        <v>5</v>
      </c>
      <c r="W145" s="20"/>
      <c r="X145" s="21"/>
      <c r="Y145" s="5"/>
      <c r="Z145" s="5"/>
      <c r="AA145" s="5"/>
      <c r="AB145" s="5"/>
    </row>
    <row r="146" spans="1:28" ht="19.5" x14ac:dyDescent="0.6">
      <c r="A146" s="3"/>
      <c r="C146" s="22" t="s">
        <v>25</v>
      </c>
      <c r="D146" s="39">
        <v>2.2999999999999998</v>
      </c>
      <c r="E146" s="39">
        <v>1</v>
      </c>
      <c r="F146" s="39">
        <v>1.3</v>
      </c>
      <c r="G146" s="39">
        <v>1.6</v>
      </c>
      <c r="H146" s="39">
        <v>1.6</v>
      </c>
      <c r="I146" s="39">
        <v>1.6</v>
      </c>
      <c r="J146" s="39">
        <v>3.5</v>
      </c>
      <c r="K146" s="39">
        <v>2.4</v>
      </c>
      <c r="L146" s="39">
        <v>1.6</v>
      </c>
      <c r="M146" s="44">
        <v>2.5</v>
      </c>
      <c r="N146" s="39">
        <v>1.8</v>
      </c>
      <c r="O146" s="39">
        <v>2.2999999999999998</v>
      </c>
      <c r="P146" s="39">
        <v>11.8</v>
      </c>
      <c r="Q146" s="39">
        <v>1.4</v>
      </c>
      <c r="R146" s="39">
        <v>4.4000000000000004</v>
      </c>
      <c r="S146" s="44">
        <v>2.4</v>
      </c>
      <c r="T146" s="44">
        <v>2.1</v>
      </c>
      <c r="U146" s="44">
        <v>1.7</v>
      </c>
      <c r="V146" s="39">
        <v>4.5999999999999996</v>
      </c>
      <c r="W146" s="39"/>
      <c r="X146" s="38"/>
      <c r="Y146" s="6"/>
      <c r="Z146" s="6"/>
      <c r="AA146" s="6"/>
      <c r="AB146" s="6"/>
    </row>
    <row r="147" spans="1:28" ht="19.899999999999999" thickBot="1" x14ac:dyDescent="0.65">
      <c r="A147" s="3"/>
      <c r="C147" s="24" t="s">
        <v>30</v>
      </c>
      <c r="D147" s="40">
        <f>IF(D130="U",D148*2,D148)</f>
        <v>2.2999999999999998</v>
      </c>
      <c r="E147" s="40">
        <f t="shared" ref="E147:Z147" si="78">IF(E130="U",E148*2,E148)</f>
        <v>1</v>
      </c>
      <c r="F147" s="40">
        <f t="shared" si="78"/>
        <v>1.3</v>
      </c>
      <c r="G147" s="40">
        <f t="shared" si="78"/>
        <v>1.6</v>
      </c>
      <c r="H147" s="40">
        <f t="shared" si="78"/>
        <v>1.6</v>
      </c>
      <c r="I147" s="40">
        <f t="shared" si="78"/>
        <v>1.6</v>
      </c>
      <c r="J147" s="40">
        <f t="shared" si="78"/>
        <v>3.5</v>
      </c>
      <c r="K147" s="40">
        <f t="shared" si="78"/>
        <v>2.4</v>
      </c>
      <c r="L147" s="40">
        <f t="shared" si="78"/>
        <v>1.6</v>
      </c>
      <c r="M147" s="40">
        <f t="shared" si="78"/>
        <v>2.5</v>
      </c>
      <c r="N147" s="40">
        <f t="shared" si="78"/>
        <v>1.8</v>
      </c>
      <c r="O147" s="40">
        <f t="shared" si="78"/>
        <v>2.2999999999999998</v>
      </c>
      <c r="P147" s="40">
        <f t="shared" si="78"/>
        <v>11.8</v>
      </c>
      <c r="Q147" s="40">
        <f t="shared" si="78"/>
        <v>1.4</v>
      </c>
      <c r="R147" s="40">
        <f t="shared" si="78"/>
        <v>4.4000000000000004</v>
      </c>
      <c r="S147" s="40">
        <f t="shared" si="78"/>
        <v>2.4</v>
      </c>
      <c r="T147" s="40">
        <f t="shared" si="78"/>
        <v>2.1</v>
      </c>
      <c r="U147" s="40">
        <f t="shared" si="78"/>
        <v>1.7</v>
      </c>
      <c r="V147" s="40">
        <f t="shared" si="78"/>
        <v>4.5999999999999996</v>
      </c>
      <c r="W147" s="40">
        <f t="shared" si="78"/>
        <v>0</v>
      </c>
      <c r="X147" s="40">
        <f t="shared" si="78"/>
        <v>0</v>
      </c>
      <c r="Y147" s="40">
        <f t="shared" si="78"/>
        <v>0</v>
      </c>
      <c r="Z147" s="40">
        <f t="shared" si="78"/>
        <v>0</v>
      </c>
      <c r="AA147" s="7">
        <f>+SUM(AA146)</f>
        <v>0</v>
      </c>
      <c r="AB147" s="7">
        <f>+SUM(AB146)</f>
        <v>0</v>
      </c>
    </row>
    <row r="148" spans="1:28" ht="19.5" x14ac:dyDescent="0.6">
      <c r="A148" s="3"/>
      <c r="C148" s="26"/>
      <c r="D148" s="27">
        <f>D146</f>
        <v>2.2999999999999998</v>
      </c>
      <c r="E148" s="27">
        <f t="shared" ref="E148:Z148" si="79">E146</f>
        <v>1</v>
      </c>
      <c r="F148" s="27">
        <f t="shared" si="79"/>
        <v>1.3</v>
      </c>
      <c r="G148" s="27">
        <f t="shared" si="79"/>
        <v>1.6</v>
      </c>
      <c r="H148" s="27">
        <f t="shared" si="79"/>
        <v>1.6</v>
      </c>
      <c r="I148" s="27">
        <f t="shared" si="79"/>
        <v>1.6</v>
      </c>
      <c r="J148" s="27">
        <f t="shared" si="79"/>
        <v>3.5</v>
      </c>
      <c r="K148" s="27">
        <f t="shared" si="79"/>
        <v>2.4</v>
      </c>
      <c r="L148" s="27">
        <f t="shared" si="79"/>
        <v>1.6</v>
      </c>
      <c r="M148" s="27">
        <f t="shared" si="79"/>
        <v>2.5</v>
      </c>
      <c r="N148" s="27">
        <f t="shared" si="79"/>
        <v>1.8</v>
      </c>
      <c r="O148" s="27">
        <f t="shared" si="79"/>
        <v>2.2999999999999998</v>
      </c>
      <c r="P148" s="27">
        <f t="shared" si="79"/>
        <v>11.8</v>
      </c>
      <c r="Q148" s="27">
        <f t="shared" si="79"/>
        <v>1.4</v>
      </c>
      <c r="R148" s="27">
        <f t="shared" si="79"/>
        <v>4.4000000000000004</v>
      </c>
      <c r="S148" s="27">
        <f t="shared" si="79"/>
        <v>2.4</v>
      </c>
      <c r="T148" s="27">
        <f t="shared" si="79"/>
        <v>2.1</v>
      </c>
      <c r="U148" s="27">
        <f t="shared" si="79"/>
        <v>1.7</v>
      </c>
      <c r="V148" s="27">
        <f t="shared" si="79"/>
        <v>4.5999999999999996</v>
      </c>
      <c r="W148" s="27">
        <f t="shared" si="79"/>
        <v>0</v>
      </c>
      <c r="X148" s="27">
        <f t="shared" si="79"/>
        <v>0</v>
      </c>
      <c r="Y148" s="27">
        <f t="shared" si="79"/>
        <v>0</v>
      </c>
      <c r="Z148" s="27">
        <f t="shared" si="79"/>
        <v>0</v>
      </c>
      <c r="AA148" s="12"/>
      <c r="AB148" s="12"/>
    </row>
    <row r="149" spans="1:28" ht="19.899999999999999" thickBot="1" x14ac:dyDescent="0.65">
      <c r="A149" s="3"/>
      <c r="C149" s="28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8"/>
    </row>
    <row r="150" spans="1:28" ht="19.5" x14ac:dyDescent="0.6">
      <c r="A150" s="3"/>
      <c r="C150" s="31" t="s">
        <v>31</v>
      </c>
      <c r="D150" s="32">
        <v>1</v>
      </c>
      <c r="E150" s="32">
        <v>4</v>
      </c>
      <c r="F150" s="32">
        <v>10</v>
      </c>
      <c r="G150" s="32">
        <v>5</v>
      </c>
      <c r="H150" s="32">
        <v>1</v>
      </c>
      <c r="I150" s="32">
        <v>11</v>
      </c>
      <c r="J150" s="32">
        <v>3</v>
      </c>
      <c r="K150" s="32">
        <v>1</v>
      </c>
      <c r="L150" s="32">
        <v>9</v>
      </c>
      <c r="M150" s="32">
        <v>5</v>
      </c>
      <c r="N150" s="32">
        <v>6</v>
      </c>
      <c r="O150" s="32">
        <v>3</v>
      </c>
      <c r="P150" s="32">
        <v>1</v>
      </c>
      <c r="Q150" s="32">
        <v>5</v>
      </c>
      <c r="R150" s="32">
        <v>6</v>
      </c>
      <c r="S150" s="32">
        <v>6</v>
      </c>
      <c r="T150" s="32">
        <v>7</v>
      </c>
      <c r="U150" s="32">
        <v>11</v>
      </c>
      <c r="V150" s="32">
        <v>7</v>
      </c>
      <c r="W150" s="32"/>
      <c r="X150" s="33"/>
      <c r="Y150" s="5"/>
      <c r="Z150" s="5"/>
      <c r="AA150" s="5"/>
      <c r="AB150" s="5"/>
    </row>
    <row r="151" spans="1:28" ht="19.5" x14ac:dyDescent="0.6">
      <c r="A151" s="3"/>
      <c r="C151" s="34" t="s">
        <v>32</v>
      </c>
      <c r="D151" s="35"/>
      <c r="E151" s="35">
        <v>9</v>
      </c>
      <c r="F151" s="35"/>
      <c r="G151" s="35"/>
      <c r="H151" s="35">
        <v>7</v>
      </c>
      <c r="I151" s="35">
        <v>6</v>
      </c>
      <c r="J151" s="35"/>
      <c r="K151" s="35"/>
      <c r="L151" s="35"/>
      <c r="M151" s="35"/>
      <c r="N151" s="35">
        <v>9</v>
      </c>
      <c r="O151" s="35">
        <v>5</v>
      </c>
      <c r="P151" s="35"/>
      <c r="Q151" s="35">
        <v>4</v>
      </c>
      <c r="R151" s="35">
        <v>2</v>
      </c>
      <c r="S151" s="35">
        <v>10</v>
      </c>
      <c r="T151" s="35">
        <v>10</v>
      </c>
      <c r="U151" s="35"/>
      <c r="V151" s="35">
        <v>8</v>
      </c>
      <c r="W151" s="35"/>
      <c r="X151" s="23"/>
      <c r="Y151" s="6"/>
      <c r="Z151" s="6"/>
      <c r="AA151" s="6"/>
      <c r="AB151" s="6"/>
    </row>
    <row r="152" spans="1:28" ht="19.5" x14ac:dyDescent="0.6">
      <c r="A152" s="3"/>
      <c r="C152" s="34" t="s">
        <v>33</v>
      </c>
      <c r="D152" s="36"/>
      <c r="E152" s="36"/>
      <c r="F152" s="36"/>
      <c r="G152" s="36"/>
      <c r="H152" s="36">
        <v>9</v>
      </c>
      <c r="I152" s="36"/>
      <c r="J152" s="36"/>
      <c r="K152" s="36"/>
      <c r="L152" s="36"/>
      <c r="M152" s="36"/>
      <c r="N152" s="36"/>
      <c r="O152" s="36"/>
      <c r="P152" s="36"/>
      <c r="Q152" s="25"/>
      <c r="R152" s="36"/>
      <c r="S152" s="23"/>
      <c r="T152" s="36"/>
      <c r="U152" s="36"/>
      <c r="V152" s="36">
        <v>11</v>
      </c>
      <c r="W152" s="36"/>
      <c r="X152" s="23"/>
      <c r="Y152" s="6"/>
      <c r="Z152" s="6"/>
      <c r="AA152" s="6"/>
      <c r="AB152" s="6"/>
    </row>
    <row r="153" spans="1:28" ht="19.5" x14ac:dyDescent="0.6">
      <c r="A153" s="3"/>
      <c r="C153" s="34" t="s">
        <v>34</v>
      </c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8"/>
      <c r="Z153" s="8"/>
      <c r="AA153" s="8"/>
      <c r="AB153" s="8"/>
    </row>
    <row r="154" spans="1:28" ht="19.5" x14ac:dyDescent="0.6">
      <c r="A154" s="3"/>
      <c r="C154" s="34" t="s">
        <v>35</v>
      </c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8"/>
      <c r="Z154" s="8"/>
      <c r="AA154" s="8"/>
      <c r="AB154" s="8"/>
    </row>
    <row r="155" spans="1:28" ht="19.5" x14ac:dyDescent="0.6">
      <c r="A155" s="3"/>
      <c r="C155" s="34" t="s">
        <v>36</v>
      </c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8"/>
      <c r="Z155" s="8"/>
      <c r="AA155" s="8"/>
      <c r="AB155" s="8"/>
    </row>
    <row r="156" spans="1:28" x14ac:dyDescent="0.4">
      <c r="A156" s="3"/>
    </row>
  </sheetData>
  <autoFilter ref="D4:E128" xr:uid="{00000000-0009-0000-0000-000004000000}"/>
  <sortState xmlns:xlrd2="http://schemas.microsoft.com/office/spreadsheetml/2017/richdata2" ref="AQ4:AV31">
    <sortCondition descending="1" ref="AV3"/>
    <sortCondition descending="1" ref="AQ3"/>
  </sortState>
  <mergeCells count="245">
    <mergeCell ref="A125:A126"/>
    <mergeCell ref="B125:B126"/>
    <mergeCell ref="C125:C126"/>
    <mergeCell ref="AC125:AC126"/>
    <mergeCell ref="A127:A128"/>
    <mergeCell ref="B127:B128"/>
    <mergeCell ref="C127:C128"/>
    <mergeCell ref="AC127:AC128"/>
    <mergeCell ref="A121:A122"/>
    <mergeCell ref="B121:B122"/>
    <mergeCell ref="C121:C122"/>
    <mergeCell ref="AC121:AC122"/>
    <mergeCell ref="A123:A124"/>
    <mergeCell ref="B123:B124"/>
    <mergeCell ref="C123:C124"/>
    <mergeCell ref="AC123:AC124"/>
    <mergeCell ref="A117:A118"/>
    <mergeCell ref="B117:B118"/>
    <mergeCell ref="C117:C118"/>
    <mergeCell ref="AC117:AC118"/>
    <mergeCell ref="A119:A120"/>
    <mergeCell ref="B119:B120"/>
    <mergeCell ref="C119:C120"/>
    <mergeCell ref="AC119:AC120"/>
    <mergeCell ref="A113:A114"/>
    <mergeCell ref="B113:B114"/>
    <mergeCell ref="C113:C114"/>
    <mergeCell ref="AC113:AC114"/>
    <mergeCell ref="A115:A116"/>
    <mergeCell ref="B115:B116"/>
    <mergeCell ref="C115:C116"/>
    <mergeCell ref="AC115:AC116"/>
    <mergeCell ref="A109:A110"/>
    <mergeCell ref="B109:B110"/>
    <mergeCell ref="C109:C110"/>
    <mergeCell ref="AC109:AC110"/>
    <mergeCell ref="A111:A112"/>
    <mergeCell ref="B111:B112"/>
    <mergeCell ref="C111:C112"/>
    <mergeCell ref="AC111:AC112"/>
    <mergeCell ref="A105:A106"/>
    <mergeCell ref="B105:B106"/>
    <mergeCell ref="C105:C106"/>
    <mergeCell ref="AC105:AC106"/>
    <mergeCell ref="A107:A108"/>
    <mergeCell ref="B107:B108"/>
    <mergeCell ref="C107:C108"/>
    <mergeCell ref="AC107:AC108"/>
    <mergeCell ref="A101:A102"/>
    <mergeCell ref="B101:B102"/>
    <mergeCell ref="C101:C102"/>
    <mergeCell ref="AC101:AC102"/>
    <mergeCell ref="A103:A104"/>
    <mergeCell ref="B103:B104"/>
    <mergeCell ref="C103:C104"/>
    <mergeCell ref="AC103:AC104"/>
    <mergeCell ref="A97:A98"/>
    <mergeCell ref="B97:B98"/>
    <mergeCell ref="C97:C98"/>
    <mergeCell ref="AC97:AC98"/>
    <mergeCell ref="A99:A100"/>
    <mergeCell ref="B99:B100"/>
    <mergeCell ref="C99:C100"/>
    <mergeCell ref="AC99:AC100"/>
    <mergeCell ref="A93:A94"/>
    <mergeCell ref="B93:B94"/>
    <mergeCell ref="C93:C94"/>
    <mergeCell ref="AC93:AC94"/>
    <mergeCell ref="A95:A96"/>
    <mergeCell ref="B95:B96"/>
    <mergeCell ref="C95:C96"/>
    <mergeCell ref="AC95:AC96"/>
    <mergeCell ref="A89:A90"/>
    <mergeCell ref="B89:B90"/>
    <mergeCell ref="C89:C90"/>
    <mergeCell ref="AC89:AC90"/>
    <mergeCell ref="A91:A92"/>
    <mergeCell ref="B91:B92"/>
    <mergeCell ref="C91:C92"/>
    <mergeCell ref="AC91:AC92"/>
    <mergeCell ref="A85:A86"/>
    <mergeCell ref="B85:B86"/>
    <mergeCell ref="C85:C86"/>
    <mergeCell ref="AC85:AC86"/>
    <mergeCell ref="A87:A88"/>
    <mergeCell ref="B87:B88"/>
    <mergeCell ref="C87:C88"/>
    <mergeCell ref="AC87:AC88"/>
    <mergeCell ref="A81:A82"/>
    <mergeCell ref="B81:B82"/>
    <mergeCell ref="C81:C82"/>
    <mergeCell ref="AC81:AC82"/>
    <mergeCell ref="A83:A84"/>
    <mergeCell ref="B83:B84"/>
    <mergeCell ref="C83:C84"/>
    <mergeCell ref="AC83:AC84"/>
    <mergeCell ref="A77:A78"/>
    <mergeCell ref="B77:B78"/>
    <mergeCell ref="C77:C78"/>
    <mergeCell ref="AC77:AC78"/>
    <mergeCell ref="A79:A80"/>
    <mergeCell ref="B79:B80"/>
    <mergeCell ref="C79:C80"/>
    <mergeCell ref="AC79:AC80"/>
    <mergeCell ref="A73:A74"/>
    <mergeCell ref="B73:B74"/>
    <mergeCell ref="C73:C74"/>
    <mergeCell ref="AC73:AC74"/>
    <mergeCell ref="A75:A76"/>
    <mergeCell ref="B75:B76"/>
    <mergeCell ref="C75:C76"/>
    <mergeCell ref="AC75:AC76"/>
    <mergeCell ref="A67:A68"/>
    <mergeCell ref="B67:B68"/>
    <mergeCell ref="C67:C68"/>
    <mergeCell ref="AC67:AC68"/>
    <mergeCell ref="A69:AC71"/>
    <mergeCell ref="AE72:AH72"/>
    <mergeCell ref="A63:A64"/>
    <mergeCell ref="B63:B64"/>
    <mergeCell ref="C63:C64"/>
    <mergeCell ref="AC63:AC64"/>
    <mergeCell ref="A65:A66"/>
    <mergeCell ref="B65:B66"/>
    <mergeCell ref="C65:C66"/>
    <mergeCell ref="AC65:AC66"/>
    <mergeCell ref="A59:A60"/>
    <mergeCell ref="B59:B60"/>
    <mergeCell ref="C59:C60"/>
    <mergeCell ref="AC59:AC60"/>
    <mergeCell ref="A61:A62"/>
    <mergeCell ref="B61:B62"/>
    <mergeCell ref="C61:C62"/>
    <mergeCell ref="AC61:AC62"/>
    <mergeCell ref="A55:A56"/>
    <mergeCell ref="B55:B56"/>
    <mergeCell ref="C55:C56"/>
    <mergeCell ref="AC55:AC56"/>
    <mergeCell ref="A57:A58"/>
    <mergeCell ref="B57:B58"/>
    <mergeCell ref="C57:C58"/>
    <mergeCell ref="AC57:AC58"/>
    <mergeCell ref="A51:A52"/>
    <mergeCell ref="B51:B52"/>
    <mergeCell ref="C51:C52"/>
    <mergeCell ref="AC51:AC52"/>
    <mergeCell ref="A53:A54"/>
    <mergeCell ref="B53:B54"/>
    <mergeCell ref="C53:C54"/>
    <mergeCell ref="AC53:AC54"/>
    <mergeCell ref="A47:A48"/>
    <mergeCell ref="B47:B48"/>
    <mergeCell ref="C47:C48"/>
    <mergeCell ref="AC47:AC48"/>
    <mergeCell ref="A49:A50"/>
    <mergeCell ref="B49:B50"/>
    <mergeCell ref="C49:C50"/>
    <mergeCell ref="AC49:AC50"/>
    <mergeCell ref="A43:A44"/>
    <mergeCell ref="B43:B44"/>
    <mergeCell ref="C43:C44"/>
    <mergeCell ref="AC43:AC44"/>
    <mergeCell ref="A45:A46"/>
    <mergeCell ref="B45:B46"/>
    <mergeCell ref="C45:C46"/>
    <mergeCell ref="AC45:AC46"/>
    <mergeCell ref="A39:A40"/>
    <mergeCell ref="B39:B40"/>
    <mergeCell ref="C39:C40"/>
    <mergeCell ref="AC39:AC40"/>
    <mergeCell ref="A41:A42"/>
    <mergeCell ref="B41:B42"/>
    <mergeCell ref="C41:C42"/>
    <mergeCell ref="AC41:AC42"/>
    <mergeCell ref="A35:A36"/>
    <mergeCell ref="B35:B36"/>
    <mergeCell ref="C35:C36"/>
    <mergeCell ref="AC35:AC36"/>
    <mergeCell ref="A37:A38"/>
    <mergeCell ref="B37:B38"/>
    <mergeCell ref="C37:C38"/>
    <mergeCell ref="AC37:AC38"/>
    <mergeCell ref="A31:A32"/>
    <mergeCell ref="B31:B32"/>
    <mergeCell ref="C31:C32"/>
    <mergeCell ref="AC31:AC32"/>
    <mergeCell ref="A33:A34"/>
    <mergeCell ref="B33:B34"/>
    <mergeCell ref="C33:C34"/>
    <mergeCell ref="AC33:AC34"/>
    <mergeCell ref="A27:A28"/>
    <mergeCell ref="B27:B28"/>
    <mergeCell ref="C27:C28"/>
    <mergeCell ref="AC27:AC28"/>
    <mergeCell ref="A29:A30"/>
    <mergeCell ref="B29:B30"/>
    <mergeCell ref="C29:C30"/>
    <mergeCell ref="AC29:AC30"/>
    <mergeCell ref="A23:A24"/>
    <mergeCell ref="B23:B24"/>
    <mergeCell ref="C23:C24"/>
    <mergeCell ref="AC23:AC24"/>
    <mergeCell ref="A25:A26"/>
    <mergeCell ref="B25:B26"/>
    <mergeCell ref="C25:C26"/>
    <mergeCell ref="AC25:AC26"/>
    <mergeCell ref="A19:A20"/>
    <mergeCell ref="B19:B20"/>
    <mergeCell ref="C19:C20"/>
    <mergeCell ref="AC19:AC20"/>
    <mergeCell ref="A21:A22"/>
    <mergeCell ref="B21:B22"/>
    <mergeCell ref="C21:C22"/>
    <mergeCell ref="AC21:AC22"/>
    <mergeCell ref="A15:A16"/>
    <mergeCell ref="B15:B16"/>
    <mergeCell ref="C15:C16"/>
    <mergeCell ref="AC15:AC16"/>
    <mergeCell ref="A17:A18"/>
    <mergeCell ref="B17:B18"/>
    <mergeCell ref="C17:C18"/>
    <mergeCell ref="AC17:AC18"/>
    <mergeCell ref="A13:A14"/>
    <mergeCell ref="B13:B14"/>
    <mergeCell ref="C13:C14"/>
    <mergeCell ref="AC13:AC14"/>
    <mergeCell ref="A7:A8"/>
    <mergeCell ref="B7:B8"/>
    <mergeCell ref="C7:C8"/>
    <mergeCell ref="AC7:AC8"/>
    <mergeCell ref="A9:A10"/>
    <mergeCell ref="B9:B10"/>
    <mergeCell ref="C9:C10"/>
    <mergeCell ref="AC9:AC10"/>
    <mergeCell ref="A1:AC3"/>
    <mergeCell ref="AE2:AH2"/>
    <mergeCell ref="AP2:AW2"/>
    <mergeCell ref="A5:A6"/>
    <mergeCell ref="B5:B6"/>
    <mergeCell ref="C5:C6"/>
    <mergeCell ref="AC5:AC6"/>
    <mergeCell ref="A11:A12"/>
    <mergeCell ref="B11:B12"/>
    <mergeCell ref="C11:C12"/>
    <mergeCell ref="AC11:AC12"/>
  </mergeCells>
  <conditionalFormatting sqref="D6:AB6 D8:AB8 D10:AB10 D12:AB12 D14:AB14 D16:AB16 D18:AB18 D20:AB20 D22:AB22 D24:AB24 D26:AB26 D28:AB28 D30:AB30 D32:AB32 D34:AB34 D36:AB36 D38:AB38 D40:AB40 D42:AB42 D44:AB44 D46:AB46 D48:AB48 D50:AB50 D52:AB52 D58:AB58 D60:AB60 D62:AB62 D64:AB64 D66:AB66 D68:AB68 D74:AB74 D76:AB76 D78:AB78 D80:AB80 D82:AB82 D84:AB84 D86:AB86 D88:AB88 D90:AB90 D92:AB92 D94:AB94 D96:AB96 D98:AB98 D100:AB100 D102:AB102 D104:AB104 D106:AB106 D108:AB108 D110:AB110 D112:AB112 D114:AB114 D116:AB116 D118:AB118 D120:AB120 D122:AB122 D124:AB124 D126:AB126 D128:AB129">
    <cfRule type="cellIs" dxfId="31" priority="35" operator="greaterThan">
      <formula>0</formula>
    </cfRule>
  </conditionalFormatting>
  <conditionalFormatting sqref="AF4:AH31 AQ4:AW31">
    <cfRule type="expression" dxfId="30" priority="33">
      <formula>AND(ROW()&gt;=4,ROW()&lt;=5)</formula>
    </cfRule>
    <cfRule type="expression" dxfId="29" priority="34">
      <formula>TRUE</formula>
    </cfRule>
  </conditionalFormatting>
  <conditionalFormatting sqref="AF74:AH101">
    <cfRule type="expression" dxfId="28" priority="31">
      <formula>AND(ROW()&gt;=74,ROW()&lt;=75)</formula>
    </cfRule>
    <cfRule type="expression" dxfId="27" priority="32">
      <formula>TRUE</formula>
    </cfRule>
  </conditionalFormatting>
  <conditionalFormatting sqref="D7:M7">
    <cfRule type="cellIs" dxfId="26" priority="12" operator="equal">
      <formula>0</formula>
    </cfRule>
  </conditionalFormatting>
  <conditionalFormatting sqref="D97:M97">
    <cfRule type="cellIs" dxfId="25" priority="11" operator="equal">
      <formula>0</formula>
    </cfRule>
  </conditionalFormatting>
  <conditionalFormatting sqref="D25:M25">
    <cfRule type="cellIs" dxfId="24" priority="10" operator="equal">
      <formula>0</formula>
    </cfRule>
  </conditionalFormatting>
  <conditionalFormatting sqref="D99:M99">
    <cfRule type="cellIs" dxfId="23" priority="9" operator="equal">
      <formula>0</formula>
    </cfRule>
  </conditionalFormatting>
  <conditionalFormatting sqref="D17:M17">
    <cfRule type="cellIs" dxfId="22" priority="8" operator="equal">
      <formula>0</formula>
    </cfRule>
  </conditionalFormatting>
  <conditionalFormatting sqref="D109:M109">
    <cfRule type="cellIs" dxfId="21" priority="7" operator="equal">
      <formula>0</formula>
    </cfRule>
  </conditionalFormatting>
  <conditionalFormatting sqref="D83:M83">
    <cfRule type="cellIs" dxfId="20" priority="6" operator="equal">
      <formula>0</formula>
    </cfRule>
  </conditionalFormatting>
  <conditionalFormatting sqref="D95:M95">
    <cfRule type="cellIs" dxfId="19" priority="5" operator="equal">
      <formula>0</formula>
    </cfRule>
  </conditionalFormatting>
  <conditionalFormatting sqref="D5:M5">
    <cfRule type="cellIs" dxfId="18" priority="4" operator="equal">
      <formula>0</formula>
    </cfRule>
  </conditionalFormatting>
  <conditionalFormatting sqref="D23:M23">
    <cfRule type="cellIs" dxfId="17" priority="3" operator="equal">
      <formula>0</formula>
    </cfRule>
  </conditionalFormatting>
  <conditionalFormatting sqref="D103:M103">
    <cfRule type="cellIs" dxfId="16" priority="2" operator="equal">
      <formula>0</formula>
    </cfRule>
  </conditionalFormatting>
  <conditionalFormatting sqref="D105:M105">
    <cfRule type="cellIs" dxfId="15" priority="1" operator="equal">
      <formula>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rdenar_Tres_TablasJue">
                <anchor moveWithCells="1" sizeWithCells="1">
                  <from>
                    <xdr:col>20</xdr:col>
                    <xdr:colOff>342900</xdr:colOff>
                    <xdr:row>0</xdr:row>
                    <xdr:rowOff>123825</xdr:rowOff>
                  </from>
                  <to>
                    <xdr:col>22</xdr:col>
                    <xdr:colOff>276225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Limpiar_Por_Rangos">
                <anchor moveWithCells="1" sizeWithCells="1">
                  <from>
                    <xdr:col>17</xdr:col>
                    <xdr:colOff>438150</xdr:colOff>
                    <xdr:row>0</xdr:row>
                    <xdr:rowOff>85725</xdr:rowOff>
                  </from>
                  <to>
                    <xdr:col>19</xdr:col>
                    <xdr:colOff>361950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X156"/>
  <sheetViews>
    <sheetView showGridLines="0" zoomScaleNormal="100" workbookViewId="0">
      <selection activeCell="AE73" sqref="AE73:AH91"/>
    </sheetView>
  </sheetViews>
  <sheetFormatPr baseColWidth="10" defaultColWidth="14.3984375" defaultRowHeight="13.15" x14ac:dyDescent="0.4"/>
  <cols>
    <col min="1" max="1" width="4.59765625" style="1" bestFit="1" customWidth="1"/>
    <col min="2" max="2" width="29.265625" style="2" bestFit="1" customWidth="1"/>
    <col min="3" max="3" width="13.73046875" style="2" bestFit="1" customWidth="1"/>
    <col min="4" max="8" width="6.3984375" style="2" bestFit="1" customWidth="1"/>
    <col min="9" max="9" width="7.86328125" style="2" bestFit="1" customWidth="1"/>
    <col min="10" max="11" width="6.3984375" style="2" bestFit="1" customWidth="1"/>
    <col min="12" max="12" width="7.86328125" style="2" bestFit="1" customWidth="1"/>
    <col min="13" max="14" width="6.3984375" style="2" bestFit="1" customWidth="1"/>
    <col min="15" max="15" width="7.86328125" style="2" bestFit="1" customWidth="1"/>
    <col min="16" max="18" width="6.3984375" style="2" bestFit="1" customWidth="1"/>
    <col min="19" max="19" width="7.86328125" style="2" bestFit="1" customWidth="1"/>
    <col min="20" max="20" width="7" style="2" bestFit="1" customWidth="1"/>
    <col min="21" max="22" width="7.86328125" style="2" bestFit="1" customWidth="1"/>
    <col min="23" max="23" width="7.1328125" style="2" customWidth="1"/>
    <col min="24" max="24" width="6.86328125" style="2" customWidth="1"/>
    <col min="25" max="25" width="6.3984375" style="2" customWidth="1"/>
    <col min="26" max="28" width="4.86328125" style="2" customWidth="1"/>
    <col min="29" max="29" width="9.73046875" style="2" customWidth="1"/>
    <col min="30" max="30" width="3.265625" style="2" customWidth="1"/>
    <col min="31" max="31" width="11.265625" style="2" bestFit="1" customWidth="1"/>
    <col min="32" max="32" width="24.265625" style="2" bestFit="1" customWidth="1"/>
    <col min="33" max="33" width="11.73046875" style="2" bestFit="1" customWidth="1"/>
    <col min="34" max="34" width="9" style="2" bestFit="1" customWidth="1"/>
    <col min="35" max="35" width="17.73046875" style="2" bestFit="1" customWidth="1"/>
    <col min="36" max="36" width="13.86328125" style="2" bestFit="1" customWidth="1"/>
    <col min="37" max="37" width="17.73046875" style="2" bestFit="1" customWidth="1"/>
    <col min="38" max="38" width="17.59765625" style="2" bestFit="1" customWidth="1"/>
    <col min="39" max="39" width="17.73046875" style="2" bestFit="1" customWidth="1"/>
    <col min="40" max="40" width="18.86328125" style="2" bestFit="1" customWidth="1"/>
    <col min="41" max="41" width="14.3984375" style="2"/>
    <col min="42" max="42" width="7" style="2" customWidth="1"/>
    <col min="43" max="43" width="30.1328125" style="2" bestFit="1" customWidth="1"/>
    <col min="44" max="16384" width="14.3984375" style="2"/>
  </cols>
  <sheetData>
    <row r="1" spans="1:50" s="46" customFormat="1" ht="11.25" customHeight="1" x14ac:dyDescent="0.4">
      <c r="A1" s="267" t="s">
        <v>17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</row>
    <row r="2" spans="1:50" ht="22.5" customHeight="1" x14ac:dyDescent="0.5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E2" s="264" t="s">
        <v>54</v>
      </c>
      <c r="AF2" s="265"/>
      <c r="AG2" s="265"/>
      <c r="AH2" s="266"/>
      <c r="AI2" s="52">
        <v>9</v>
      </c>
      <c r="AJ2" s="52"/>
      <c r="AK2" s="52">
        <v>10</v>
      </c>
      <c r="AL2" s="52"/>
      <c r="AM2" s="52">
        <v>11</v>
      </c>
      <c r="AN2" s="52"/>
      <c r="AP2" s="264" t="s">
        <v>55</v>
      </c>
      <c r="AQ2" s="265"/>
      <c r="AR2" s="265"/>
      <c r="AS2" s="265"/>
      <c r="AT2" s="265"/>
      <c r="AU2" s="265"/>
      <c r="AV2" s="265"/>
      <c r="AW2" s="265"/>
      <c r="AX2" s="266"/>
    </row>
    <row r="3" spans="1:50" ht="19.5" x14ac:dyDescent="0.5">
      <c r="A3" s="268"/>
      <c r="B3" s="268"/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E3" s="47" t="s">
        <v>37</v>
      </c>
      <c r="AF3" s="89" t="s">
        <v>14</v>
      </c>
      <c r="AG3" s="90" t="s">
        <v>15</v>
      </c>
      <c r="AH3" s="90" t="s">
        <v>52</v>
      </c>
      <c r="AI3" s="51" t="str">
        <f>"Prono Carrera "&amp;AI2</f>
        <v>Prono Carrera 9</v>
      </c>
      <c r="AJ3" s="51" t="s">
        <v>42</v>
      </c>
      <c r="AK3" s="51" t="str">
        <f>"Prono Carrera "&amp;AK2</f>
        <v>Prono Carrera 10</v>
      </c>
      <c r="AL3" s="51" t="s">
        <v>42</v>
      </c>
      <c r="AM3" s="51" t="str">
        <f>"Prono Carrera "&amp;AM2</f>
        <v>Prono Carrera 11</v>
      </c>
      <c r="AN3" s="51" t="s">
        <v>42</v>
      </c>
      <c r="AP3" s="141" t="s">
        <v>37</v>
      </c>
      <c r="AQ3" s="142" t="s">
        <v>14</v>
      </c>
      <c r="AR3" s="143" t="s">
        <v>44</v>
      </c>
      <c r="AS3" s="143" t="s">
        <v>45</v>
      </c>
      <c r="AT3" s="143" t="s">
        <v>46</v>
      </c>
      <c r="AU3" s="143" t="s">
        <v>47</v>
      </c>
      <c r="AV3" s="143" t="s">
        <v>48</v>
      </c>
      <c r="AW3" s="143" t="s">
        <v>15</v>
      </c>
      <c r="AX3" s="143" t="s">
        <v>52</v>
      </c>
    </row>
    <row r="4" spans="1:50" ht="15" customHeight="1" x14ac:dyDescent="0.4">
      <c r="A4" s="115" t="s">
        <v>0</v>
      </c>
      <c r="B4" s="115" t="s">
        <v>14</v>
      </c>
      <c r="C4" s="115" t="s">
        <v>18</v>
      </c>
      <c r="D4" s="115">
        <v>1</v>
      </c>
      <c r="E4" s="115">
        <v>2</v>
      </c>
      <c r="F4" s="115">
        <v>3</v>
      </c>
      <c r="G4" s="115">
        <v>4</v>
      </c>
      <c r="H4" s="115">
        <v>5</v>
      </c>
      <c r="I4" s="115">
        <v>6</v>
      </c>
      <c r="J4" s="115">
        <v>7</v>
      </c>
      <c r="K4" s="115">
        <v>8</v>
      </c>
      <c r="L4" s="115">
        <v>9</v>
      </c>
      <c r="M4" s="115">
        <v>10</v>
      </c>
      <c r="N4" s="115">
        <v>11</v>
      </c>
      <c r="O4" s="115">
        <v>12</v>
      </c>
      <c r="P4" s="115">
        <v>13</v>
      </c>
      <c r="Q4" s="115">
        <v>14</v>
      </c>
      <c r="R4" s="115">
        <v>15</v>
      </c>
      <c r="S4" s="115">
        <v>16</v>
      </c>
      <c r="T4" s="115">
        <v>17</v>
      </c>
      <c r="U4" s="115">
        <v>18</v>
      </c>
      <c r="V4" s="115">
        <v>19</v>
      </c>
      <c r="W4" s="115">
        <v>20</v>
      </c>
      <c r="X4" s="115">
        <v>21</v>
      </c>
      <c r="Y4" s="115">
        <v>22</v>
      </c>
      <c r="Z4" s="115">
        <v>23</v>
      </c>
      <c r="AA4" s="115">
        <v>24</v>
      </c>
      <c r="AB4" s="115">
        <v>25</v>
      </c>
      <c r="AC4" s="115" t="s">
        <v>19</v>
      </c>
      <c r="AE4" s="49">
        <v>1</v>
      </c>
      <c r="AF4" s="91" t="str">
        <f>IF(ISBLANK(STUD!B9)," ",STUD!B9)</f>
        <v>SERVIFRENOS</v>
      </c>
      <c r="AG4" s="91">
        <f t="shared" ref="AG4:AG31" si="0">IFERROR(VLOOKUP(AF4,$B$5:$C$68,2,0),0)</f>
        <v>73.899999999999991</v>
      </c>
      <c r="AH4" s="91"/>
      <c r="AI4" s="88">
        <f t="shared" ref="AI4:AI31" si="1">IFERROR(
   VLOOKUP(AF4, $B$5:$Y$68, CHOOSE($AI$2, 3, 4, 5, 6, 7, 8, 9, 10, 11, 12, 13, 14, 15, 16, 17, 18, 19, 20, 21, 22, 23, 24, 25, 26, 27, 28, 29), 0),
   " "
)</f>
        <v>6</v>
      </c>
      <c r="AJ4" s="53" t="str">
        <f>IF(AI4="","",IFERROR(IF(VLOOKUP(AI4,Programa!$V$3:$W$18,2,0)="","",VLOOKUP(AI4,Programa!$V$3:$W$18,2,0)),""))</f>
        <v>PLANETA FELIZ</v>
      </c>
      <c r="AK4" s="53">
        <f t="shared" ref="AK4:AK31" si="2">IFERROR(
   VLOOKUP(AF4, $B$5:$Y$68, CHOOSE($AK$2, 3, 4, 5, 6, 7, 8, 9, 10, 11, 12, 13, 14, 15, 16, 17, 18, 19, 20, 21, 22, 23, 24, 25, 26, 27, 28, 29), 0),
   " "
)</f>
        <v>3</v>
      </c>
      <c r="AL4" s="53" t="str">
        <f>IF(AK4="","",IFERROR(IF(VLOOKUP(AK4,Programa!$V$19:$W$34,2,0)="","",VLOOKUP(AK4,Programa!$V$19:$W$34,2,0)),""))</f>
        <v>SUPER FELIZ</v>
      </c>
      <c r="AM4" s="53">
        <f t="shared" ref="AM4:AM31" si="3">IFERROR(
   VLOOKUP(AF4, $B$5:$Y$68, CHOOSE($AM$2, 3, 4, 5, 6, 7, 8, 9, 10, 11, 12, 13, 14, 15, 16, 17, 18, 19, 20, 21, 22, 23, 24, 25, 26, 27, 28, 29), 0),
   " "
)</f>
        <v>5</v>
      </c>
      <c r="AN4" s="53" t="str">
        <f>IF(AM4="","",IFERROR(IF(VLOOKUP(AM4,Programa!$V$35:$W$50,2,0)="","",VLOOKUP(AM4,Programa!$V$35:$W$50,2,0)),""))</f>
        <v>MARRAKECH</v>
      </c>
      <c r="AP4" s="228">
        <v>1</v>
      </c>
      <c r="AQ4" s="145" t="str">
        <f>IF(ISBLANK(STUD!B9)," ",STUD!B9)</f>
        <v>SERVIFRENOS</v>
      </c>
      <c r="AR4" s="185">
        <f>IFERROR(VLOOKUP(AQ4,Lunes!$AF$4:$AG$31,2,0),0)</f>
        <v>13.700000000000001</v>
      </c>
      <c r="AS4" s="185">
        <f>IFERROR(VLOOKUP(AQ4,Martes!$AF$4:$AH$31,2,0),0)</f>
        <v>35.900000000000006</v>
      </c>
      <c r="AT4" s="185">
        <f>IFERROR(VLOOKUP(AQ4,Miercoles!$AF$4:$AG$31,2,0),0)</f>
        <v>34.699999999999996</v>
      </c>
      <c r="AU4" s="185">
        <f>IFERROR(VLOOKUP(AQ4,Jueves!$AF$4:$AG$26,2,0),0)</f>
        <v>55.100000000000009</v>
      </c>
      <c r="AV4" s="185">
        <f t="shared" ref="AV4:AV31" si="4">IFERROR(VLOOKUP(AQ4,$B$5:$C$68,2,0),0)</f>
        <v>73.899999999999991</v>
      </c>
      <c r="AW4" s="185">
        <f t="shared" ref="AW4:AW31" si="5">SUM(AR4:AV4)</f>
        <v>213.3</v>
      </c>
      <c r="AX4" s="185"/>
    </row>
    <row r="5" spans="1:50" ht="15.75" customHeight="1" x14ac:dyDescent="0.4">
      <c r="A5" s="287">
        <v>1</v>
      </c>
      <c r="B5" s="253" t="str">
        <f>+STUD!B2</f>
        <v>SOSAMAFIA</v>
      </c>
      <c r="C5" s="244">
        <f>SUM(D6:AB6)</f>
        <v>19.899999999999999</v>
      </c>
      <c r="D5" s="129">
        <v>8</v>
      </c>
      <c r="E5" s="129">
        <v>7</v>
      </c>
      <c r="F5" s="129">
        <v>1</v>
      </c>
      <c r="G5" s="129">
        <v>4</v>
      </c>
      <c r="H5" s="129">
        <v>2</v>
      </c>
      <c r="I5" s="129">
        <v>5</v>
      </c>
      <c r="J5" s="129">
        <v>3</v>
      </c>
      <c r="K5" s="129">
        <v>11</v>
      </c>
      <c r="L5" s="129">
        <v>3</v>
      </c>
      <c r="M5" s="129">
        <v>3</v>
      </c>
      <c r="N5" s="129">
        <v>10</v>
      </c>
      <c r="O5" s="130">
        <v>8</v>
      </c>
      <c r="P5" s="129">
        <v>7</v>
      </c>
      <c r="Q5" s="129">
        <v>9</v>
      </c>
      <c r="R5" s="129">
        <v>4</v>
      </c>
      <c r="S5" s="129">
        <v>11</v>
      </c>
      <c r="T5" s="129">
        <v>9</v>
      </c>
      <c r="U5" s="129">
        <v>6</v>
      </c>
      <c r="V5" s="129">
        <v>9</v>
      </c>
      <c r="W5" s="129"/>
      <c r="X5" s="129"/>
      <c r="Y5" s="129"/>
      <c r="Z5" s="129"/>
      <c r="AA5" s="129"/>
      <c r="AB5" s="129"/>
      <c r="AC5" s="243">
        <f>SUM(D6:AB6)</f>
        <v>19.899999999999999</v>
      </c>
      <c r="AE5" s="50">
        <v>2</v>
      </c>
      <c r="AF5" s="91" t="str">
        <f>IF(ISBLANK(STUD!B3)," ",STUD!B3)</f>
        <v>EL JOYERO</v>
      </c>
      <c r="AG5" s="91">
        <f t="shared" si="0"/>
        <v>59.7</v>
      </c>
      <c r="AH5" s="91">
        <f t="shared" ref="AH5:AH31" si="6">$AG$4-AG5</f>
        <v>14.199999999999989</v>
      </c>
      <c r="AI5" s="88">
        <f t="shared" si="1"/>
        <v>8</v>
      </c>
      <c r="AJ5" s="53" t="str">
        <f>IF(AI5="","",IFERROR(IF(VLOOKUP(AI5,Programa!$V$3:$W$18,2,0)="","",VLOOKUP(AI5,Programa!$V$3:$W$18,2,0)),""))</f>
        <v>MONARCA</v>
      </c>
      <c r="AK5" s="53">
        <f t="shared" si="2"/>
        <v>3</v>
      </c>
      <c r="AL5" s="53" t="str">
        <f>IF(AK5="","",IFERROR(IF(VLOOKUP(AK5,Programa!$V$19:$W$34,2,0)="","",VLOOKUP(AK5,Programa!$V$19:$W$34,2,0)),""))</f>
        <v>SUPER FELIZ</v>
      </c>
      <c r="AM5" s="53">
        <f t="shared" si="3"/>
        <v>14</v>
      </c>
      <c r="AN5" s="53" t="str">
        <f>IF(AM5="","",IFERROR(IF(VLOOKUP(AM5,Programa!$V$35:$W$50,2,0)="","",VLOOKUP(AM5,Programa!$V$35:$W$50,2,0)),""))</f>
        <v>TREN A CARTAGENA</v>
      </c>
      <c r="AP5" s="228">
        <v>2</v>
      </c>
      <c r="AQ5" s="145" t="str">
        <f>IF(ISBLANK(STUD!B4)," ",STUD!B4)</f>
        <v>PAP</v>
      </c>
      <c r="AR5" s="185">
        <f>IFERROR(VLOOKUP(AQ5,Lunes!$AF$4:$AG$31,2,0),0)</f>
        <v>0</v>
      </c>
      <c r="AS5" s="185">
        <f>IFERROR(VLOOKUP(AQ5,Martes!$AF$4:$AH$31,2,0),0)</f>
        <v>26.8</v>
      </c>
      <c r="AT5" s="185">
        <f>IFERROR(VLOOKUP(AQ5,Miercoles!$AF$4:$AG$31,2,0),0)</f>
        <v>79.199999999999989</v>
      </c>
      <c r="AU5" s="185">
        <f>IFERROR(VLOOKUP(AQ5,Jueves!$AF$4:$AG$26,2,0),0)</f>
        <v>26.200000000000003</v>
      </c>
      <c r="AV5" s="185">
        <f t="shared" si="4"/>
        <v>48.3</v>
      </c>
      <c r="AW5" s="185">
        <f t="shared" si="5"/>
        <v>180.5</v>
      </c>
      <c r="AX5" s="185">
        <f>$AW$4-AW5</f>
        <v>32.800000000000011</v>
      </c>
    </row>
    <row r="6" spans="1:50" ht="15" customHeight="1" x14ac:dyDescent="0.4">
      <c r="A6" s="242"/>
      <c r="B6" s="253"/>
      <c r="C6" s="245"/>
      <c r="D6" s="138">
        <f t="shared" ref="D6:AB6" si="7">IF(IFERROR(IF(VLOOKUP(D5,D$151:D$155,1,0)&gt;=1,D$150,0),D5)=D$132,D$136,IF(IFERROR(IF(VLOOKUP(D5,D$151:D$155,1,0)&gt;=1,D$150,0),D5)=D$139,D$142,IF(IFERROR(IF(VLOOKUP(D5,D$151:D$155,1,0)&gt;=1,D$150,0),D5)=D$145,D$147,0)))</f>
        <v>3.4000000000000004</v>
      </c>
      <c r="E6" s="138">
        <f t="shared" si="7"/>
        <v>0</v>
      </c>
      <c r="F6" s="138">
        <f t="shared" si="7"/>
        <v>0</v>
      </c>
      <c r="G6" s="138">
        <f t="shared" si="7"/>
        <v>0</v>
      </c>
      <c r="H6" s="138">
        <f t="shared" si="7"/>
        <v>0</v>
      </c>
      <c r="I6" s="138">
        <f t="shared" si="7"/>
        <v>0</v>
      </c>
      <c r="J6" s="138">
        <f t="shared" si="7"/>
        <v>0</v>
      </c>
      <c r="K6" s="138">
        <f t="shared" si="7"/>
        <v>1.6</v>
      </c>
      <c r="L6" s="138">
        <f t="shared" si="7"/>
        <v>5.5</v>
      </c>
      <c r="M6" s="138">
        <f t="shared" si="7"/>
        <v>2.8</v>
      </c>
      <c r="N6" s="138">
        <f t="shared" si="7"/>
        <v>0</v>
      </c>
      <c r="O6" s="138">
        <f t="shared" si="7"/>
        <v>0</v>
      </c>
      <c r="P6" s="138">
        <f t="shared" si="7"/>
        <v>2.6</v>
      </c>
      <c r="Q6" s="138">
        <f t="shared" si="7"/>
        <v>0</v>
      </c>
      <c r="R6" s="138">
        <f t="shared" si="7"/>
        <v>0</v>
      </c>
      <c r="S6" s="138">
        <f t="shared" si="7"/>
        <v>0</v>
      </c>
      <c r="T6" s="138">
        <f t="shared" si="7"/>
        <v>4</v>
      </c>
      <c r="U6" s="138">
        <f t="shared" si="7"/>
        <v>0</v>
      </c>
      <c r="V6" s="138">
        <f t="shared" si="7"/>
        <v>0</v>
      </c>
      <c r="W6" s="138">
        <f t="shared" si="7"/>
        <v>0</v>
      </c>
      <c r="X6" s="138">
        <f t="shared" si="7"/>
        <v>0</v>
      </c>
      <c r="Y6" s="138">
        <f t="shared" si="7"/>
        <v>0</v>
      </c>
      <c r="Z6" s="138">
        <f t="shared" si="7"/>
        <v>0</v>
      </c>
      <c r="AA6" s="138">
        <f t="shared" si="7"/>
        <v>0</v>
      </c>
      <c r="AB6" s="138">
        <f t="shared" si="7"/>
        <v>0</v>
      </c>
      <c r="AC6" s="243"/>
      <c r="AE6" s="62">
        <v>3</v>
      </c>
      <c r="AF6" s="91" t="str">
        <f>IF(ISBLANK(STUD!B4)," ",STUD!B4)</f>
        <v>PAP</v>
      </c>
      <c r="AG6" s="91">
        <f t="shared" si="0"/>
        <v>48.3</v>
      </c>
      <c r="AH6" s="91">
        <f t="shared" si="6"/>
        <v>25.599999999999994</v>
      </c>
      <c r="AI6" s="88">
        <f t="shared" si="1"/>
        <v>1</v>
      </c>
      <c r="AJ6" s="53" t="str">
        <f>IF(AI6="","",IFERROR(IF(VLOOKUP(AI6,Programa!$V$3:$W$18,2,0)="","",VLOOKUP(AI6,Programa!$V$3:$W$18,2,0)),""))</f>
        <v>PESO DORADO</v>
      </c>
      <c r="AK6" s="53">
        <f t="shared" si="2"/>
        <v>3</v>
      </c>
      <c r="AL6" s="53" t="str">
        <f>IF(AK6="","",IFERROR(IF(VLOOKUP(AK6,Programa!$V$19:$W$34,2,0)="","",VLOOKUP(AK6,Programa!$V$19:$W$34,2,0)),""))</f>
        <v>SUPER FELIZ</v>
      </c>
      <c r="AM6" s="53">
        <f t="shared" si="3"/>
        <v>5</v>
      </c>
      <c r="AN6" s="53" t="str">
        <f>IF(AM6="","",IFERROR(IF(VLOOKUP(AM6,Programa!$V$35:$W$50,2,0)="","",VLOOKUP(AM6,Programa!$V$35:$W$50,2,0)),""))</f>
        <v>MARRAKECH</v>
      </c>
      <c r="AP6" s="228">
        <v>3</v>
      </c>
      <c r="AQ6" s="145" t="str">
        <f>IF(ISBLANK(STUD!B15)," ",STUD!B15)</f>
        <v xml:space="preserve"> </v>
      </c>
      <c r="AR6" s="185">
        <f>IFERROR(VLOOKUP(AQ6,Lunes!$AF$4:$AG$31,2,0),0)</f>
        <v>0</v>
      </c>
      <c r="AS6" s="185">
        <f>IFERROR(VLOOKUP(AQ6,Martes!$AF$4:$AH$31,2,0),0)</f>
        <v>0</v>
      </c>
      <c r="AT6" s="185">
        <f>IFERROR(VLOOKUP(AQ6,Miercoles!$AF$4:$AG$31,2,0),0)</f>
        <v>0</v>
      </c>
      <c r="AU6" s="185">
        <f>IFERROR(VLOOKUP(AQ6,Jueves!$AF$4:$AG$26,2,0),0)</f>
        <v>0</v>
      </c>
      <c r="AV6" s="185">
        <f t="shared" si="4"/>
        <v>0</v>
      </c>
      <c r="AW6" s="185">
        <f t="shared" si="5"/>
        <v>0</v>
      </c>
      <c r="AX6" s="185">
        <f t="shared" ref="AX6:AX31" si="8">$AW$4-AW6</f>
        <v>213.3</v>
      </c>
    </row>
    <row r="7" spans="1:50" ht="15.75" customHeight="1" x14ac:dyDescent="0.4">
      <c r="A7" s="287">
        <f>+A5+1</f>
        <v>2</v>
      </c>
      <c r="B7" s="253" t="str">
        <f>+STUD!B3</f>
        <v>EL JOYERO</v>
      </c>
      <c r="C7" s="244">
        <f>SUM(D8:AB8)</f>
        <v>59.7</v>
      </c>
      <c r="D7" s="130">
        <v>12</v>
      </c>
      <c r="E7" s="130">
        <v>9</v>
      </c>
      <c r="F7" s="130">
        <v>3</v>
      </c>
      <c r="G7" s="130">
        <v>4</v>
      </c>
      <c r="H7" s="130">
        <v>7</v>
      </c>
      <c r="I7" s="130">
        <v>6</v>
      </c>
      <c r="J7" s="130">
        <v>3</v>
      </c>
      <c r="K7" s="130">
        <v>3</v>
      </c>
      <c r="L7" s="130">
        <v>8</v>
      </c>
      <c r="M7" s="130">
        <v>3</v>
      </c>
      <c r="N7" s="129">
        <v>14</v>
      </c>
      <c r="O7" s="129">
        <v>8</v>
      </c>
      <c r="P7" s="129">
        <v>7</v>
      </c>
      <c r="Q7" s="129">
        <v>12</v>
      </c>
      <c r="R7" s="129">
        <v>9</v>
      </c>
      <c r="S7" s="129">
        <v>4</v>
      </c>
      <c r="T7" s="129">
        <v>9</v>
      </c>
      <c r="U7" s="129">
        <v>6</v>
      </c>
      <c r="V7" s="129">
        <v>3</v>
      </c>
      <c r="W7" s="129"/>
      <c r="X7" s="129"/>
      <c r="Y7" s="129"/>
      <c r="Z7" s="129"/>
      <c r="AA7" s="129"/>
      <c r="AB7" s="129"/>
      <c r="AC7" s="243">
        <f>SUM(D8:AB8)</f>
        <v>59.7</v>
      </c>
      <c r="AE7" s="63">
        <v>4</v>
      </c>
      <c r="AF7" s="91" t="str">
        <f>IF(ISBLANK(STUD!B14)," ",STUD!B14)</f>
        <v xml:space="preserve"> </v>
      </c>
      <c r="AG7" s="91">
        <f t="shared" si="0"/>
        <v>0</v>
      </c>
      <c r="AH7" s="92">
        <f t="shared" si="6"/>
        <v>73.899999999999991</v>
      </c>
      <c r="AI7" s="88" t="str">
        <f t="shared" si="1"/>
        <v xml:space="preserve"> </v>
      </c>
      <c r="AJ7" s="53" t="str">
        <f>IF(AI7="","",IFERROR(IF(VLOOKUP(AI7,Programa!$V$3:$W$18,2,0)="","",VLOOKUP(AI7,Programa!$V$3:$W$18,2,0)),""))</f>
        <v/>
      </c>
      <c r="AK7" s="53" t="str">
        <f t="shared" si="2"/>
        <v xml:space="preserve"> </v>
      </c>
      <c r="AL7" s="53" t="str">
        <f>IF(AK7="","",IFERROR(IF(VLOOKUP(AK7,Programa!$V$19:$W$34,2,0)="","",VLOOKUP(AK7,Programa!$V$19:$W$34,2,0)),""))</f>
        <v/>
      </c>
      <c r="AM7" s="53" t="str">
        <f t="shared" si="3"/>
        <v xml:space="preserve"> </v>
      </c>
      <c r="AN7" s="53" t="str">
        <f>IF(AM7="","",IFERROR(IF(VLOOKUP(AM7,Programa!$V$35:$W$50,2,0)="","",VLOOKUP(AM7,Programa!$V$35:$W$50,2,0)),""))</f>
        <v/>
      </c>
      <c r="AP7" s="228">
        <v>4</v>
      </c>
      <c r="AQ7" s="145" t="str">
        <f>IF(ISBLANK(STUD!B16)," ",STUD!B16)</f>
        <v xml:space="preserve"> </v>
      </c>
      <c r="AR7" s="185">
        <f>IFERROR(VLOOKUP(AQ7,Lunes!$AF$4:$AG$31,2,0),0)</f>
        <v>0</v>
      </c>
      <c r="AS7" s="185">
        <f>IFERROR(VLOOKUP(AQ7,Martes!$AF$4:$AH$31,2,0),0)</f>
        <v>0</v>
      </c>
      <c r="AT7" s="185">
        <f>IFERROR(VLOOKUP(AQ7,Miercoles!$AF$4:$AG$31,2,0),0)</f>
        <v>0</v>
      </c>
      <c r="AU7" s="185">
        <f>IFERROR(VLOOKUP(AQ7,Jueves!$AF$4:$AG$26,2,0),0)</f>
        <v>0</v>
      </c>
      <c r="AV7" s="185">
        <f t="shared" si="4"/>
        <v>0</v>
      </c>
      <c r="AW7" s="185">
        <f t="shared" si="5"/>
        <v>0</v>
      </c>
      <c r="AX7" s="185">
        <f t="shared" si="8"/>
        <v>213.3</v>
      </c>
    </row>
    <row r="8" spans="1:50" ht="15" customHeight="1" x14ac:dyDescent="0.4">
      <c r="A8" s="242"/>
      <c r="B8" s="253"/>
      <c r="C8" s="245"/>
      <c r="D8" s="138">
        <f t="shared" ref="D8:AB8" si="9">IF(IFERROR(IF(VLOOKUP(D7,D$151:D$155,1,0)&gt;=1,D$150,0),D7)=D$132,D$136,IF(IFERROR(IF(VLOOKUP(D7,D$151:D$155,1,0)&gt;=1,D$150,0),D7)=D$139,D$142,IF(IFERROR(IF(VLOOKUP(D7,D$151:D$155,1,0)&gt;=1,D$150,0),D7)=D$145,D$147,0)))</f>
        <v>1.4</v>
      </c>
      <c r="E8" s="138">
        <f t="shared" si="9"/>
        <v>0</v>
      </c>
      <c r="F8" s="138">
        <f t="shared" si="9"/>
        <v>0</v>
      </c>
      <c r="G8" s="138">
        <f t="shared" si="9"/>
        <v>0</v>
      </c>
      <c r="H8" s="138">
        <f t="shared" si="9"/>
        <v>0</v>
      </c>
      <c r="I8" s="138">
        <f t="shared" si="9"/>
        <v>0</v>
      </c>
      <c r="J8" s="138">
        <f t="shared" si="9"/>
        <v>0</v>
      </c>
      <c r="K8" s="138">
        <f t="shared" si="9"/>
        <v>0</v>
      </c>
      <c r="L8" s="138">
        <f t="shared" si="9"/>
        <v>0</v>
      </c>
      <c r="M8" s="138">
        <f t="shared" si="9"/>
        <v>2.8</v>
      </c>
      <c r="N8" s="138">
        <f t="shared" si="9"/>
        <v>0</v>
      </c>
      <c r="O8" s="138">
        <f t="shared" si="9"/>
        <v>0</v>
      </c>
      <c r="P8" s="138">
        <f t="shared" si="9"/>
        <v>2.6</v>
      </c>
      <c r="Q8" s="138">
        <f t="shared" si="9"/>
        <v>6.3999999999999995</v>
      </c>
      <c r="R8" s="138">
        <f t="shared" si="9"/>
        <v>0</v>
      </c>
      <c r="S8" s="138">
        <f t="shared" si="9"/>
        <v>42.5</v>
      </c>
      <c r="T8" s="138">
        <f t="shared" si="9"/>
        <v>4</v>
      </c>
      <c r="U8" s="138">
        <f t="shared" si="9"/>
        <v>0</v>
      </c>
      <c r="V8" s="138">
        <f t="shared" si="9"/>
        <v>0</v>
      </c>
      <c r="W8" s="138">
        <f t="shared" si="9"/>
        <v>0</v>
      </c>
      <c r="X8" s="138">
        <f t="shared" si="9"/>
        <v>0</v>
      </c>
      <c r="Y8" s="138">
        <f t="shared" si="9"/>
        <v>0</v>
      </c>
      <c r="Z8" s="138">
        <f t="shared" si="9"/>
        <v>0</v>
      </c>
      <c r="AA8" s="138">
        <f t="shared" si="9"/>
        <v>0</v>
      </c>
      <c r="AB8" s="138">
        <f t="shared" si="9"/>
        <v>0</v>
      </c>
      <c r="AC8" s="243"/>
      <c r="AE8" s="64">
        <v>5</v>
      </c>
      <c r="AF8" s="91" t="str">
        <f>IF(ISBLANK(STUD!B16)," ",STUD!B16)</f>
        <v xml:space="preserve"> </v>
      </c>
      <c r="AG8" s="91">
        <f t="shared" si="0"/>
        <v>0</v>
      </c>
      <c r="AH8" s="92">
        <f t="shared" si="6"/>
        <v>73.899999999999991</v>
      </c>
      <c r="AI8" s="88" t="str">
        <f t="shared" si="1"/>
        <v xml:space="preserve"> </v>
      </c>
      <c r="AJ8" s="53" t="str">
        <f>IF(AI8="","",IFERROR(IF(VLOOKUP(AI8,Programa!$V$3:$W$18,2,0)="","",VLOOKUP(AI8,Programa!$V$3:$W$18,2,0)),""))</f>
        <v/>
      </c>
      <c r="AK8" s="53" t="str">
        <f t="shared" si="2"/>
        <v xml:space="preserve"> </v>
      </c>
      <c r="AL8" s="53" t="str">
        <f>IF(AK8="","",IFERROR(IF(VLOOKUP(AK8,Programa!$V$19:$W$34,2,0)="","",VLOOKUP(AK8,Programa!$V$19:$W$34,2,0)),""))</f>
        <v/>
      </c>
      <c r="AM8" s="53" t="str">
        <f t="shared" si="3"/>
        <v xml:space="preserve"> </v>
      </c>
      <c r="AN8" s="53" t="str">
        <f>IF(AM8="","",IFERROR(IF(VLOOKUP(AM8,Programa!$V$35:$W$50,2,0)="","",VLOOKUP(AM8,Programa!$V$35:$W$50,2,0)),""))</f>
        <v/>
      </c>
      <c r="AP8" s="228">
        <v>5</v>
      </c>
      <c r="AQ8" s="145" t="str">
        <f>IF(ISBLANK(STUD!B2)," ",STUD!B2)</f>
        <v>SOSAMAFIA</v>
      </c>
      <c r="AR8" s="185">
        <f>IFERROR(VLOOKUP(AQ8,Lunes!$AF$4:$AG$31,2,0),0)</f>
        <v>4</v>
      </c>
      <c r="AS8" s="185">
        <f>IFERROR(VLOOKUP(AQ8,Martes!$AF$4:$AH$31,2,0),0)</f>
        <v>14.9</v>
      </c>
      <c r="AT8" s="185">
        <f>IFERROR(VLOOKUP(AQ8,Miercoles!$AF$4:$AG$31,2,0),0)</f>
        <v>39.200000000000003</v>
      </c>
      <c r="AU8" s="185">
        <f>IFERROR(VLOOKUP(AQ8,Jueves!$AF$4:$AG$26,2,0),0)</f>
        <v>46.4</v>
      </c>
      <c r="AV8" s="185">
        <f t="shared" si="4"/>
        <v>19.899999999999999</v>
      </c>
      <c r="AW8" s="185">
        <f t="shared" si="5"/>
        <v>124.4</v>
      </c>
      <c r="AX8" s="185">
        <f t="shared" si="8"/>
        <v>88.9</v>
      </c>
    </row>
    <row r="9" spans="1:50" ht="15.75" customHeight="1" x14ac:dyDescent="0.4">
      <c r="A9" s="287">
        <f>+A7+1</f>
        <v>3</v>
      </c>
      <c r="B9" s="253" t="str">
        <f>+STUD!B4</f>
        <v>PAP</v>
      </c>
      <c r="C9" s="244">
        <f>SUM(D10:AB10)</f>
        <v>48.3</v>
      </c>
      <c r="D9" s="129">
        <v>2</v>
      </c>
      <c r="E9" s="129">
        <v>3</v>
      </c>
      <c r="F9" s="129">
        <v>5</v>
      </c>
      <c r="G9" s="129">
        <v>4</v>
      </c>
      <c r="H9" s="129">
        <v>4</v>
      </c>
      <c r="I9" s="129">
        <v>3</v>
      </c>
      <c r="J9" s="129">
        <v>10</v>
      </c>
      <c r="K9" s="129">
        <v>4</v>
      </c>
      <c r="L9" s="129">
        <v>1</v>
      </c>
      <c r="M9" s="129">
        <v>3</v>
      </c>
      <c r="N9" s="129">
        <v>5</v>
      </c>
      <c r="O9" s="130">
        <v>3</v>
      </c>
      <c r="P9" s="129">
        <v>4</v>
      </c>
      <c r="Q9" s="129">
        <v>9</v>
      </c>
      <c r="R9" s="129">
        <v>12</v>
      </c>
      <c r="S9" s="129">
        <v>2</v>
      </c>
      <c r="T9" s="129">
        <v>9</v>
      </c>
      <c r="U9" s="129">
        <v>15</v>
      </c>
      <c r="V9" s="129">
        <v>11</v>
      </c>
      <c r="W9" s="129"/>
      <c r="X9" s="129"/>
      <c r="Y9" s="129"/>
      <c r="Z9" s="129"/>
      <c r="AA9" s="129"/>
      <c r="AB9" s="129"/>
      <c r="AC9" s="243">
        <f>SUM(D10:AB10)</f>
        <v>48.3</v>
      </c>
      <c r="AE9" s="65">
        <v>6</v>
      </c>
      <c r="AF9" s="91" t="str">
        <f>IF(ISBLANK(STUD!B13)," ",STUD!B13)</f>
        <v xml:space="preserve"> </v>
      </c>
      <c r="AG9" s="91">
        <f t="shared" si="0"/>
        <v>0</v>
      </c>
      <c r="AH9" s="92">
        <f t="shared" si="6"/>
        <v>73.899999999999991</v>
      </c>
      <c r="AI9" s="88" t="str">
        <f t="shared" si="1"/>
        <v xml:space="preserve"> </v>
      </c>
      <c r="AJ9" s="53" t="str">
        <f>IF(AI9="","",IFERROR(IF(VLOOKUP(AI9,Programa!$V$3:$W$18,2,0)="","",VLOOKUP(AI9,Programa!$V$3:$W$18,2,0)),""))</f>
        <v/>
      </c>
      <c r="AK9" s="53" t="str">
        <f t="shared" si="2"/>
        <v xml:space="preserve"> </v>
      </c>
      <c r="AL9" s="53" t="str">
        <f>IF(AK9="","",IFERROR(IF(VLOOKUP(AK9,Programa!$V$19:$W$34,2,0)="","",VLOOKUP(AK9,Programa!$V$19:$W$34,2,0)),""))</f>
        <v/>
      </c>
      <c r="AM9" s="53" t="str">
        <f t="shared" si="3"/>
        <v xml:space="preserve"> </v>
      </c>
      <c r="AN9" s="53" t="str">
        <f>IF(AM9="","",IFERROR(IF(VLOOKUP(AM9,Programa!$V$35:$W$50,2,0)="","",VLOOKUP(AM9,Programa!$V$35:$W$50,2,0)),""))</f>
        <v/>
      </c>
      <c r="AP9" s="228">
        <v>6</v>
      </c>
      <c r="AQ9" s="145" t="str">
        <f>IF(ISBLANK(STUD!B13)," ",STUD!B13)</f>
        <v xml:space="preserve"> </v>
      </c>
      <c r="AR9" s="185">
        <f>IFERROR(VLOOKUP(AQ9,Lunes!$AF$4:$AG$31,2,0),0)</f>
        <v>0</v>
      </c>
      <c r="AS9" s="185">
        <f>IFERROR(VLOOKUP(AQ9,Martes!$AF$4:$AH$31,2,0),0)</f>
        <v>0</v>
      </c>
      <c r="AT9" s="185">
        <f>IFERROR(VLOOKUP(AQ9,Miercoles!$AF$4:$AG$31,2,0),0)</f>
        <v>0</v>
      </c>
      <c r="AU9" s="185">
        <f>IFERROR(VLOOKUP(AQ9,Jueves!$AF$4:$AG$26,2,0),0)</f>
        <v>0</v>
      </c>
      <c r="AV9" s="185">
        <f t="shared" si="4"/>
        <v>0</v>
      </c>
      <c r="AW9" s="185">
        <f t="shared" si="5"/>
        <v>0</v>
      </c>
      <c r="AX9" s="185">
        <f t="shared" si="8"/>
        <v>213.3</v>
      </c>
    </row>
    <row r="10" spans="1:50" ht="15" customHeight="1" x14ac:dyDescent="0.4">
      <c r="A10" s="242"/>
      <c r="B10" s="253"/>
      <c r="C10" s="245"/>
      <c r="D10" s="138">
        <f t="shared" ref="D10:AB10" si="10">IF(IFERROR(IF(VLOOKUP(D9,D$151:D$155,1,0)&gt;=1,D$150,0),D9)=D$132,D$136,IF(IFERROR(IF(VLOOKUP(D9,D$151:D$155,1,0)&gt;=1,D$150,0),D9)=D$139,D$142,IF(IFERROR(IF(VLOOKUP(D9,D$151:D$155,1,0)&gt;=1,D$150,0),D9)=D$145,D$147,0)))</f>
        <v>0</v>
      </c>
      <c r="E10" s="138">
        <f t="shared" si="10"/>
        <v>4.7</v>
      </c>
      <c r="F10" s="138">
        <f t="shared" si="10"/>
        <v>2.2999999999999998</v>
      </c>
      <c r="G10" s="138">
        <f t="shared" si="10"/>
        <v>0</v>
      </c>
      <c r="H10" s="138">
        <f t="shared" si="10"/>
        <v>12</v>
      </c>
      <c r="I10" s="138">
        <f t="shared" si="10"/>
        <v>0</v>
      </c>
      <c r="J10" s="138">
        <f t="shared" si="10"/>
        <v>6.7</v>
      </c>
      <c r="K10" s="138">
        <f t="shared" si="10"/>
        <v>0</v>
      </c>
      <c r="L10" s="138">
        <f t="shared" si="10"/>
        <v>0</v>
      </c>
      <c r="M10" s="138">
        <f t="shared" si="10"/>
        <v>2.8</v>
      </c>
      <c r="N10" s="138">
        <f t="shared" si="10"/>
        <v>4.5</v>
      </c>
      <c r="O10" s="138">
        <f t="shared" si="10"/>
        <v>1.3</v>
      </c>
      <c r="P10" s="138">
        <f t="shared" si="10"/>
        <v>1.1000000000000001</v>
      </c>
      <c r="Q10" s="138">
        <f t="shared" si="10"/>
        <v>0</v>
      </c>
      <c r="R10" s="138">
        <f t="shared" si="10"/>
        <v>4</v>
      </c>
      <c r="S10" s="138">
        <f t="shared" si="10"/>
        <v>0</v>
      </c>
      <c r="T10" s="138">
        <f t="shared" si="10"/>
        <v>4</v>
      </c>
      <c r="U10" s="138">
        <f t="shared" si="10"/>
        <v>4.9000000000000004</v>
      </c>
      <c r="V10" s="138">
        <f t="shared" si="10"/>
        <v>0</v>
      </c>
      <c r="W10" s="138">
        <f t="shared" si="10"/>
        <v>0</v>
      </c>
      <c r="X10" s="138">
        <f t="shared" si="10"/>
        <v>0</v>
      </c>
      <c r="Y10" s="138">
        <f t="shared" si="10"/>
        <v>0</v>
      </c>
      <c r="Z10" s="138">
        <f t="shared" si="10"/>
        <v>0</v>
      </c>
      <c r="AA10" s="138">
        <f t="shared" si="10"/>
        <v>0</v>
      </c>
      <c r="AB10" s="138">
        <f t="shared" si="10"/>
        <v>0</v>
      </c>
      <c r="AC10" s="243"/>
      <c r="AE10" s="66">
        <v>7</v>
      </c>
      <c r="AF10" s="91" t="str">
        <f>IF(ISBLANK(STUD!B5)," ",STUD!B5)</f>
        <v>KUME</v>
      </c>
      <c r="AG10" s="91">
        <f t="shared" si="0"/>
        <v>27.3</v>
      </c>
      <c r="AH10" s="92">
        <f t="shared" si="6"/>
        <v>46.599999999999994</v>
      </c>
      <c r="AI10" s="88">
        <f t="shared" si="1"/>
        <v>5</v>
      </c>
      <c r="AJ10" s="53" t="str">
        <f>IF(AI10="","",IFERROR(IF(VLOOKUP(AI10,Programa!$V$3:$W$18,2,0)="","",VLOOKUP(AI10,Programa!$V$3:$W$18,2,0)),""))</f>
        <v>GRAN PIOLA</v>
      </c>
      <c r="AK10" s="53">
        <f t="shared" si="2"/>
        <v>9</v>
      </c>
      <c r="AL10" s="53" t="str">
        <f>IF(AK10="","",IFERROR(IF(VLOOKUP(AK10,Programa!$V$19:$W$34,2,0)="","",VLOOKUP(AK10,Programa!$V$19:$W$34,2,0)),""))</f>
        <v>A LA ORDEN</v>
      </c>
      <c r="AM10" s="53">
        <f t="shared" si="3"/>
        <v>5</v>
      </c>
      <c r="AN10" s="53" t="str">
        <f>IF(AM10="","",IFERROR(IF(VLOOKUP(AM10,Programa!$V$35:$W$50,2,0)="","",VLOOKUP(AM10,Programa!$V$35:$W$50,2,0)),""))</f>
        <v>MARRAKECH</v>
      </c>
      <c r="AP10" s="228">
        <v>7</v>
      </c>
      <c r="AQ10" s="145" t="str">
        <f>IF(ISBLANK(STUD!B5)," ",STUD!B5)</f>
        <v>KUME</v>
      </c>
      <c r="AR10" s="185">
        <f>IFERROR(VLOOKUP(AQ10,Lunes!$AF$4:$AG$31,2,0),0)</f>
        <v>9.7000000000000011</v>
      </c>
      <c r="AS10" s="185">
        <f>IFERROR(VLOOKUP(AQ10,Martes!$AF$4:$AH$31,2,0),0)</f>
        <v>38.200000000000003</v>
      </c>
      <c r="AT10" s="185">
        <f>IFERROR(VLOOKUP(AQ10,Miercoles!$AF$4:$AG$31,2,0),0)</f>
        <v>5.9</v>
      </c>
      <c r="AU10" s="185">
        <f>IFERROR(VLOOKUP(AQ10,Jueves!$AF$4:$AG$26,2,0),0)</f>
        <v>49.099999999999994</v>
      </c>
      <c r="AV10" s="185">
        <f t="shared" si="4"/>
        <v>27.3</v>
      </c>
      <c r="AW10" s="185">
        <f t="shared" si="5"/>
        <v>130.20000000000002</v>
      </c>
      <c r="AX10" s="185">
        <f t="shared" si="8"/>
        <v>83.1</v>
      </c>
    </row>
    <row r="11" spans="1:50" ht="15.75" customHeight="1" x14ac:dyDescent="0.4">
      <c r="A11" s="287">
        <f>+A9+1</f>
        <v>4</v>
      </c>
      <c r="B11" s="253" t="str">
        <f>+STUD!B5</f>
        <v>KUME</v>
      </c>
      <c r="C11" s="244">
        <f>SUM(D12:AB12)</f>
        <v>27.3</v>
      </c>
      <c r="D11" s="129">
        <v>4</v>
      </c>
      <c r="E11" s="129">
        <v>3</v>
      </c>
      <c r="F11" s="129">
        <v>2</v>
      </c>
      <c r="G11" s="129">
        <v>4</v>
      </c>
      <c r="H11" s="129">
        <v>12</v>
      </c>
      <c r="I11" s="129">
        <v>12</v>
      </c>
      <c r="J11" s="129">
        <v>4</v>
      </c>
      <c r="K11" s="129">
        <v>11</v>
      </c>
      <c r="L11" s="129">
        <v>5</v>
      </c>
      <c r="M11" s="129">
        <v>9</v>
      </c>
      <c r="N11" s="129">
        <v>5</v>
      </c>
      <c r="O11" s="130">
        <v>9</v>
      </c>
      <c r="P11" s="129">
        <v>4</v>
      </c>
      <c r="Q11" s="129">
        <v>7</v>
      </c>
      <c r="R11" s="129">
        <v>8</v>
      </c>
      <c r="S11" s="129">
        <v>11</v>
      </c>
      <c r="T11" s="129">
        <v>9</v>
      </c>
      <c r="U11" s="129">
        <v>1</v>
      </c>
      <c r="V11" s="129">
        <v>11</v>
      </c>
      <c r="W11" s="129"/>
      <c r="X11" s="129"/>
      <c r="Y11" s="129"/>
      <c r="Z11" s="129"/>
      <c r="AA11" s="129"/>
      <c r="AB11" s="129"/>
      <c r="AC11" s="243">
        <f>SUM(D12:AB12)</f>
        <v>27.3</v>
      </c>
      <c r="AE11" s="67">
        <v>8</v>
      </c>
      <c r="AF11" s="91" t="str">
        <f>IF(ISBLANK(STUD!B7)," ",STUD!B7)</f>
        <v>ALF</v>
      </c>
      <c r="AG11" s="91">
        <f t="shared" si="0"/>
        <v>27.199999999999996</v>
      </c>
      <c r="AH11" s="92">
        <f t="shared" si="6"/>
        <v>46.699999999999996</v>
      </c>
      <c r="AI11" s="88">
        <f t="shared" si="1"/>
        <v>3</v>
      </c>
      <c r="AJ11" s="53" t="str">
        <f>IF(AI11="","",IFERROR(IF(VLOOKUP(AI11,Programa!$V$3:$W$18,2,0)="","",VLOOKUP(AI11,Programa!$V$3:$W$18,2,0)),""))</f>
        <v>SLAKO</v>
      </c>
      <c r="AK11" s="53">
        <f t="shared" si="2"/>
        <v>5</v>
      </c>
      <c r="AL11" s="53" t="str">
        <f>IF(AK11="","",IFERROR(IF(VLOOKUP(AK11,Programa!$V$19:$W$34,2,0)="","",VLOOKUP(AK11,Programa!$V$19:$W$34,2,0)),""))</f>
        <v>SCROOGE</v>
      </c>
      <c r="AM11" s="53">
        <f t="shared" si="3"/>
        <v>10</v>
      </c>
      <c r="AN11" s="53" t="str">
        <f>IF(AM11="","",IFERROR(IF(VLOOKUP(AM11,Programa!$V$35:$W$50,2,0)="","",VLOOKUP(AM11,Programa!$V$35:$W$50,2,0)),""))</f>
        <v>BLUE SUNDAY</v>
      </c>
      <c r="AP11" s="228">
        <v>8</v>
      </c>
      <c r="AQ11" s="145" t="str">
        <f>IF(ISBLANK(STUD!B11)," ",STUD!B11)</f>
        <v>PASASTE BANDIDO</v>
      </c>
      <c r="AR11" s="185">
        <f>IFERROR(VLOOKUP(AQ11,Lunes!$AF$4:$AG$31,2,0),0)</f>
        <v>4</v>
      </c>
      <c r="AS11" s="185">
        <f>IFERROR(VLOOKUP(AQ11,Martes!$AF$4:$AH$31,2,0),0)</f>
        <v>59.9</v>
      </c>
      <c r="AT11" s="185">
        <f>IFERROR(VLOOKUP(AQ11,Miercoles!$AF$4:$AG$31,2,0),0)</f>
        <v>12.899999999999999</v>
      </c>
      <c r="AU11" s="185">
        <f>IFERROR(VLOOKUP(AQ11,Jueves!$AF$4:$AG$26,2,0),0)</f>
        <v>6.8000000000000007</v>
      </c>
      <c r="AV11" s="185">
        <f t="shared" si="4"/>
        <v>13.3</v>
      </c>
      <c r="AW11" s="185">
        <f t="shared" si="5"/>
        <v>96.899999999999991</v>
      </c>
      <c r="AX11" s="185">
        <f t="shared" si="8"/>
        <v>116.40000000000002</v>
      </c>
    </row>
    <row r="12" spans="1:50" ht="15" customHeight="1" x14ac:dyDescent="0.4">
      <c r="A12" s="242"/>
      <c r="B12" s="253"/>
      <c r="C12" s="245"/>
      <c r="D12" s="138">
        <f t="shared" ref="D12:AB12" si="11">IF(IFERROR(IF(VLOOKUP(D11,D$151:D$155,1,0)&gt;=1,D$150,0),D11)=D$132,D$136,IF(IFERROR(IF(VLOOKUP(D11,D$151:D$155,1,0)&gt;=1,D$150,0),D11)=D$139,D$142,IF(IFERROR(IF(VLOOKUP(D11,D$151:D$155,1,0)&gt;=1,D$150,0),D11)=D$145,D$147,0)))</f>
        <v>0</v>
      </c>
      <c r="E12" s="138">
        <f t="shared" si="11"/>
        <v>4.7</v>
      </c>
      <c r="F12" s="138">
        <f t="shared" si="11"/>
        <v>7.1000000000000005</v>
      </c>
      <c r="G12" s="138">
        <f t="shared" si="11"/>
        <v>0</v>
      </c>
      <c r="H12" s="138">
        <f t="shared" si="11"/>
        <v>0</v>
      </c>
      <c r="I12" s="138">
        <f t="shared" si="11"/>
        <v>0</v>
      </c>
      <c r="J12" s="138">
        <f t="shared" si="11"/>
        <v>0</v>
      </c>
      <c r="K12" s="138">
        <f t="shared" si="11"/>
        <v>1.6</v>
      </c>
      <c r="L12" s="138">
        <f t="shared" si="11"/>
        <v>0</v>
      </c>
      <c r="M12" s="138">
        <f t="shared" si="11"/>
        <v>1.4</v>
      </c>
      <c r="N12" s="138">
        <f t="shared" si="11"/>
        <v>4.5</v>
      </c>
      <c r="O12" s="138">
        <f t="shared" si="11"/>
        <v>2.9</v>
      </c>
      <c r="P12" s="138">
        <f t="shared" si="11"/>
        <v>1.1000000000000001</v>
      </c>
      <c r="Q12" s="138">
        <f t="shared" si="11"/>
        <v>0</v>
      </c>
      <c r="R12" s="138">
        <f t="shared" si="11"/>
        <v>0</v>
      </c>
      <c r="S12" s="138">
        <f t="shared" si="11"/>
        <v>0</v>
      </c>
      <c r="T12" s="138">
        <f t="shared" si="11"/>
        <v>4</v>
      </c>
      <c r="U12" s="138">
        <f t="shared" si="11"/>
        <v>0</v>
      </c>
      <c r="V12" s="138">
        <f t="shared" si="11"/>
        <v>0</v>
      </c>
      <c r="W12" s="138">
        <f t="shared" si="11"/>
        <v>0</v>
      </c>
      <c r="X12" s="138">
        <f t="shared" si="11"/>
        <v>0</v>
      </c>
      <c r="Y12" s="138">
        <f t="shared" si="11"/>
        <v>0</v>
      </c>
      <c r="Z12" s="138">
        <f t="shared" si="11"/>
        <v>0</v>
      </c>
      <c r="AA12" s="138">
        <f t="shared" si="11"/>
        <v>0</v>
      </c>
      <c r="AB12" s="138">
        <f t="shared" si="11"/>
        <v>0</v>
      </c>
      <c r="AC12" s="243"/>
      <c r="AE12" s="68">
        <v>9</v>
      </c>
      <c r="AF12" s="91" t="str">
        <f>IF(ISBLANK(STUD!B6)," ",STUD!B6)</f>
        <v>TRES COPAS</v>
      </c>
      <c r="AG12" s="91">
        <f t="shared" si="0"/>
        <v>27.199999999999996</v>
      </c>
      <c r="AH12" s="92">
        <f t="shared" si="6"/>
        <v>46.699999999999996</v>
      </c>
      <c r="AI12" s="88">
        <f t="shared" si="1"/>
        <v>3</v>
      </c>
      <c r="AJ12" s="53" t="str">
        <f>IF(AI12="","",IFERROR(IF(VLOOKUP(AI12,Programa!$V$3:$W$18,2,0)="","",VLOOKUP(AI12,Programa!$V$3:$W$18,2,0)),""))</f>
        <v>SLAKO</v>
      </c>
      <c r="AK12" s="53">
        <f t="shared" si="2"/>
        <v>5</v>
      </c>
      <c r="AL12" s="53" t="str">
        <f>IF(AK12="","",IFERROR(IF(VLOOKUP(AK12,Programa!$V$19:$W$34,2,0)="","",VLOOKUP(AK12,Programa!$V$19:$W$34,2,0)),""))</f>
        <v>SCROOGE</v>
      </c>
      <c r="AM12" s="53">
        <f t="shared" si="3"/>
        <v>10</v>
      </c>
      <c r="AN12" s="53" t="str">
        <f>IF(AM12="","",IFERROR(IF(VLOOKUP(AM12,Programa!$V$35:$W$50,2,0)="","",VLOOKUP(AM12,Programa!$V$35:$W$50,2,0)),""))</f>
        <v>BLUE SUNDAY</v>
      </c>
      <c r="AP12" s="229">
        <v>9</v>
      </c>
      <c r="AQ12" s="145" t="str">
        <f>IF(ISBLANK(STUD!B8)," ",STUD!B8)</f>
        <v>MIS SOBRINOS</v>
      </c>
      <c r="AR12" s="185">
        <f>IFERROR(VLOOKUP(AQ12,Lunes!$AF$4:$AG$31,2,0),0)</f>
        <v>7.9</v>
      </c>
      <c r="AS12" s="185">
        <f>IFERROR(VLOOKUP(AQ12,Martes!$AF$4:$AH$31,2,0),0)</f>
        <v>11.5</v>
      </c>
      <c r="AT12" s="185">
        <f>IFERROR(VLOOKUP(AQ12,Miercoles!$AF$4:$AG$31,2,0),0)</f>
        <v>32.9</v>
      </c>
      <c r="AU12" s="185">
        <f>IFERROR(VLOOKUP(AQ12,Jueves!$AF$4:$AG$26,2,0),0)</f>
        <v>39.599999999999994</v>
      </c>
      <c r="AV12" s="185">
        <f t="shared" si="4"/>
        <v>25</v>
      </c>
      <c r="AW12" s="185">
        <f t="shared" si="5"/>
        <v>116.89999999999999</v>
      </c>
      <c r="AX12" s="185">
        <f t="shared" si="8"/>
        <v>96.40000000000002</v>
      </c>
    </row>
    <row r="13" spans="1:50" ht="15.75" customHeight="1" x14ac:dyDescent="0.4">
      <c r="A13" s="287">
        <f>+A11+1</f>
        <v>5</v>
      </c>
      <c r="B13" s="253" t="str">
        <f>+STUD!B6</f>
        <v>TRES COPAS</v>
      </c>
      <c r="C13" s="244">
        <f>SUM(D14:AB14)</f>
        <v>27.199999999999996</v>
      </c>
      <c r="D13" s="129">
        <v>2</v>
      </c>
      <c r="E13" s="129">
        <v>8</v>
      </c>
      <c r="F13" s="129">
        <v>1</v>
      </c>
      <c r="G13" s="129">
        <v>4</v>
      </c>
      <c r="H13" s="129">
        <v>12</v>
      </c>
      <c r="I13" s="129">
        <v>1</v>
      </c>
      <c r="J13" s="129">
        <v>9</v>
      </c>
      <c r="K13" s="129">
        <v>11</v>
      </c>
      <c r="L13" s="129">
        <v>3</v>
      </c>
      <c r="M13" s="129">
        <v>5</v>
      </c>
      <c r="N13" s="129">
        <v>10</v>
      </c>
      <c r="O13" s="130">
        <v>9</v>
      </c>
      <c r="P13" s="129">
        <v>4</v>
      </c>
      <c r="Q13" s="129">
        <v>12</v>
      </c>
      <c r="R13" s="129">
        <v>4</v>
      </c>
      <c r="S13" s="129">
        <v>1</v>
      </c>
      <c r="T13" s="129">
        <v>4</v>
      </c>
      <c r="U13" s="129">
        <v>5</v>
      </c>
      <c r="V13" s="129">
        <v>5</v>
      </c>
      <c r="W13" s="129"/>
      <c r="X13" s="129"/>
      <c r="Y13" s="129"/>
      <c r="Z13" s="129"/>
      <c r="AA13" s="129"/>
      <c r="AB13" s="129"/>
      <c r="AC13" s="243">
        <f>SUM(D14:AB14)</f>
        <v>27.199999999999996</v>
      </c>
      <c r="AE13" s="69">
        <v>10</v>
      </c>
      <c r="AF13" s="91" t="str">
        <f>IF(ISBLANK(STUD!B10)," ",STUD!B10)</f>
        <v>AUMENTA MEDINA</v>
      </c>
      <c r="AG13" s="91">
        <f t="shared" si="0"/>
        <v>26.8</v>
      </c>
      <c r="AH13" s="92">
        <f t="shared" si="6"/>
        <v>47.099999999999994</v>
      </c>
      <c r="AI13" s="88">
        <f t="shared" si="1"/>
        <v>1</v>
      </c>
      <c r="AJ13" s="53" t="str">
        <f>IF(AI13="","",IFERROR(IF(VLOOKUP(AI13,Programa!$V$3:$W$18,2,0)="","",VLOOKUP(AI13,Programa!$V$3:$W$18,2,0)),""))</f>
        <v>PESO DORADO</v>
      </c>
      <c r="AK13" s="53">
        <f t="shared" si="2"/>
        <v>8</v>
      </c>
      <c r="AL13" s="53" t="str">
        <f>IF(AK13="","",IFERROR(IF(VLOOKUP(AK13,Programa!$V$19:$W$34,2,0)="","",VLOOKUP(AK13,Programa!$V$19:$W$34,2,0)),""))</f>
        <v>TREN DE LA QUINTA</v>
      </c>
      <c r="AM13" s="53">
        <f t="shared" si="3"/>
        <v>5</v>
      </c>
      <c r="AN13" s="53" t="str">
        <f>IF(AM13="","",IFERROR(IF(VLOOKUP(AM13,Programa!$V$35:$W$50,2,0)="","",VLOOKUP(AM13,Programa!$V$35:$W$50,2,0)),""))</f>
        <v>MARRAKECH</v>
      </c>
      <c r="AP13" s="229">
        <v>10</v>
      </c>
      <c r="AQ13" s="145" t="str">
        <f>IF(ISBLANK(STUD!B12)," ",STUD!B12)</f>
        <v xml:space="preserve"> </v>
      </c>
      <c r="AR13" s="185">
        <f>IFERROR(VLOOKUP(AQ13,Lunes!$AF$4:$AG$31,2,0),0)</f>
        <v>0</v>
      </c>
      <c r="AS13" s="185">
        <f>IFERROR(VLOOKUP(AQ13,Martes!$AF$4:$AH$31,2,0),0)</f>
        <v>0</v>
      </c>
      <c r="AT13" s="185">
        <f>IFERROR(VLOOKUP(AQ13,Miercoles!$AF$4:$AG$31,2,0),0)</f>
        <v>0</v>
      </c>
      <c r="AU13" s="185">
        <f>IFERROR(VLOOKUP(AQ13,Jueves!$AF$4:$AG$26,2,0),0)</f>
        <v>0</v>
      </c>
      <c r="AV13" s="185">
        <f t="shared" si="4"/>
        <v>0</v>
      </c>
      <c r="AW13" s="185">
        <f t="shared" si="5"/>
        <v>0</v>
      </c>
      <c r="AX13" s="185">
        <f t="shared" si="8"/>
        <v>213.3</v>
      </c>
    </row>
    <row r="14" spans="1:50" ht="15" customHeight="1" x14ac:dyDescent="0.4">
      <c r="A14" s="242"/>
      <c r="B14" s="253"/>
      <c r="C14" s="245"/>
      <c r="D14" s="138">
        <f t="shared" ref="D14:AB14" si="12">IF(IFERROR(IF(VLOOKUP(D13,D$151:D$155,1,0)&gt;=1,D$150,0),D13)=D$132,D$136,IF(IFERROR(IF(VLOOKUP(D13,D$151:D$155,1,0)&gt;=1,D$150,0),D13)=D$139,D$142,IF(IFERROR(IF(VLOOKUP(D13,D$151:D$155,1,0)&gt;=1,D$150,0),D13)=D$145,D$147,0)))</f>
        <v>0</v>
      </c>
      <c r="E14" s="138">
        <f t="shared" si="12"/>
        <v>0</v>
      </c>
      <c r="F14" s="138">
        <f t="shared" si="12"/>
        <v>0</v>
      </c>
      <c r="G14" s="138">
        <f t="shared" si="12"/>
        <v>0</v>
      </c>
      <c r="H14" s="138">
        <f t="shared" si="12"/>
        <v>0</v>
      </c>
      <c r="I14" s="138">
        <f t="shared" si="12"/>
        <v>0</v>
      </c>
      <c r="J14" s="138">
        <f t="shared" si="12"/>
        <v>0</v>
      </c>
      <c r="K14" s="138">
        <f t="shared" si="12"/>
        <v>1.6</v>
      </c>
      <c r="L14" s="138">
        <f t="shared" si="12"/>
        <v>5.5</v>
      </c>
      <c r="M14" s="138">
        <f t="shared" si="12"/>
        <v>2.8</v>
      </c>
      <c r="N14" s="138">
        <f t="shared" si="12"/>
        <v>0</v>
      </c>
      <c r="O14" s="138">
        <f t="shared" si="12"/>
        <v>2.9</v>
      </c>
      <c r="P14" s="138">
        <f t="shared" si="12"/>
        <v>1.1000000000000001</v>
      </c>
      <c r="Q14" s="138">
        <f t="shared" si="12"/>
        <v>6.3999999999999995</v>
      </c>
      <c r="R14" s="138">
        <f t="shared" si="12"/>
        <v>0</v>
      </c>
      <c r="S14" s="138">
        <f t="shared" si="12"/>
        <v>0</v>
      </c>
      <c r="T14" s="138">
        <f t="shared" si="12"/>
        <v>6.8999999999999995</v>
      </c>
      <c r="U14" s="138">
        <f t="shared" si="12"/>
        <v>0</v>
      </c>
      <c r="V14" s="138">
        <f t="shared" si="12"/>
        <v>0</v>
      </c>
      <c r="W14" s="138">
        <f t="shared" si="12"/>
        <v>0</v>
      </c>
      <c r="X14" s="138">
        <f t="shared" si="12"/>
        <v>0</v>
      </c>
      <c r="Y14" s="138">
        <f t="shared" si="12"/>
        <v>0</v>
      </c>
      <c r="Z14" s="138">
        <f t="shared" si="12"/>
        <v>0</v>
      </c>
      <c r="AA14" s="138">
        <f t="shared" si="12"/>
        <v>0</v>
      </c>
      <c r="AB14" s="138">
        <f t="shared" si="12"/>
        <v>0</v>
      </c>
      <c r="AC14" s="243"/>
      <c r="AE14" s="70">
        <v>11</v>
      </c>
      <c r="AF14" s="91" t="str">
        <f>IF(ISBLANK(STUD!B8)," ",STUD!B8)</f>
        <v>MIS SOBRINOS</v>
      </c>
      <c r="AG14" s="91">
        <f t="shared" si="0"/>
        <v>25</v>
      </c>
      <c r="AH14" s="92">
        <f t="shared" si="6"/>
        <v>48.899999999999991</v>
      </c>
      <c r="AI14" s="88">
        <f t="shared" si="1"/>
        <v>4</v>
      </c>
      <c r="AJ14" s="53" t="str">
        <f>IF(AI14="","",IFERROR(IF(VLOOKUP(AI14,Programa!$V$3:$W$18,2,0)="","",VLOOKUP(AI14,Programa!$V$3:$W$18,2,0)),""))</f>
        <v>MASTER KAN</v>
      </c>
      <c r="AK14" s="53">
        <f t="shared" si="2"/>
        <v>10</v>
      </c>
      <c r="AL14" s="53" t="str">
        <f>IF(AK14="","",IFERROR(IF(VLOOKUP(AK14,Programa!$V$19:$W$34,2,0)="","",VLOOKUP(AK14,Programa!$V$19:$W$34,2,0)),""))</f>
        <v>CHECO ALEMAN</v>
      </c>
      <c r="AM14" s="53">
        <f t="shared" si="3"/>
        <v>9</v>
      </c>
      <c r="AN14" s="53" t="str">
        <f>IF(AM14="","",IFERROR(IF(VLOOKUP(AM14,Programa!$V$35:$W$50,2,0)="","",VLOOKUP(AM14,Programa!$V$35:$W$50,2,0)),""))</f>
        <v>VUELE LA FARRA</v>
      </c>
      <c r="AP14" s="229">
        <v>11</v>
      </c>
      <c r="AQ14" s="145" t="str">
        <f>IF(ISBLANK(STUD!B6)," ",STUD!B6)</f>
        <v>TRES COPAS</v>
      </c>
      <c r="AR14" s="185">
        <f>IFERROR(VLOOKUP(AQ14,Lunes!$AF$4:$AG$31,2,0),0)</f>
        <v>1.1000000000000001</v>
      </c>
      <c r="AS14" s="185">
        <f>IFERROR(VLOOKUP(AQ14,Martes!$AF$4:$AH$31,2,0),0)</f>
        <v>27</v>
      </c>
      <c r="AT14" s="185">
        <f>IFERROR(VLOOKUP(AQ14,Miercoles!$AF$4:$AG$31,2,0),0)</f>
        <v>30</v>
      </c>
      <c r="AU14" s="185">
        <f>IFERROR(VLOOKUP(AQ14,Jueves!$AF$4:$AG$26,2,0),0)</f>
        <v>54.599999999999994</v>
      </c>
      <c r="AV14" s="185">
        <f t="shared" si="4"/>
        <v>27.199999999999996</v>
      </c>
      <c r="AW14" s="185">
        <f t="shared" si="5"/>
        <v>139.89999999999998</v>
      </c>
      <c r="AX14" s="185">
        <f t="shared" si="8"/>
        <v>73.400000000000034</v>
      </c>
    </row>
    <row r="15" spans="1:50" ht="15.75" customHeight="1" x14ac:dyDescent="0.4">
      <c r="A15" s="287">
        <f>+A13+1</f>
        <v>6</v>
      </c>
      <c r="B15" s="253" t="str">
        <f>+STUD!B7</f>
        <v>ALF</v>
      </c>
      <c r="C15" s="244">
        <f>SUM(D16:AB16)</f>
        <v>27.199999999999996</v>
      </c>
      <c r="D15" s="129">
        <v>2</v>
      </c>
      <c r="E15" s="129">
        <v>8</v>
      </c>
      <c r="F15" s="129">
        <v>1</v>
      </c>
      <c r="G15" s="129">
        <v>4</v>
      </c>
      <c r="H15" s="129">
        <v>12</v>
      </c>
      <c r="I15" s="129">
        <v>1</v>
      </c>
      <c r="J15" s="129">
        <v>9</v>
      </c>
      <c r="K15" s="129">
        <v>11</v>
      </c>
      <c r="L15" s="129">
        <v>3</v>
      </c>
      <c r="M15" s="129">
        <v>5</v>
      </c>
      <c r="N15" s="129">
        <v>10</v>
      </c>
      <c r="O15" s="130">
        <v>9</v>
      </c>
      <c r="P15" s="129">
        <v>4</v>
      </c>
      <c r="Q15" s="129">
        <v>12</v>
      </c>
      <c r="R15" s="129">
        <v>4</v>
      </c>
      <c r="S15" s="129">
        <v>1</v>
      </c>
      <c r="T15" s="129">
        <v>4</v>
      </c>
      <c r="U15" s="129">
        <v>5</v>
      </c>
      <c r="V15" s="129">
        <v>5</v>
      </c>
      <c r="W15" s="129"/>
      <c r="X15" s="129"/>
      <c r="Y15" s="129"/>
      <c r="Z15" s="129"/>
      <c r="AA15" s="129"/>
      <c r="AB15" s="129"/>
      <c r="AC15" s="243">
        <f>SUM(D16:AB16)</f>
        <v>27.199999999999996</v>
      </c>
      <c r="AE15" s="71">
        <v>12</v>
      </c>
      <c r="AF15" s="91" t="str">
        <f>IF(ISBLANK(STUD!B15)," ",STUD!B15)</f>
        <v xml:space="preserve"> </v>
      </c>
      <c r="AG15" s="91">
        <f t="shared" si="0"/>
        <v>0</v>
      </c>
      <c r="AH15" s="92">
        <f t="shared" si="6"/>
        <v>73.899999999999991</v>
      </c>
      <c r="AI15" s="88" t="str">
        <f t="shared" si="1"/>
        <v xml:space="preserve"> </v>
      </c>
      <c r="AJ15" s="53" t="str">
        <f>IF(AI15="","",IFERROR(IF(VLOOKUP(AI15,Programa!$V$3:$W$18,2,0)="","",VLOOKUP(AI15,Programa!$V$3:$W$18,2,0)),""))</f>
        <v/>
      </c>
      <c r="AK15" s="53" t="str">
        <f t="shared" si="2"/>
        <v xml:space="preserve"> </v>
      </c>
      <c r="AL15" s="53" t="str">
        <f>IF(AK15="","",IFERROR(IF(VLOOKUP(AK15,Programa!$V$19:$W$34,2,0)="","",VLOOKUP(AK15,Programa!$V$19:$W$34,2,0)),""))</f>
        <v/>
      </c>
      <c r="AM15" s="53" t="str">
        <f t="shared" si="3"/>
        <v xml:space="preserve"> </v>
      </c>
      <c r="AN15" s="53" t="str">
        <f>IF(AM15="","",IFERROR(IF(VLOOKUP(AM15,Programa!$V$35:$W$50,2,0)="","",VLOOKUP(AM15,Programa!$V$35:$W$50,2,0)),""))</f>
        <v/>
      </c>
      <c r="AP15" s="229">
        <v>12</v>
      </c>
      <c r="AQ15" s="145" t="str">
        <f>IF(ISBLANK(STUD!B3)," ",STUD!B3)</f>
        <v>EL JOYERO</v>
      </c>
      <c r="AR15" s="185">
        <f>IFERROR(VLOOKUP(AQ15,Lunes!$AF$4:$AG$31,2,0),0)</f>
        <v>4</v>
      </c>
      <c r="AS15" s="185">
        <f>IFERROR(VLOOKUP(AQ15,Martes!$AF$4:$AH$31,2,0),0)</f>
        <v>25.4</v>
      </c>
      <c r="AT15" s="185">
        <f>IFERROR(VLOOKUP(AQ15,Miercoles!$AF$4:$AG$31,2,0),0)</f>
        <v>18.799999999999997</v>
      </c>
      <c r="AU15" s="185">
        <f>IFERROR(VLOOKUP(AQ15,Jueves!$AF$4:$AG$26,2,0),0)</f>
        <v>32.5</v>
      </c>
      <c r="AV15" s="185">
        <f t="shared" si="4"/>
        <v>59.7</v>
      </c>
      <c r="AW15" s="185">
        <f t="shared" si="5"/>
        <v>140.39999999999998</v>
      </c>
      <c r="AX15" s="185">
        <f t="shared" si="8"/>
        <v>72.900000000000034</v>
      </c>
    </row>
    <row r="16" spans="1:50" ht="15" customHeight="1" x14ac:dyDescent="0.4">
      <c r="A16" s="242"/>
      <c r="B16" s="253"/>
      <c r="C16" s="245"/>
      <c r="D16" s="138">
        <f t="shared" ref="D16:AB16" si="13">IF(IFERROR(IF(VLOOKUP(D15,D$151:D$155,1,0)&gt;=1,D$150,0),D15)=D$132,D$136,IF(IFERROR(IF(VLOOKUP(D15,D$151:D$155,1,0)&gt;=1,D$150,0),D15)=D$139,D$142,IF(IFERROR(IF(VLOOKUP(D15,D$151:D$155,1,0)&gt;=1,D$150,0),D15)=D$145,D$147,0)))</f>
        <v>0</v>
      </c>
      <c r="E16" s="138">
        <f t="shared" si="13"/>
        <v>0</v>
      </c>
      <c r="F16" s="138">
        <f t="shared" si="13"/>
        <v>0</v>
      </c>
      <c r="G16" s="138">
        <f t="shared" si="13"/>
        <v>0</v>
      </c>
      <c r="H16" s="138">
        <f t="shared" si="13"/>
        <v>0</v>
      </c>
      <c r="I16" s="138">
        <f t="shared" si="13"/>
        <v>0</v>
      </c>
      <c r="J16" s="138">
        <f t="shared" si="13"/>
        <v>0</v>
      </c>
      <c r="K16" s="138">
        <f t="shared" si="13"/>
        <v>1.6</v>
      </c>
      <c r="L16" s="138">
        <f t="shared" si="13"/>
        <v>5.5</v>
      </c>
      <c r="M16" s="138">
        <f t="shared" si="13"/>
        <v>2.8</v>
      </c>
      <c r="N16" s="138">
        <f t="shared" si="13"/>
        <v>0</v>
      </c>
      <c r="O16" s="138">
        <f t="shared" si="13"/>
        <v>2.9</v>
      </c>
      <c r="P16" s="138">
        <f t="shared" si="13"/>
        <v>1.1000000000000001</v>
      </c>
      <c r="Q16" s="138">
        <f t="shared" si="13"/>
        <v>6.3999999999999995</v>
      </c>
      <c r="R16" s="138">
        <f t="shared" si="13"/>
        <v>0</v>
      </c>
      <c r="S16" s="138">
        <f t="shared" si="13"/>
        <v>0</v>
      </c>
      <c r="T16" s="138">
        <f t="shared" si="13"/>
        <v>6.8999999999999995</v>
      </c>
      <c r="U16" s="138">
        <f t="shared" si="13"/>
        <v>0</v>
      </c>
      <c r="V16" s="138">
        <f t="shared" si="13"/>
        <v>0</v>
      </c>
      <c r="W16" s="138">
        <f t="shared" si="13"/>
        <v>0</v>
      </c>
      <c r="X16" s="138">
        <f t="shared" si="13"/>
        <v>0</v>
      </c>
      <c r="Y16" s="138">
        <f t="shared" si="13"/>
        <v>0</v>
      </c>
      <c r="Z16" s="138">
        <f t="shared" si="13"/>
        <v>0</v>
      </c>
      <c r="AA16" s="138">
        <f t="shared" si="13"/>
        <v>0</v>
      </c>
      <c r="AB16" s="138">
        <f t="shared" si="13"/>
        <v>0</v>
      </c>
      <c r="AC16" s="243"/>
      <c r="AE16" s="72">
        <v>13</v>
      </c>
      <c r="AF16" s="91" t="str">
        <f>IF(ISBLANK(STUD!B2)," ",STUD!B2)</f>
        <v>SOSAMAFIA</v>
      </c>
      <c r="AG16" s="91">
        <f t="shared" si="0"/>
        <v>19.899999999999999</v>
      </c>
      <c r="AH16" s="92">
        <f t="shared" si="6"/>
        <v>53.999999999999993</v>
      </c>
      <c r="AI16" s="88">
        <f t="shared" si="1"/>
        <v>3</v>
      </c>
      <c r="AJ16" s="53" t="str">
        <f>IF(AI16="","",IFERROR(IF(VLOOKUP(AI16,Programa!$V$3:$W$18,2,0)="","",VLOOKUP(AI16,Programa!$V$3:$W$18,2,0)),""))</f>
        <v>SLAKO</v>
      </c>
      <c r="AK16" s="53">
        <f t="shared" si="2"/>
        <v>3</v>
      </c>
      <c r="AL16" s="53" t="str">
        <f>IF(AK16="","",IFERROR(IF(VLOOKUP(AK16,Programa!$V$19:$W$34,2,0)="","",VLOOKUP(AK16,Programa!$V$19:$W$34,2,0)),""))</f>
        <v>SUPER FELIZ</v>
      </c>
      <c r="AM16" s="53">
        <f t="shared" si="3"/>
        <v>10</v>
      </c>
      <c r="AN16" s="53" t="str">
        <f>IF(AM16="","",IFERROR(IF(VLOOKUP(AM16,Programa!$V$35:$W$50,2,0)="","",VLOOKUP(AM16,Programa!$V$35:$W$50,2,0)),""))</f>
        <v>BLUE SUNDAY</v>
      </c>
      <c r="AP16" s="229">
        <v>13</v>
      </c>
      <c r="AQ16" s="145" t="str">
        <f>IF(ISBLANK(STUD!B14)," ",STUD!B14)</f>
        <v xml:space="preserve"> </v>
      </c>
      <c r="AR16" s="185">
        <f>IFERROR(VLOOKUP(AQ16,Lunes!$AF$4:$AG$31,2,0),0)</f>
        <v>0</v>
      </c>
      <c r="AS16" s="185">
        <f>IFERROR(VLOOKUP(AQ16,Martes!$AF$4:$AH$31,2,0),0)</f>
        <v>0</v>
      </c>
      <c r="AT16" s="185">
        <f>IFERROR(VLOOKUP(AQ16,Miercoles!$AF$4:$AG$31,2,0),0)</f>
        <v>0</v>
      </c>
      <c r="AU16" s="185">
        <f>IFERROR(VLOOKUP(AQ16,Jueves!$AF$4:$AG$26,2,0),0)</f>
        <v>0</v>
      </c>
      <c r="AV16" s="185">
        <f t="shared" si="4"/>
        <v>0</v>
      </c>
      <c r="AW16" s="185">
        <f t="shared" si="5"/>
        <v>0</v>
      </c>
      <c r="AX16" s="185">
        <f t="shared" si="8"/>
        <v>213.3</v>
      </c>
    </row>
    <row r="17" spans="1:50" ht="15.75" customHeight="1" x14ac:dyDescent="0.4">
      <c r="A17" s="287">
        <f>+A15+1</f>
        <v>7</v>
      </c>
      <c r="B17" s="253" t="str">
        <f>+STUD!B8</f>
        <v>MIS SOBRINOS</v>
      </c>
      <c r="C17" s="244">
        <f>SUM(D18:AB18)</f>
        <v>25</v>
      </c>
      <c r="D17" s="129"/>
      <c r="E17" s="129">
        <v>3</v>
      </c>
      <c r="F17" s="129">
        <v>5</v>
      </c>
      <c r="G17" s="129">
        <v>4</v>
      </c>
      <c r="H17" s="129">
        <v>8</v>
      </c>
      <c r="I17" s="129">
        <v>12</v>
      </c>
      <c r="J17" s="129">
        <v>2</v>
      </c>
      <c r="K17" s="129">
        <v>5</v>
      </c>
      <c r="L17" s="129">
        <v>4</v>
      </c>
      <c r="M17" s="129">
        <v>10</v>
      </c>
      <c r="N17" s="129">
        <v>9</v>
      </c>
      <c r="O17" s="130">
        <v>10</v>
      </c>
      <c r="P17" s="129">
        <v>4</v>
      </c>
      <c r="Q17" s="129">
        <v>12</v>
      </c>
      <c r="R17" s="129">
        <v>4</v>
      </c>
      <c r="S17" s="129">
        <v>1</v>
      </c>
      <c r="T17" s="129">
        <v>5</v>
      </c>
      <c r="U17" s="129">
        <v>3</v>
      </c>
      <c r="V17" s="129">
        <v>2</v>
      </c>
      <c r="W17" s="129"/>
      <c r="X17" s="129"/>
      <c r="Y17" s="129"/>
      <c r="Z17" s="129"/>
      <c r="AA17" s="129"/>
      <c r="AB17" s="129"/>
      <c r="AC17" s="243">
        <f>SUM(D18:AB18)</f>
        <v>25</v>
      </c>
      <c r="AE17" s="73">
        <v>14</v>
      </c>
      <c r="AF17" s="91" t="str">
        <f>IF(ISBLANK(STUD!B11)," ",STUD!B11)</f>
        <v>PASASTE BANDIDO</v>
      </c>
      <c r="AG17" s="91">
        <f t="shared" si="0"/>
        <v>13.3</v>
      </c>
      <c r="AH17" s="92">
        <f t="shared" si="6"/>
        <v>60.599999999999994</v>
      </c>
      <c r="AI17" s="88">
        <f t="shared" si="1"/>
        <v>10</v>
      </c>
      <c r="AJ17" s="53" t="str">
        <f>IF(AI17="","",IFERROR(IF(VLOOKUP(AI17,Programa!$V$3:$W$18,2,0)="","",VLOOKUP(AI17,Programa!$V$3:$W$18,2,0)),""))</f>
        <v/>
      </c>
      <c r="AK17" s="53">
        <f t="shared" si="2"/>
        <v>4</v>
      </c>
      <c r="AL17" s="53" t="str">
        <f>IF(AK17="","",IFERROR(IF(VLOOKUP(AK17,Programa!$V$19:$W$34,2,0)="","",VLOOKUP(AK17,Programa!$V$19:$W$34,2,0)),""))</f>
        <v>IVY QUEEN</v>
      </c>
      <c r="AM17" s="53">
        <f t="shared" si="3"/>
        <v>5</v>
      </c>
      <c r="AN17" s="53" t="str">
        <f>IF(AM17="","",IFERROR(IF(VLOOKUP(AM17,Programa!$V$35:$W$50,2,0)="","",VLOOKUP(AM17,Programa!$V$35:$W$50,2,0)),""))</f>
        <v>MARRAKECH</v>
      </c>
      <c r="AP17" s="229">
        <v>14</v>
      </c>
      <c r="AQ17" s="145" t="str">
        <f>IF(ISBLANK(STUD!B7)," ",STUD!B7)</f>
        <v>ALF</v>
      </c>
      <c r="AR17" s="185">
        <f>IFERROR(VLOOKUP(AQ17,Lunes!$AF$4:$AG$31,2,0),0)</f>
        <v>4</v>
      </c>
      <c r="AS17" s="185">
        <f>IFERROR(VLOOKUP(AQ17,Martes!$AF$4:$AH$31,2,0),0)</f>
        <v>26</v>
      </c>
      <c r="AT17" s="185">
        <f>IFERROR(VLOOKUP(AQ17,Miercoles!$AF$4:$AG$31,2,0),0)</f>
        <v>5.4</v>
      </c>
      <c r="AU17" s="185">
        <f>IFERROR(VLOOKUP(AQ17,Jueves!$AF$4:$AG$26,2,0),0)</f>
        <v>54.599999999999994</v>
      </c>
      <c r="AV17" s="185">
        <f t="shared" si="4"/>
        <v>27.199999999999996</v>
      </c>
      <c r="AW17" s="185">
        <f t="shared" si="5"/>
        <v>117.19999999999999</v>
      </c>
      <c r="AX17" s="185">
        <f t="shared" si="8"/>
        <v>96.100000000000023</v>
      </c>
    </row>
    <row r="18" spans="1:50" ht="15.75" customHeight="1" x14ac:dyDescent="0.4">
      <c r="A18" s="242"/>
      <c r="B18" s="253"/>
      <c r="C18" s="245"/>
      <c r="D18" s="138">
        <f t="shared" ref="D18:AB18" si="14">IF(IFERROR(IF(VLOOKUP(D17,D$151:D$155,1,0)&gt;=1,D$150,0),D17)=D$132,D$136,IF(IFERROR(IF(VLOOKUP(D17,D$151:D$155,1,0)&gt;=1,D$150,0),D17)=D$139,D$142,IF(IFERROR(IF(VLOOKUP(D17,D$151:D$155,1,0)&gt;=1,D$150,0),D17)=D$145,D$147,0)))</f>
        <v>0</v>
      </c>
      <c r="E18" s="138">
        <f t="shared" si="14"/>
        <v>4.7</v>
      </c>
      <c r="F18" s="138">
        <f t="shared" si="14"/>
        <v>2.2999999999999998</v>
      </c>
      <c r="G18" s="138">
        <f t="shared" si="14"/>
        <v>0</v>
      </c>
      <c r="H18" s="138">
        <f t="shared" si="14"/>
        <v>1.4</v>
      </c>
      <c r="I18" s="138">
        <f t="shared" si="14"/>
        <v>0</v>
      </c>
      <c r="J18" s="138">
        <f t="shared" si="14"/>
        <v>3.9</v>
      </c>
      <c r="K18" s="138">
        <f t="shared" si="14"/>
        <v>0</v>
      </c>
      <c r="L18" s="138">
        <f t="shared" si="14"/>
        <v>0</v>
      </c>
      <c r="M18" s="138">
        <f t="shared" si="14"/>
        <v>0</v>
      </c>
      <c r="N18" s="138">
        <f t="shared" si="14"/>
        <v>5.2</v>
      </c>
      <c r="O18" s="138">
        <f t="shared" si="14"/>
        <v>0</v>
      </c>
      <c r="P18" s="138">
        <f t="shared" si="14"/>
        <v>1.1000000000000001</v>
      </c>
      <c r="Q18" s="138">
        <f t="shared" si="14"/>
        <v>6.3999999999999995</v>
      </c>
      <c r="R18" s="138">
        <f t="shared" si="14"/>
        <v>0</v>
      </c>
      <c r="S18" s="138">
        <f t="shared" si="14"/>
        <v>0</v>
      </c>
      <c r="T18" s="138">
        <f t="shared" si="14"/>
        <v>0</v>
      </c>
      <c r="U18" s="138">
        <f t="shared" si="14"/>
        <v>0</v>
      </c>
      <c r="V18" s="138">
        <f t="shared" si="14"/>
        <v>0</v>
      </c>
      <c r="W18" s="138">
        <f t="shared" si="14"/>
        <v>0</v>
      </c>
      <c r="X18" s="138">
        <f t="shared" si="14"/>
        <v>0</v>
      </c>
      <c r="Y18" s="138">
        <f t="shared" si="14"/>
        <v>0</v>
      </c>
      <c r="Z18" s="138">
        <f t="shared" si="14"/>
        <v>0</v>
      </c>
      <c r="AA18" s="138">
        <f t="shared" si="14"/>
        <v>0</v>
      </c>
      <c r="AB18" s="138">
        <f t="shared" si="14"/>
        <v>0</v>
      </c>
      <c r="AC18" s="243"/>
      <c r="AE18" s="74">
        <v>15</v>
      </c>
      <c r="AF18" s="91" t="str">
        <f>IF(ISBLANK(STUD!B12)," ",STUD!B12)</f>
        <v xml:space="preserve"> </v>
      </c>
      <c r="AG18" s="91">
        <f t="shared" si="0"/>
        <v>0</v>
      </c>
      <c r="AH18" s="92">
        <f t="shared" si="6"/>
        <v>73.899999999999991</v>
      </c>
      <c r="AI18" s="88" t="str">
        <f t="shared" si="1"/>
        <v xml:space="preserve"> </v>
      </c>
      <c r="AJ18" s="53" t="str">
        <f>IF(AI18="","",IFERROR(IF(VLOOKUP(AI18,Programa!$V$3:$W$18,2,0)="","",VLOOKUP(AI18,Programa!$V$3:$W$18,2,0)),""))</f>
        <v/>
      </c>
      <c r="AK18" s="53" t="str">
        <f t="shared" si="2"/>
        <v xml:space="preserve"> </v>
      </c>
      <c r="AL18" s="53" t="str">
        <f>IF(AK18="","",IFERROR(IF(VLOOKUP(AK18,Programa!$V$19:$W$34,2,0)="","",VLOOKUP(AK18,Programa!$V$19:$W$34,2,0)),""))</f>
        <v/>
      </c>
      <c r="AM18" s="53" t="str">
        <f t="shared" si="3"/>
        <v xml:space="preserve"> </v>
      </c>
      <c r="AN18" s="53" t="str">
        <f>IF(AM18="","",IFERROR(IF(VLOOKUP(AM18,Programa!$V$35:$W$50,2,0)="","",VLOOKUP(AM18,Programa!$V$35:$W$50,2,0)),""))</f>
        <v/>
      </c>
      <c r="AP18" s="229">
        <v>15</v>
      </c>
      <c r="AQ18" s="145" t="str">
        <f>IF(ISBLANK(STUD!B10)," ",STUD!B10)</f>
        <v>AUMENTA MEDINA</v>
      </c>
      <c r="AR18" s="185">
        <f>IFERROR(VLOOKUP(AQ18,Lunes!$AF$4:$AG$31,2,0),0)</f>
        <v>5.0999999999999996</v>
      </c>
      <c r="AS18" s="185">
        <f>IFERROR(VLOOKUP(AQ18,Martes!$AF$4:$AH$31,2,0),0)</f>
        <v>22.7</v>
      </c>
      <c r="AT18" s="185">
        <f>IFERROR(VLOOKUP(AQ18,Miercoles!$AF$4:$AG$31,2,0),0)</f>
        <v>29.4</v>
      </c>
      <c r="AU18" s="185">
        <f>IFERROR(VLOOKUP(AQ18,Jueves!$AF$4:$AG$26,2,0),0)</f>
        <v>24.199999999999996</v>
      </c>
      <c r="AV18" s="185">
        <f t="shared" si="4"/>
        <v>26.8</v>
      </c>
      <c r="AW18" s="185">
        <f t="shared" si="5"/>
        <v>108.19999999999999</v>
      </c>
      <c r="AX18" s="185">
        <f t="shared" si="8"/>
        <v>105.10000000000002</v>
      </c>
    </row>
    <row r="19" spans="1:50" ht="15.75" customHeight="1" x14ac:dyDescent="0.4">
      <c r="A19" s="287">
        <f>+A17+1</f>
        <v>8</v>
      </c>
      <c r="B19" s="253" t="str">
        <f>+STUD!B9</f>
        <v>SERVIFRENOS</v>
      </c>
      <c r="C19" s="244">
        <f>SUM(D20:AB20)</f>
        <v>73.899999999999991</v>
      </c>
      <c r="D19" s="129">
        <v>5</v>
      </c>
      <c r="E19" s="129">
        <v>3</v>
      </c>
      <c r="F19" s="129">
        <v>3</v>
      </c>
      <c r="G19" s="129">
        <v>4</v>
      </c>
      <c r="H19" s="129">
        <v>8</v>
      </c>
      <c r="I19" s="129">
        <v>4</v>
      </c>
      <c r="J19" s="129">
        <v>10</v>
      </c>
      <c r="K19" s="129">
        <v>11</v>
      </c>
      <c r="L19" s="129">
        <v>6</v>
      </c>
      <c r="M19" s="129">
        <v>3</v>
      </c>
      <c r="N19" s="129">
        <v>5</v>
      </c>
      <c r="O19" s="129">
        <v>9</v>
      </c>
      <c r="P19" s="129">
        <v>5</v>
      </c>
      <c r="Q19" s="129">
        <v>12</v>
      </c>
      <c r="R19" s="129">
        <v>12</v>
      </c>
      <c r="S19" s="129">
        <v>14</v>
      </c>
      <c r="T19" s="129">
        <v>7</v>
      </c>
      <c r="U19" s="129">
        <v>10</v>
      </c>
      <c r="V19" s="129">
        <v>4</v>
      </c>
      <c r="W19" s="129"/>
      <c r="X19" s="129"/>
      <c r="Y19" s="129"/>
      <c r="Z19" s="129"/>
      <c r="AA19" s="129"/>
      <c r="AB19" s="129"/>
      <c r="AC19" s="243">
        <f>SUM(D20:AB20)</f>
        <v>73.899999999999991</v>
      </c>
      <c r="AE19" s="75">
        <v>16</v>
      </c>
      <c r="AF19" s="91" t="str">
        <f>IF(ISBLANK(STUD!B17)," ",STUD!B17)</f>
        <v xml:space="preserve"> </v>
      </c>
      <c r="AG19" s="91">
        <f t="shared" si="0"/>
        <v>0</v>
      </c>
      <c r="AH19" s="92">
        <f t="shared" si="6"/>
        <v>73.899999999999991</v>
      </c>
      <c r="AI19" s="88" t="str">
        <f t="shared" si="1"/>
        <v xml:space="preserve"> </v>
      </c>
      <c r="AJ19" s="53" t="str">
        <f>IF(AI19="","",IFERROR(IF(VLOOKUP(AI19,Programa!$V$3:$W$18,2,0)="","",VLOOKUP(AI19,Programa!$V$3:$W$18,2,0)),""))</f>
        <v/>
      </c>
      <c r="AK19" s="53" t="str">
        <f t="shared" si="2"/>
        <v xml:space="preserve"> </v>
      </c>
      <c r="AL19" s="53" t="str">
        <f>IF(AK19="","",IFERROR(IF(VLOOKUP(AK19,Programa!$V$19:$W$34,2,0)="","",VLOOKUP(AK19,Programa!$V$19:$W$34,2,0)),""))</f>
        <v/>
      </c>
      <c r="AM19" s="53" t="str">
        <f t="shared" si="3"/>
        <v xml:space="preserve"> </v>
      </c>
      <c r="AN19" s="53" t="str">
        <f>IF(AM19="","",IFERROR(IF(VLOOKUP(AM19,Programa!$V$35:$W$50,2,0)="","",VLOOKUP(AM19,Programa!$V$35:$W$50,2,0)),""))</f>
        <v/>
      </c>
      <c r="AP19" s="161">
        <v>16</v>
      </c>
      <c r="AQ19" s="145" t="str">
        <f>IF(ISBLANK(STUD!B17)," ",STUD!B17)</f>
        <v xml:space="preserve"> </v>
      </c>
      <c r="AR19" s="185">
        <f>IFERROR(VLOOKUP(AQ19,Lunes!$AF$4:$AG$31,2,0),0)</f>
        <v>0</v>
      </c>
      <c r="AS19" s="185">
        <f>IFERROR(VLOOKUP(AQ19,Martes!$AF$4:$AH$31,2,0),0)</f>
        <v>0</v>
      </c>
      <c r="AT19" s="185">
        <f>IFERROR(VLOOKUP(AQ19,Miercoles!$AF$4:$AG$31,2,0),0)</f>
        <v>0</v>
      </c>
      <c r="AU19" s="185">
        <f>IFERROR(VLOOKUP(AQ19,Jueves!$AF$4:$AG$26,2,0),0)</f>
        <v>0</v>
      </c>
      <c r="AV19" s="185">
        <f t="shared" si="4"/>
        <v>0</v>
      </c>
      <c r="AW19" s="185">
        <f t="shared" si="5"/>
        <v>0</v>
      </c>
      <c r="AX19" s="185">
        <f t="shared" si="8"/>
        <v>213.3</v>
      </c>
    </row>
    <row r="20" spans="1:50" ht="15.75" customHeight="1" x14ac:dyDescent="0.4">
      <c r="A20" s="242"/>
      <c r="B20" s="253"/>
      <c r="C20" s="245"/>
      <c r="D20" s="138">
        <f t="shared" ref="D20:AB20" si="15">IF(IFERROR(IF(VLOOKUP(D19,D$151:D$155,1,0)&gt;=1,D$150,0),D19)=D$132,D$136,IF(IFERROR(IF(VLOOKUP(D19,D$151:D$155,1,0)&gt;=1,D$150,0),D19)=D$139,D$142,IF(IFERROR(IF(VLOOKUP(D19,D$151:D$155,1,0)&gt;=1,D$150,0),D19)=D$145,D$147,0)))</f>
        <v>4.3000000000000007</v>
      </c>
      <c r="E20" s="138">
        <f t="shared" si="15"/>
        <v>4.7</v>
      </c>
      <c r="F20" s="138">
        <f t="shared" si="15"/>
        <v>0</v>
      </c>
      <c r="G20" s="138">
        <f t="shared" si="15"/>
        <v>0</v>
      </c>
      <c r="H20" s="138">
        <f t="shared" si="15"/>
        <v>1.4</v>
      </c>
      <c r="I20" s="138">
        <f t="shared" si="15"/>
        <v>2.8</v>
      </c>
      <c r="J20" s="138">
        <f t="shared" si="15"/>
        <v>6.7</v>
      </c>
      <c r="K20" s="138">
        <f t="shared" si="15"/>
        <v>1.6</v>
      </c>
      <c r="L20" s="138">
        <f t="shared" si="15"/>
        <v>11.7</v>
      </c>
      <c r="M20" s="138">
        <f t="shared" si="15"/>
        <v>2.8</v>
      </c>
      <c r="N20" s="138">
        <f t="shared" si="15"/>
        <v>4.5</v>
      </c>
      <c r="O20" s="138">
        <f t="shared" si="15"/>
        <v>2.9</v>
      </c>
      <c r="P20" s="138">
        <f>IF(IFERROR(IF(VLOOKUP(P19,P$151:P$155,1,0)&gt;=1,P$150,0),P19)=P$132,P$136,IF(IFERROR(IF(VLOOKUP(P19,P$151:P$155,1,0)&gt;=1,P$150,0),P19)=P$139,P$142,IF(IFERROR(IF(VLOOKUP(P19,P$151:P$155,1,0)&gt;=1,P$150,0),P19)=P$145,P$147,0)))</f>
        <v>7.8999999999999995</v>
      </c>
      <c r="Q20" s="138">
        <f t="shared" si="15"/>
        <v>6.3999999999999995</v>
      </c>
      <c r="R20" s="138">
        <f t="shared" si="15"/>
        <v>4</v>
      </c>
      <c r="S20" s="138">
        <f t="shared" si="15"/>
        <v>0</v>
      </c>
      <c r="T20" s="138">
        <f t="shared" si="15"/>
        <v>0</v>
      </c>
      <c r="U20" s="138">
        <f t="shared" si="15"/>
        <v>0</v>
      </c>
      <c r="V20" s="138">
        <f t="shared" si="15"/>
        <v>12.2</v>
      </c>
      <c r="W20" s="138">
        <f t="shared" si="15"/>
        <v>0</v>
      </c>
      <c r="X20" s="138">
        <f t="shared" si="15"/>
        <v>0</v>
      </c>
      <c r="Y20" s="138">
        <f t="shared" si="15"/>
        <v>0</v>
      </c>
      <c r="Z20" s="138">
        <f t="shared" si="15"/>
        <v>0</v>
      </c>
      <c r="AA20" s="138">
        <f t="shared" si="15"/>
        <v>0</v>
      </c>
      <c r="AB20" s="138">
        <f t="shared" si="15"/>
        <v>0</v>
      </c>
      <c r="AC20" s="243"/>
      <c r="AE20" s="76">
        <v>17</v>
      </c>
      <c r="AF20" s="91" t="str">
        <f>IF(ISBLANK(STUD!B18)," ",STUD!B18)</f>
        <v xml:space="preserve"> </v>
      </c>
      <c r="AG20" s="91">
        <f t="shared" si="0"/>
        <v>0</v>
      </c>
      <c r="AH20" s="92">
        <f t="shared" si="6"/>
        <v>73.899999999999991</v>
      </c>
      <c r="AI20" s="88" t="str">
        <f t="shared" si="1"/>
        <v xml:space="preserve"> </v>
      </c>
      <c r="AJ20" s="53" t="str">
        <f>IF(AI20="","",IFERROR(IF(VLOOKUP(AI20,Programa!$V$3:$W$18,2,0)="","",VLOOKUP(AI20,Programa!$V$3:$W$18,2,0)),""))</f>
        <v/>
      </c>
      <c r="AK20" s="53" t="str">
        <f t="shared" si="2"/>
        <v xml:space="preserve"> </v>
      </c>
      <c r="AL20" s="53" t="str">
        <f>IF(AK20="","",IFERROR(IF(VLOOKUP(AK20,Programa!$V$19:$W$34,2,0)="","",VLOOKUP(AK20,Programa!$V$19:$W$34,2,0)),""))</f>
        <v/>
      </c>
      <c r="AM20" s="53" t="str">
        <f t="shared" si="3"/>
        <v xml:space="preserve"> </v>
      </c>
      <c r="AN20" s="53" t="str">
        <f>IF(AM20="","",IFERROR(IF(VLOOKUP(AM20,Programa!$V$35:$W$50,2,0)="","",VLOOKUP(AM20,Programa!$V$35:$W$50,2,0)),""))</f>
        <v/>
      </c>
      <c r="AP20" s="162">
        <v>17</v>
      </c>
      <c r="AQ20" s="145" t="str">
        <f>IF(ISBLANK(STUD!B18)," ",STUD!B18)</f>
        <v xml:space="preserve"> </v>
      </c>
      <c r="AR20" s="185">
        <f>IFERROR(VLOOKUP(AQ20,Lunes!$AF$4:$AG$31,2,0),0)</f>
        <v>0</v>
      </c>
      <c r="AS20" s="185">
        <f>IFERROR(VLOOKUP(AQ20,Martes!$AF$4:$AH$31,2,0),0)</f>
        <v>0</v>
      </c>
      <c r="AT20" s="185">
        <f>IFERROR(VLOOKUP(AQ20,Miercoles!$AF$4:$AG$31,2,0),0)</f>
        <v>0</v>
      </c>
      <c r="AU20" s="185">
        <f>IFERROR(VLOOKUP(AQ20,Jueves!$AF$4:$AG$26,2,0),0)</f>
        <v>0</v>
      </c>
      <c r="AV20" s="185">
        <f t="shared" si="4"/>
        <v>0</v>
      </c>
      <c r="AW20" s="185">
        <f t="shared" si="5"/>
        <v>0</v>
      </c>
      <c r="AX20" s="185">
        <f t="shared" si="8"/>
        <v>213.3</v>
      </c>
    </row>
    <row r="21" spans="1:50" ht="15.75" customHeight="1" x14ac:dyDescent="0.4">
      <c r="A21" s="287">
        <f>+A19+1</f>
        <v>9</v>
      </c>
      <c r="B21" s="253" t="str">
        <f>+STUD!B10</f>
        <v>AUMENTA MEDINA</v>
      </c>
      <c r="C21" s="244">
        <f>SUM(D22:AB22)</f>
        <v>26.8</v>
      </c>
      <c r="D21" s="129">
        <v>4</v>
      </c>
      <c r="E21" s="129">
        <v>8</v>
      </c>
      <c r="F21" s="129">
        <v>5</v>
      </c>
      <c r="G21" s="129">
        <v>5</v>
      </c>
      <c r="H21" s="129">
        <v>2</v>
      </c>
      <c r="I21" s="129">
        <v>10</v>
      </c>
      <c r="J21" s="129">
        <v>2</v>
      </c>
      <c r="K21" s="129">
        <v>1</v>
      </c>
      <c r="L21" s="129">
        <v>1</v>
      </c>
      <c r="M21" s="129">
        <v>8</v>
      </c>
      <c r="N21" s="129">
        <v>5</v>
      </c>
      <c r="O21" s="129">
        <v>6</v>
      </c>
      <c r="P21" s="129">
        <v>4</v>
      </c>
      <c r="Q21" s="129">
        <v>7</v>
      </c>
      <c r="R21" s="129">
        <v>10</v>
      </c>
      <c r="S21" s="129">
        <v>6</v>
      </c>
      <c r="T21" s="129">
        <v>12</v>
      </c>
      <c r="U21" s="129">
        <v>5</v>
      </c>
      <c r="V21" s="129">
        <v>3</v>
      </c>
      <c r="W21" s="129"/>
      <c r="X21" s="129"/>
      <c r="Y21" s="129"/>
      <c r="Z21" s="129"/>
      <c r="AA21" s="129"/>
      <c r="AB21" s="129"/>
      <c r="AC21" s="243">
        <f>SUM(D22:AB22)</f>
        <v>26.8</v>
      </c>
      <c r="AE21" s="77">
        <v>18</v>
      </c>
      <c r="AF21" s="91" t="str">
        <f>IF(ISBLANK(STUD!B19)," ",STUD!B19)</f>
        <v xml:space="preserve"> </v>
      </c>
      <c r="AG21" s="91">
        <f t="shared" si="0"/>
        <v>0</v>
      </c>
      <c r="AH21" s="92">
        <f t="shared" si="6"/>
        <v>73.899999999999991</v>
      </c>
      <c r="AI21" s="88" t="str">
        <f t="shared" si="1"/>
        <v xml:space="preserve"> </v>
      </c>
      <c r="AJ21" s="53" t="str">
        <f>IF(AI21="","",IFERROR(IF(VLOOKUP(AI21,Programa!$V$3:$W$18,2,0)="","",VLOOKUP(AI21,Programa!$V$3:$W$18,2,0)),""))</f>
        <v/>
      </c>
      <c r="AK21" s="53" t="str">
        <f t="shared" si="2"/>
        <v xml:space="preserve"> </v>
      </c>
      <c r="AL21" s="53" t="str">
        <f>IF(AK21="","",IFERROR(IF(VLOOKUP(AK21,Programa!$V$19:$W$34,2,0)="","",VLOOKUP(AK21,Programa!$V$19:$W$34,2,0)),""))</f>
        <v/>
      </c>
      <c r="AM21" s="53" t="str">
        <f t="shared" si="3"/>
        <v xml:space="preserve"> </v>
      </c>
      <c r="AN21" s="53" t="str">
        <f>IF(AM21="","",IFERROR(IF(VLOOKUP(AM21,Programa!$V$35:$W$50,2,0)="","",VLOOKUP(AM21,Programa!$V$35:$W$50,2,0)),""))</f>
        <v/>
      </c>
      <c r="AP21" s="163">
        <v>18</v>
      </c>
      <c r="AQ21" s="145" t="str">
        <f>IF(ISBLANK(STUD!B19)," ",STUD!B19)</f>
        <v xml:space="preserve"> </v>
      </c>
      <c r="AR21" s="185">
        <f>IFERROR(VLOOKUP(AQ21,Lunes!$AF$4:$AG$31,2,0),0)</f>
        <v>0</v>
      </c>
      <c r="AS21" s="185">
        <f>IFERROR(VLOOKUP(AQ21,Martes!$AF$4:$AH$31,2,0),0)</f>
        <v>0</v>
      </c>
      <c r="AT21" s="185">
        <f>IFERROR(VLOOKUP(AQ21,Miercoles!$AF$4:$AG$31,2,0),0)</f>
        <v>0</v>
      </c>
      <c r="AU21" s="185">
        <f>IFERROR(VLOOKUP(AQ21,Jueves!$AF$4:$AG$26,2,0),0)</f>
        <v>0</v>
      </c>
      <c r="AV21" s="185">
        <f t="shared" si="4"/>
        <v>0</v>
      </c>
      <c r="AW21" s="185">
        <f t="shared" si="5"/>
        <v>0</v>
      </c>
      <c r="AX21" s="185">
        <f t="shared" si="8"/>
        <v>213.3</v>
      </c>
    </row>
    <row r="22" spans="1:50" ht="15.75" customHeight="1" x14ac:dyDescent="0.4">
      <c r="A22" s="242"/>
      <c r="B22" s="253"/>
      <c r="C22" s="245"/>
      <c r="D22" s="138">
        <f t="shared" ref="D22:AB22" si="16">IF(IFERROR(IF(VLOOKUP(D21,D$151:D$155,1,0)&gt;=1,D$150,0),D21)=D$132,D$136,IF(IFERROR(IF(VLOOKUP(D21,D$151:D$155,1,0)&gt;=1,D$150,0),D21)=D$139,D$142,IF(IFERROR(IF(VLOOKUP(D21,D$151:D$155,1,0)&gt;=1,D$150,0),D21)=D$145,D$147,0)))</f>
        <v>0</v>
      </c>
      <c r="E22" s="138">
        <f t="shared" si="16"/>
        <v>0</v>
      </c>
      <c r="F22" s="138">
        <f t="shared" si="16"/>
        <v>2.2999999999999998</v>
      </c>
      <c r="G22" s="138">
        <f t="shared" si="16"/>
        <v>3.6</v>
      </c>
      <c r="H22" s="138">
        <f t="shared" si="16"/>
        <v>0</v>
      </c>
      <c r="I22" s="138">
        <f t="shared" si="16"/>
        <v>11.4</v>
      </c>
      <c r="J22" s="138">
        <f t="shared" si="16"/>
        <v>3.9</v>
      </c>
      <c r="K22" s="138">
        <f t="shared" si="16"/>
        <v>0</v>
      </c>
      <c r="L22" s="138">
        <f t="shared" si="16"/>
        <v>0</v>
      </c>
      <c r="M22" s="138">
        <f t="shared" si="16"/>
        <v>0</v>
      </c>
      <c r="N22" s="138">
        <f t="shared" si="16"/>
        <v>4.5</v>
      </c>
      <c r="O22" s="138">
        <f t="shared" si="16"/>
        <v>0</v>
      </c>
      <c r="P22" s="138">
        <f t="shared" si="16"/>
        <v>1.1000000000000001</v>
      </c>
      <c r="Q22" s="138">
        <f t="shared" si="16"/>
        <v>0</v>
      </c>
      <c r="R22" s="138">
        <f t="shared" si="16"/>
        <v>0</v>
      </c>
      <c r="S22" s="138">
        <f t="shared" si="16"/>
        <v>0</v>
      </c>
      <c r="T22" s="138">
        <f t="shared" si="16"/>
        <v>0</v>
      </c>
      <c r="U22" s="138">
        <f t="shared" si="16"/>
        <v>0</v>
      </c>
      <c r="V22" s="138">
        <f t="shared" si="16"/>
        <v>0</v>
      </c>
      <c r="W22" s="138">
        <f t="shared" si="16"/>
        <v>0</v>
      </c>
      <c r="X22" s="138">
        <f t="shared" si="16"/>
        <v>0</v>
      </c>
      <c r="Y22" s="138">
        <f t="shared" si="16"/>
        <v>0</v>
      </c>
      <c r="Z22" s="138">
        <f t="shared" si="16"/>
        <v>0</v>
      </c>
      <c r="AA22" s="138">
        <f t="shared" si="16"/>
        <v>0</v>
      </c>
      <c r="AB22" s="138">
        <f t="shared" si="16"/>
        <v>0</v>
      </c>
      <c r="AC22" s="243"/>
      <c r="AE22" s="78">
        <v>19</v>
      </c>
      <c r="AF22" s="91" t="str">
        <f>IF(ISBLANK(STUD!B20)," ",STUD!B20)</f>
        <v xml:space="preserve"> </v>
      </c>
      <c r="AG22" s="91">
        <f t="shared" si="0"/>
        <v>0</v>
      </c>
      <c r="AH22" s="92">
        <f t="shared" si="6"/>
        <v>73.899999999999991</v>
      </c>
      <c r="AI22" s="88" t="str">
        <f t="shared" si="1"/>
        <v xml:space="preserve"> </v>
      </c>
      <c r="AJ22" s="53" t="str">
        <f>IF(AI22="","",IFERROR(IF(VLOOKUP(AI22,Programa!$V$3:$W$18,2,0)="","",VLOOKUP(AI22,Programa!$V$3:$W$18,2,0)),""))</f>
        <v/>
      </c>
      <c r="AK22" s="53" t="str">
        <f t="shared" si="2"/>
        <v xml:space="preserve"> </v>
      </c>
      <c r="AL22" s="53" t="str">
        <f>IF(AK22="","",IFERROR(IF(VLOOKUP(AK22,Programa!$V$19:$W$34,2,0)="","",VLOOKUP(AK22,Programa!$V$19:$W$34,2,0)),""))</f>
        <v/>
      </c>
      <c r="AM22" s="53" t="str">
        <f t="shared" si="3"/>
        <v xml:space="preserve"> </v>
      </c>
      <c r="AN22" s="53" t="str">
        <f>IF(AM22="","",IFERROR(IF(VLOOKUP(AM22,Programa!$V$35:$W$50,2,0)="","",VLOOKUP(AM22,Programa!$V$35:$W$50,2,0)),""))</f>
        <v/>
      </c>
      <c r="AP22" s="164">
        <v>19</v>
      </c>
      <c r="AQ22" s="145" t="str">
        <f>IF(ISBLANK(STUD!B20)," ",STUD!B20)</f>
        <v xml:space="preserve"> </v>
      </c>
      <c r="AR22" s="185">
        <f>IFERROR(VLOOKUP(AQ22,Lunes!$AF$4:$AG$31,2,0),0)</f>
        <v>0</v>
      </c>
      <c r="AS22" s="185">
        <f>IFERROR(VLOOKUP(AQ22,Martes!$AF$4:$AH$31,2,0),0)</f>
        <v>0</v>
      </c>
      <c r="AT22" s="185">
        <f>IFERROR(VLOOKUP(AQ22,Miercoles!$AF$4:$AG$31,2,0),0)</f>
        <v>0</v>
      </c>
      <c r="AU22" s="185">
        <f>IFERROR(VLOOKUP(AQ22,Jueves!$AF$4:$AG$26,2,0),0)</f>
        <v>0</v>
      </c>
      <c r="AV22" s="185">
        <f t="shared" si="4"/>
        <v>0</v>
      </c>
      <c r="AW22" s="185">
        <f t="shared" si="5"/>
        <v>0</v>
      </c>
      <c r="AX22" s="185">
        <f t="shared" si="8"/>
        <v>213.3</v>
      </c>
    </row>
    <row r="23" spans="1:50" ht="15.75" customHeight="1" x14ac:dyDescent="0.4">
      <c r="A23" s="287">
        <f>+A21+1</f>
        <v>10</v>
      </c>
      <c r="B23" s="253" t="str">
        <f>+STUD!B11</f>
        <v>PASASTE BANDIDO</v>
      </c>
      <c r="C23" s="244">
        <f>SUM(D24:AB24)</f>
        <v>13.3</v>
      </c>
      <c r="D23" s="129">
        <v>7</v>
      </c>
      <c r="E23" s="129">
        <v>6</v>
      </c>
      <c r="F23" s="129">
        <v>8</v>
      </c>
      <c r="G23" s="129">
        <v>4</v>
      </c>
      <c r="H23" s="129">
        <v>6</v>
      </c>
      <c r="I23" s="129">
        <v>3</v>
      </c>
      <c r="J23" s="129">
        <v>7</v>
      </c>
      <c r="K23" s="129">
        <v>6</v>
      </c>
      <c r="L23" s="129">
        <v>10</v>
      </c>
      <c r="M23" s="129">
        <v>4</v>
      </c>
      <c r="N23" s="129">
        <v>5</v>
      </c>
      <c r="O23" s="129">
        <v>7</v>
      </c>
      <c r="P23" s="129">
        <v>3</v>
      </c>
      <c r="Q23" s="129">
        <v>15</v>
      </c>
      <c r="R23" s="129">
        <v>9</v>
      </c>
      <c r="S23" s="129">
        <v>13</v>
      </c>
      <c r="T23" s="129">
        <v>12</v>
      </c>
      <c r="U23" s="129">
        <v>11</v>
      </c>
      <c r="V23" s="129">
        <v>6</v>
      </c>
      <c r="W23" s="129"/>
      <c r="X23" s="129"/>
      <c r="Y23" s="129"/>
      <c r="Z23" s="129"/>
      <c r="AA23" s="129"/>
      <c r="AB23" s="129"/>
      <c r="AC23" s="243">
        <f>SUM(D24:AB24)</f>
        <v>13.3</v>
      </c>
      <c r="AE23" s="79">
        <v>20</v>
      </c>
      <c r="AF23" s="91" t="str">
        <f>IF(ISBLANK(STUD!B21)," ",STUD!B21)</f>
        <v xml:space="preserve"> </v>
      </c>
      <c r="AG23" s="91">
        <f t="shared" si="0"/>
        <v>0</v>
      </c>
      <c r="AH23" s="92">
        <f t="shared" si="6"/>
        <v>73.899999999999991</v>
      </c>
      <c r="AI23" s="88" t="str">
        <f t="shared" si="1"/>
        <v xml:space="preserve"> </v>
      </c>
      <c r="AJ23" s="53" t="str">
        <f>IF(AI23="","",IFERROR(IF(VLOOKUP(AI23,Programa!$V$3:$W$18,2,0)="","",VLOOKUP(AI23,Programa!$V$3:$W$18,2,0)),""))</f>
        <v/>
      </c>
      <c r="AK23" s="53" t="str">
        <f t="shared" si="2"/>
        <v xml:space="preserve"> </v>
      </c>
      <c r="AL23" s="53" t="str">
        <f>IF(AK23="","",IFERROR(IF(VLOOKUP(AK23,Programa!$V$19:$W$34,2,0)="","",VLOOKUP(AK23,Programa!$V$19:$W$34,2,0)),""))</f>
        <v/>
      </c>
      <c r="AM23" s="53" t="str">
        <f t="shared" si="3"/>
        <v xml:space="preserve"> </v>
      </c>
      <c r="AN23" s="53" t="str">
        <f>IF(AM23="","",IFERROR(IF(VLOOKUP(AM23,Programa!$V$35:$W$50,2,0)="","",VLOOKUP(AM23,Programa!$V$35:$W$50,2,0)),""))</f>
        <v/>
      </c>
      <c r="AP23" s="165">
        <v>20</v>
      </c>
      <c r="AQ23" s="145" t="str">
        <f>IF(ISBLANK(STUD!B21)," ",STUD!B21)</f>
        <v xml:space="preserve"> </v>
      </c>
      <c r="AR23" s="185">
        <f>IFERROR(VLOOKUP(AQ23,Lunes!$AF$4:$AG$31,2,0),0)</f>
        <v>0</v>
      </c>
      <c r="AS23" s="185">
        <f>IFERROR(VLOOKUP(AQ23,Martes!$AF$4:$AH$31,2,0),0)</f>
        <v>0</v>
      </c>
      <c r="AT23" s="185">
        <f>IFERROR(VLOOKUP(AQ23,Miercoles!$AF$4:$AG$31,2,0),0)</f>
        <v>0</v>
      </c>
      <c r="AU23" s="185">
        <f>IFERROR(VLOOKUP(AQ23,Jueves!$AF$4:$AG$26,2,0),0)</f>
        <v>0</v>
      </c>
      <c r="AV23" s="185">
        <f t="shared" si="4"/>
        <v>0</v>
      </c>
      <c r="AW23" s="185">
        <f t="shared" si="5"/>
        <v>0</v>
      </c>
      <c r="AX23" s="185">
        <f t="shared" si="8"/>
        <v>213.3</v>
      </c>
    </row>
    <row r="24" spans="1:50" ht="15.75" customHeight="1" x14ac:dyDescent="0.4">
      <c r="A24" s="242"/>
      <c r="B24" s="253"/>
      <c r="C24" s="245"/>
      <c r="D24" s="138">
        <f t="shared" ref="D24:AB24" si="17">IF(IFERROR(IF(VLOOKUP(D23,D$151:D$155,1,0)&gt;=1,D$150,0),D23)=D$132,D$136,IF(IFERROR(IF(VLOOKUP(D23,D$151:D$155,1,0)&gt;=1,D$150,0),D23)=D$139,D$142,IF(IFERROR(IF(VLOOKUP(D23,D$151:D$155,1,0)&gt;=1,D$150,0),D23)=D$145,D$147,0)))</f>
        <v>0</v>
      </c>
      <c r="E24" s="138">
        <f t="shared" si="17"/>
        <v>0</v>
      </c>
      <c r="F24" s="138">
        <f t="shared" si="17"/>
        <v>8.8000000000000007</v>
      </c>
      <c r="G24" s="138">
        <f t="shared" si="17"/>
        <v>0</v>
      </c>
      <c r="H24" s="138">
        <f t="shared" si="17"/>
        <v>0</v>
      </c>
      <c r="I24" s="138">
        <f t="shared" si="17"/>
        <v>0</v>
      </c>
      <c r="J24" s="138">
        <f t="shared" si="17"/>
        <v>0</v>
      </c>
      <c r="K24" s="138">
        <f t="shared" si="17"/>
        <v>0</v>
      </c>
      <c r="L24" s="138">
        <f t="shared" si="17"/>
        <v>0</v>
      </c>
      <c r="M24" s="138">
        <f t="shared" si="17"/>
        <v>0</v>
      </c>
      <c r="N24" s="138">
        <f t="shared" si="17"/>
        <v>4.5</v>
      </c>
      <c r="O24" s="138">
        <f t="shared" si="17"/>
        <v>0</v>
      </c>
      <c r="P24" s="138">
        <f t="shared" si="17"/>
        <v>0</v>
      </c>
      <c r="Q24" s="138">
        <f t="shared" si="17"/>
        <v>0</v>
      </c>
      <c r="R24" s="138">
        <f t="shared" si="17"/>
        <v>0</v>
      </c>
      <c r="S24" s="138">
        <f t="shared" si="17"/>
        <v>0</v>
      </c>
      <c r="T24" s="138">
        <f t="shared" si="17"/>
        <v>0</v>
      </c>
      <c r="U24" s="138">
        <f t="shared" si="17"/>
        <v>0</v>
      </c>
      <c r="V24" s="138">
        <f t="shared" si="17"/>
        <v>0</v>
      </c>
      <c r="W24" s="138">
        <f t="shared" si="17"/>
        <v>0</v>
      </c>
      <c r="X24" s="138">
        <f t="shared" si="17"/>
        <v>0</v>
      </c>
      <c r="Y24" s="138">
        <f t="shared" si="17"/>
        <v>0</v>
      </c>
      <c r="Z24" s="138">
        <f t="shared" si="17"/>
        <v>0</v>
      </c>
      <c r="AA24" s="138">
        <f t="shared" si="17"/>
        <v>0</v>
      </c>
      <c r="AB24" s="138">
        <f t="shared" si="17"/>
        <v>0</v>
      </c>
      <c r="AC24" s="243"/>
      <c r="AE24" s="80">
        <v>21</v>
      </c>
      <c r="AF24" s="91" t="str">
        <f>IF(ISBLANK(STUD!B22)," ",STUD!B22)</f>
        <v xml:space="preserve"> </v>
      </c>
      <c r="AG24" s="91">
        <f t="shared" si="0"/>
        <v>0</v>
      </c>
      <c r="AH24" s="92">
        <f t="shared" si="6"/>
        <v>73.899999999999991</v>
      </c>
      <c r="AI24" s="88" t="str">
        <f t="shared" si="1"/>
        <v xml:space="preserve"> </v>
      </c>
      <c r="AJ24" s="53" t="str">
        <f>IF(AI24="","",IFERROR(IF(VLOOKUP(AI24,Programa!$V$3:$W$18,2,0)="","",VLOOKUP(AI24,Programa!$V$3:$W$18,2,0)),""))</f>
        <v/>
      </c>
      <c r="AK24" s="53" t="str">
        <f t="shared" si="2"/>
        <v xml:space="preserve"> </v>
      </c>
      <c r="AL24" s="53" t="str">
        <f>IF(AK24="","",IFERROR(IF(VLOOKUP(AK24,Programa!$V$19:$W$34,2,0)="","",VLOOKUP(AK24,Programa!$V$19:$W$34,2,0)),""))</f>
        <v/>
      </c>
      <c r="AM24" s="53" t="str">
        <f t="shared" si="3"/>
        <v xml:space="preserve"> </v>
      </c>
      <c r="AN24" s="53" t="str">
        <f>IF(AM24="","",IFERROR(IF(VLOOKUP(AM24,Programa!$V$35:$W$50,2,0)="","",VLOOKUP(AM24,Programa!$V$35:$W$50,2,0)),""))</f>
        <v/>
      </c>
      <c r="AP24" s="166">
        <v>21</v>
      </c>
      <c r="AQ24" s="145" t="str">
        <f>IF(ISBLANK(STUD!B22)," ",STUD!B22)</f>
        <v xml:space="preserve"> </v>
      </c>
      <c r="AR24" s="185">
        <f>IFERROR(VLOOKUP(AQ24,Lunes!$AF$4:$AG$31,2,0),0)</f>
        <v>0</v>
      </c>
      <c r="AS24" s="185">
        <f>IFERROR(VLOOKUP(AQ24,Martes!$AF$4:$AH$31,2,0),0)</f>
        <v>0</v>
      </c>
      <c r="AT24" s="185">
        <f>IFERROR(VLOOKUP(AQ24,Miercoles!$AF$4:$AG$31,2,0),0)</f>
        <v>0</v>
      </c>
      <c r="AU24" s="185">
        <f>IFERROR(VLOOKUP(AQ24,Jueves!$AF$4:$AG$26,2,0),0)</f>
        <v>0</v>
      </c>
      <c r="AV24" s="185">
        <f t="shared" si="4"/>
        <v>0</v>
      </c>
      <c r="AW24" s="185">
        <f t="shared" si="5"/>
        <v>0</v>
      </c>
      <c r="AX24" s="185">
        <f t="shared" si="8"/>
        <v>213.3</v>
      </c>
    </row>
    <row r="25" spans="1:50" ht="15.75" customHeight="1" x14ac:dyDescent="0.4">
      <c r="A25" s="287">
        <f>+A23+1</f>
        <v>11</v>
      </c>
      <c r="B25" s="253">
        <f>+STUD!B12</f>
        <v>0</v>
      </c>
      <c r="C25" s="244">
        <f>SUM(D26:AB26)</f>
        <v>8.8000000000000007</v>
      </c>
      <c r="D25" s="131">
        <v>3</v>
      </c>
      <c r="E25" s="131">
        <v>5</v>
      </c>
      <c r="F25" s="131">
        <v>4</v>
      </c>
      <c r="G25" s="131">
        <v>4</v>
      </c>
      <c r="H25" s="131">
        <v>7</v>
      </c>
      <c r="I25" s="131">
        <v>13</v>
      </c>
      <c r="J25" s="131">
        <v>4</v>
      </c>
      <c r="K25" s="131">
        <v>3</v>
      </c>
      <c r="L25" s="131">
        <v>1</v>
      </c>
      <c r="M25" s="131">
        <v>2</v>
      </c>
      <c r="N25" s="129">
        <v>6</v>
      </c>
      <c r="O25" s="129">
        <v>1</v>
      </c>
      <c r="P25" s="129">
        <v>3</v>
      </c>
      <c r="Q25" s="129">
        <v>10</v>
      </c>
      <c r="R25" s="129">
        <v>3</v>
      </c>
      <c r="S25" s="129">
        <v>10</v>
      </c>
      <c r="T25" s="129">
        <v>13</v>
      </c>
      <c r="U25" s="129">
        <v>13</v>
      </c>
      <c r="V25" s="129">
        <v>14</v>
      </c>
      <c r="W25" s="129"/>
      <c r="X25" s="129"/>
      <c r="Y25" s="129"/>
      <c r="Z25" s="129"/>
      <c r="AA25" s="129"/>
      <c r="AB25" s="129"/>
      <c r="AC25" s="243">
        <f>SUM(D26:AB26)</f>
        <v>8.8000000000000007</v>
      </c>
      <c r="AE25" s="81">
        <v>22</v>
      </c>
      <c r="AF25" s="91" t="str">
        <f>IF(ISBLANK(STUD!B23)," ",STUD!B23)</f>
        <v xml:space="preserve"> </v>
      </c>
      <c r="AG25" s="91">
        <f t="shared" si="0"/>
        <v>0</v>
      </c>
      <c r="AH25" s="92">
        <f t="shared" si="6"/>
        <v>73.899999999999991</v>
      </c>
      <c r="AI25" s="88" t="str">
        <f t="shared" si="1"/>
        <v xml:space="preserve"> </v>
      </c>
      <c r="AJ25" s="53" t="str">
        <f>IF(AI25="","",IFERROR(IF(VLOOKUP(AI25,Programa!$V$3:$W$18,2,0)="","",VLOOKUP(AI25,Programa!$V$3:$W$18,2,0)),""))</f>
        <v/>
      </c>
      <c r="AK25" s="53" t="str">
        <f t="shared" si="2"/>
        <v xml:space="preserve"> </v>
      </c>
      <c r="AL25" s="53" t="str">
        <f>IF(AK25="","",IFERROR(IF(VLOOKUP(AK25,Programa!$V$19:$W$34,2,0)="","",VLOOKUP(AK25,Programa!$V$19:$W$34,2,0)),""))</f>
        <v/>
      </c>
      <c r="AM25" s="53" t="str">
        <f t="shared" si="3"/>
        <v xml:space="preserve"> </v>
      </c>
      <c r="AN25" s="53" t="str">
        <f>IF(AM25="","",IFERROR(IF(VLOOKUP(AM25,Programa!$V$35:$W$50,2,0)="","",VLOOKUP(AM25,Programa!$V$35:$W$50,2,0)),""))</f>
        <v/>
      </c>
      <c r="AP25" s="167">
        <v>22</v>
      </c>
      <c r="AQ25" s="145" t="str">
        <f>IF(ISBLANK(STUD!B23)," ",STUD!B23)</f>
        <v xml:space="preserve"> </v>
      </c>
      <c r="AR25" s="185">
        <f>IFERROR(VLOOKUP(AQ25,Lunes!$AF$4:$AG$31,2,0),0)</f>
        <v>0</v>
      </c>
      <c r="AS25" s="185">
        <f>IFERROR(VLOOKUP(AQ25,Martes!$AF$4:$AH$31,2,0),0)</f>
        <v>0</v>
      </c>
      <c r="AT25" s="185">
        <f>IFERROR(VLOOKUP(AQ25,Miercoles!$AF$4:$AG$31,2,0),0)</f>
        <v>0</v>
      </c>
      <c r="AU25" s="185">
        <f>IFERROR(VLOOKUP(AQ25,Jueves!$AF$4:$AG$26,2,0),0)</f>
        <v>0</v>
      </c>
      <c r="AV25" s="185">
        <f t="shared" si="4"/>
        <v>0</v>
      </c>
      <c r="AW25" s="185">
        <f t="shared" si="5"/>
        <v>0</v>
      </c>
      <c r="AX25" s="185">
        <f t="shared" si="8"/>
        <v>213.3</v>
      </c>
    </row>
    <row r="26" spans="1:50" ht="15.75" customHeight="1" x14ac:dyDescent="0.4">
      <c r="A26" s="242"/>
      <c r="B26" s="253"/>
      <c r="C26" s="245"/>
      <c r="D26" s="138">
        <f t="shared" ref="D26:AB26" si="18">IF(IFERROR(IF(VLOOKUP(D25,D$151:D$155,1,0)&gt;=1,D$150,0),D25)=D$132,D$136,IF(IFERROR(IF(VLOOKUP(D25,D$151:D$155,1,0)&gt;=1,D$150,0),D25)=D$139,D$142,IF(IFERROR(IF(VLOOKUP(D25,D$151:D$155,1,0)&gt;=1,D$150,0),D25)=D$145,D$147,0)))</f>
        <v>0</v>
      </c>
      <c r="E26" s="138">
        <f t="shared" si="18"/>
        <v>0</v>
      </c>
      <c r="F26" s="138">
        <f t="shared" si="18"/>
        <v>0</v>
      </c>
      <c r="G26" s="138">
        <f t="shared" si="18"/>
        <v>0</v>
      </c>
      <c r="H26" s="138">
        <f t="shared" si="18"/>
        <v>0</v>
      </c>
      <c r="I26" s="138">
        <f t="shared" si="18"/>
        <v>0</v>
      </c>
      <c r="J26" s="138">
        <f t="shared" si="18"/>
        <v>0</v>
      </c>
      <c r="K26" s="138">
        <f t="shared" si="18"/>
        <v>0</v>
      </c>
      <c r="L26" s="138">
        <f t="shared" si="18"/>
        <v>0</v>
      </c>
      <c r="M26" s="138">
        <f t="shared" si="18"/>
        <v>0</v>
      </c>
      <c r="N26" s="138">
        <f t="shared" si="18"/>
        <v>0</v>
      </c>
      <c r="O26" s="138">
        <f t="shared" si="18"/>
        <v>0</v>
      </c>
      <c r="P26" s="138">
        <f t="shared" si="18"/>
        <v>0</v>
      </c>
      <c r="Q26" s="138">
        <f t="shared" si="18"/>
        <v>0</v>
      </c>
      <c r="R26" s="138">
        <f t="shared" si="18"/>
        <v>0</v>
      </c>
      <c r="S26" s="138">
        <f t="shared" si="18"/>
        <v>4.7</v>
      </c>
      <c r="T26" s="138">
        <f t="shared" si="18"/>
        <v>0</v>
      </c>
      <c r="U26" s="138">
        <f t="shared" si="18"/>
        <v>4.0999999999999996</v>
      </c>
      <c r="V26" s="138">
        <f t="shared" si="18"/>
        <v>0</v>
      </c>
      <c r="W26" s="138">
        <f t="shared" si="18"/>
        <v>0</v>
      </c>
      <c r="X26" s="138">
        <f t="shared" si="18"/>
        <v>0</v>
      </c>
      <c r="Y26" s="138">
        <f t="shared" si="18"/>
        <v>0</v>
      </c>
      <c r="Z26" s="138">
        <f t="shared" si="18"/>
        <v>0</v>
      </c>
      <c r="AA26" s="138">
        <f t="shared" si="18"/>
        <v>0</v>
      </c>
      <c r="AB26" s="138">
        <f t="shared" si="18"/>
        <v>0</v>
      </c>
      <c r="AC26" s="243"/>
      <c r="AE26" s="82">
        <v>23</v>
      </c>
      <c r="AF26" s="91" t="str">
        <f>IF(ISBLANK(STUD!B24)," ",STUD!B24)</f>
        <v xml:space="preserve"> </v>
      </c>
      <c r="AG26" s="91">
        <f t="shared" si="0"/>
        <v>0</v>
      </c>
      <c r="AH26" s="92">
        <f t="shared" si="6"/>
        <v>73.899999999999991</v>
      </c>
      <c r="AI26" s="88" t="str">
        <f t="shared" si="1"/>
        <v xml:space="preserve"> </v>
      </c>
      <c r="AJ26" s="53" t="str">
        <f>IF(AI26="","",IFERROR(IF(VLOOKUP(AI26,Programa!$V$3:$W$18,2,0)="","",VLOOKUP(AI26,Programa!$V$3:$W$18,2,0)),""))</f>
        <v/>
      </c>
      <c r="AK26" s="53" t="str">
        <f t="shared" si="2"/>
        <v xml:space="preserve"> </v>
      </c>
      <c r="AL26" s="53" t="str">
        <f>IF(AK26="","",IFERROR(IF(VLOOKUP(AK26,Programa!$V$19:$W$34,2,0)="","",VLOOKUP(AK26,Programa!$V$19:$W$34,2,0)),""))</f>
        <v/>
      </c>
      <c r="AM26" s="53" t="str">
        <f t="shared" si="3"/>
        <v xml:space="preserve"> </v>
      </c>
      <c r="AN26" s="53" t="str">
        <f>IF(AM26="","",IFERROR(IF(VLOOKUP(AM26,Programa!$V$35:$W$50,2,0)="","",VLOOKUP(AM26,Programa!$V$35:$W$50,2,0)),""))</f>
        <v/>
      </c>
      <c r="AP26" s="168">
        <v>23</v>
      </c>
      <c r="AQ26" s="145" t="str">
        <f>IF(ISBLANK(STUD!B24)," ",STUD!B24)</f>
        <v xml:space="preserve"> </v>
      </c>
      <c r="AR26" s="185">
        <f>IFERROR(VLOOKUP(AQ26,Lunes!$AF$4:$AG$31,2,0),0)</f>
        <v>0</v>
      </c>
      <c r="AS26" s="185">
        <f>IFERROR(VLOOKUP(AQ26,Martes!$AF$4:$AH$31,2,0),0)</f>
        <v>0</v>
      </c>
      <c r="AT26" s="185">
        <f>IFERROR(VLOOKUP(AQ26,Miercoles!$AF$4:$AG$31,2,0),0)</f>
        <v>0</v>
      </c>
      <c r="AU26" s="185">
        <f>IFERROR(VLOOKUP(AQ26,Jueves!$AF$4:$AG$26,2,0),0)</f>
        <v>0</v>
      </c>
      <c r="AV26" s="185">
        <f t="shared" si="4"/>
        <v>0</v>
      </c>
      <c r="AW26" s="185">
        <f t="shared" si="5"/>
        <v>0</v>
      </c>
      <c r="AX26" s="185">
        <f t="shared" si="8"/>
        <v>213.3</v>
      </c>
    </row>
    <row r="27" spans="1:50" ht="15.75" customHeight="1" x14ac:dyDescent="0.4">
      <c r="A27" s="287">
        <f>+A25+1</f>
        <v>12</v>
      </c>
      <c r="B27" s="253">
        <f>+STUD!B13</f>
        <v>0</v>
      </c>
      <c r="C27" s="244">
        <f>SUM(D28:AB28)</f>
        <v>28.799999999999997</v>
      </c>
      <c r="D27" s="130">
        <v>8</v>
      </c>
      <c r="E27" s="130">
        <v>5</v>
      </c>
      <c r="F27" s="130">
        <v>3</v>
      </c>
      <c r="G27" s="130">
        <v>5</v>
      </c>
      <c r="H27" s="130">
        <v>12</v>
      </c>
      <c r="I27" s="130">
        <v>9</v>
      </c>
      <c r="J27" s="130">
        <v>3</v>
      </c>
      <c r="K27" s="130">
        <v>9</v>
      </c>
      <c r="L27" s="130">
        <v>1</v>
      </c>
      <c r="M27" s="130">
        <v>1</v>
      </c>
      <c r="N27" s="129">
        <v>5</v>
      </c>
      <c r="O27" s="129">
        <v>9</v>
      </c>
      <c r="P27" s="129">
        <v>7</v>
      </c>
      <c r="Q27" s="129">
        <v>9</v>
      </c>
      <c r="R27" s="129">
        <v>4</v>
      </c>
      <c r="S27" s="129">
        <v>2</v>
      </c>
      <c r="T27" s="129">
        <v>4</v>
      </c>
      <c r="U27" s="129">
        <v>15</v>
      </c>
      <c r="V27" s="129">
        <v>5</v>
      </c>
      <c r="W27" s="129"/>
      <c r="X27" s="129"/>
      <c r="Y27" s="129"/>
      <c r="Z27" s="129"/>
      <c r="AA27" s="129"/>
      <c r="AB27" s="129"/>
      <c r="AC27" s="243">
        <f>SUM(D28:AB28)</f>
        <v>28.799999999999997</v>
      </c>
      <c r="AE27" s="83">
        <v>24</v>
      </c>
      <c r="AF27" s="91" t="str">
        <f>IF(ISBLANK(STUD!B25)," ",STUD!B25)</f>
        <v xml:space="preserve"> </v>
      </c>
      <c r="AG27" s="91">
        <f t="shared" si="0"/>
        <v>0</v>
      </c>
      <c r="AH27" s="92">
        <f t="shared" si="6"/>
        <v>73.899999999999991</v>
      </c>
      <c r="AI27" s="88" t="str">
        <f t="shared" si="1"/>
        <v xml:space="preserve"> </v>
      </c>
      <c r="AJ27" s="53" t="str">
        <f>IF(AI27="","",IFERROR(IF(VLOOKUP(AI27,Programa!$V$3:$W$18,2,0)="","",VLOOKUP(AI27,Programa!$V$3:$W$18,2,0)),""))</f>
        <v/>
      </c>
      <c r="AK27" s="53" t="str">
        <f t="shared" si="2"/>
        <v xml:space="preserve"> </v>
      </c>
      <c r="AL27" s="53" t="str">
        <f>IF(AK27="","",IFERROR(IF(VLOOKUP(AK27,Programa!$V$19:$W$34,2,0)="","",VLOOKUP(AK27,Programa!$V$19:$W$34,2,0)),""))</f>
        <v/>
      </c>
      <c r="AM27" s="53" t="str">
        <f t="shared" si="3"/>
        <v xml:space="preserve"> </v>
      </c>
      <c r="AN27" s="53" t="str">
        <f>IF(AM27="","",IFERROR(IF(VLOOKUP(AM27,Programa!$V$35:$W$50,2,0)="","",VLOOKUP(AM27,Programa!$V$35:$W$50,2,0)),""))</f>
        <v/>
      </c>
      <c r="AP27" s="83">
        <v>24</v>
      </c>
      <c r="AQ27" s="91" t="str">
        <f>IF(ISBLANK(STUD!B25)," ",STUD!B25)</f>
        <v xml:space="preserve"> </v>
      </c>
      <c r="AR27" s="91">
        <f>IFERROR(VLOOKUP(AQ27,Lunes!$AF$4:$AG$31,2,0),0)</f>
        <v>0</v>
      </c>
      <c r="AS27" s="91">
        <f>IFERROR(VLOOKUP(AQ27,Martes!$AF$4:$AH$31,2,0),0)</f>
        <v>0</v>
      </c>
      <c r="AT27" s="91">
        <f>IFERROR(VLOOKUP(AQ27,Miercoles!$AF$4:$AG$31,2,0),0)</f>
        <v>0</v>
      </c>
      <c r="AU27" s="91">
        <f>IFERROR(VLOOKUP(AQ27,Jueves!$AF$4:$AG$26,2,0),0)</f>
        <v>0</v>
      </c>
      <c r="AV27" s="91">
        <f t="shared" si="4"/>
        <v>0</v>
      </c>
      <c r="AW27" s="91">
        <f t="shared" si="5"/>
        <v>0</v>
      </c>
      <c r="AX27" s="91">
        <f t="shared" si="8"/>
        <v>213.3</v>
      </c>
    </row>
    <row r="28" spans="1:50" ht="15.75" customHeight="1" x14ac:dyDescent="0.4">
      <c r="A28" s="242"/>
      <c r="B28" s="253"/>
      <c r="C28" s="245"/>
      <c r="D28" s="138">
        <f t="shared" ref="D28:AB28" si="19">IF(IFERROR(IF(VLOOKUP(D27,D$151:D$155,1,0)&gt;=1,D$150,0),D27)=D$132,D$136,IF(IFERROR(IF(VLOOKUP(D27,D$151:D$155,1,0)&gt;=1,D$150,0),D27)=D$139,D$142,IF(IFERROR(IF(VLOOKUP(D27,D$151:D$155,1,0)&gt;=1,D$150,0),D27)=D$145,D$147,0)))</f>
        <v>3.4000000000000004</v>
      </c>
      <c r="E28" s="138">
        <f t="shared" si="19"/>
        <v>0</v>
      </c>
      <c r="F28" s="138">
        <f t="shared" si="19"/>
        <v>0</v>
      </c>
      <c r="G28" s="138">
        <f t="shared" si="19"/>
        <v>3.6</v>
      </c>
      <c r="H28" s="138">
        <f t="shared" si="19"/>
        <v>0</v>
      </c>
      <c r="I28" s="138">
        <f t="shared" si="19"/>
        <v>0</v>
      </c>
      <c r="J28" s="138">
        <f t="shared" si="19"/>
        <v>0</v>
      </c>
      <c r="K28" s="138">
        <f t="shared" si="19"/>
        <v>0</v>
      </c>
      <c r="L28" s="138">
        <f t="shared" si="19"/>
        <v>0</v>
      </c>
      <c r="M28" s="138">
        <f t="shared" si="19"/>
        <v>0</v>
      </c>
      <c r="N28" s="138">
        <f t="shared" si="19"/>
        <v>4.5</v>
      </c>
      <c r="O28" s="138">
        <f t="shared" si="19"/>
        <v>2.9</v>
      </c>
      <c r="P28" s="138">
        <f t="shared" si="19"/>
        <v>2.6</v>
      </c>
      <c r="Q28" s="138">
        <f t="shared" si="19"/>
        <v>0</v>
      </c>
      <c r="R28" s="138">
        <f t="shared" si="19"/>
        <v>0</v>
      </c>
      <c r="S28" s="138">
        <f t="shared" si="19"/>
        <v>0</v>
      </c>
      <c r="T28" s="138">
        <f t="shared" si="19"/>
        <v>6.8999999999999995</v>
      </c>
      <c r="U28" s="138">
        <f t="shared" si="19"/>
        <v>4.9000000000000004</v>
      </c>
      <c r="V28" s="138">
        <f t="shared" si="19"/>
        <v>0</v>
      </c>
      <c r="W28" s="138">
        <f t="shared" si="19"/>
        <v>0</v>
      </c>
      <c r="X28" s="138">
        <f t="shared" si="19"/>
        <v>0</v>
      </c>
      <c r="Y28" s="138">
        <f t="shared" si="19"/>
        <v>0</v>
      </c>
      <c r="Z28" s="138">
        <f t="shared" si="19"/>
        <v>0</v>
      </c>
      <c r="AA28" s="138">
        <f t="shared" si="19"/>
        <v>0</v>
      </c>
      <c r="AB28" s="138">
        <f t="shared" si="19"/>
        <v>0</v>
      </c>
      <c r="AC28" s="243"/>
      <c r="AE28" s="84">
        <v>25</v>
      </c>
      <c r="AF28" s="91" t="str">
        <f>IF(ISBLANK(STUD!B26)," ",STUD!B26)</f>
        <v xml:space="preserve"> </v>
      </c>
      <c r="AG28" s="91">
        <f t="shared" si="0"/>
        <v>0</v>
      </c>
      <c r="AH28" s="92">
        <f t="shared" si="6"/>
        <v>73.899999999999991</v>
      </c>
      <c r="AI28" s="88" t="str">
        <f t="shared" si="1"/>
        <v xml:space="preserve"> </v>
      </c>
      <c r="AJ28" s="53" t="str">
        <f>IF(AI28="","",IFERROR(IF(VLOOKUP(AI28,Programa!$V$3:$W$18,2,0)="","",VLOOKUP(AI28,Programa!$V$3:$W$18,2,0)),""))</f>
        <v/>
      </c>
      <c r="AK28" s="53" t="str">
        <f t="shared" si="2"/>
        <v xml:space="preserve"> </v>
      </c>
      <c r="AL28" s="53" t="str">
        <f>IF(AK28="","",IFERROR(IF(VLOOKUP(AK28,Programa!$V$19:$W$34,2,0)="","",VLOOKUP(AK28,Programa!$V$19:$W$34,2,0)),""))</f>
        <v/>
      </c>
      <c r="AM28" s="53" t="str">
        <f t="shared" si="3"/>
        <v xml:space="preserve"> </v>
      </c>
      <c r="AN28" s="53" t="str">
        <f>IF(AM28="","",IFERROR(IF(VLOOKUP(AM28,Programa!$V$35:$W$50,2,0)="","",VLOOKUP(AM28,Programa!$V$35:$W$50,2,0)),""))</f>
        <v/>
      </c>
      <c r="AP28" s="84">
        <v>25</v>
      </c>
      <c r="AQ28" s="91" t="str">
        <f>IF(ISBLANK(STUD!B26)," ",STUD!B26)</f>
        <v xml:space="preserve"> </v>
      </c>
      <c r="AR28" s="91">
        <f>IFERROR(VLOOKUP(AQ28,Lunes!$AF$4:$AG$31,2,0),0)</f>
        <v>0</v>
      </c>
      <c r="AS28" s="91">
        <f>IFERROR(VLOOKUP(AQ28,Martes!$AF$4:$AH$31,2,0),0)</f>
        <v>0</v>
      </c>
      <c r="AT28" s="91">
        <f>IFERROR(VLOOKUP(AQ28,Miercoles!$AF$4:$AG$31,2,0),0)</f>
        <v>0</v>
      </c>
      <c r="AU28" s="91">
        <f>IFERROR(VLOOKUP(AQ28,Jueves!$AF$4:$AG$26,2,0),0)</f>
        <v>0</v>
      </c>
      <c r="AV28" s="91">
        <f t="shared" si="4"/>
        <v>0</v>
      </c>
      <c r="AW28" s="91">
        <f t="shared" si="5"/>
        <v>0</v>
      </c>
      <c r="AX28" s="91">
        <f t="shared" si="8"/>
        <v>213.3</v>
      </c>
    </row>
    <row r="29" spans="1:50" ht="15.75" customHeight="1" x14ac:dyDescent="0.4">
      <c r="A29" s="287">
        <f>+A27+1</f>
        <v>13</v>
      </c>
      <c r="B29" s="253">
        <f>+STUD!B14</f>
        <v>0</v>
      </c>
      <c r="C29" s="244">
        <f>SUM(D30:AB30)</f>
        <v>44.1</v>
      </c>
      <c r="D29" s="132">
        <v>12</v>
      </c>
      <c r="E29" s="132">
        <v>4</v>
      </c>
      <c r="F29" s="132">
        <v>2</v>
      </c>
      <c r="G29" s="132">
        <v>5</v>
      </c>
      <c r="H29" s="132">
        <v>10</v>
      </c>
      <c r="I29" s="132">
        <v>4</v>
      </c>
      <c r="J29" s="132">
        <v>3</v>
      </c>
      <c r="K29" s="132">
        <v>1</v>
      </c>
      <c r="L29" s="132">
        <v>10</v>
      </c>
      <c r="M29" s="132">
        <v>1</v>
      </c>
      <c r="N29" s="132">
        <v>12</v>
      </c>
      <c r="O29" s="132">
        <v>9</v>
      </c>
      <c r="P29" s="132">
        <v>4</v>
      </c>
      <c r="Q29" s="132">
        <v>9</v>
      </c>
      <c r="R29" s="132">
        <v>12</v>
      </c>
      <c r="S29" s="132">
        <v>13</v>
      </c>
      <c r="T29" s="132">
        <v>4</v>
      </c>
      <c r="U29" s="132">
        <v>13</v>
      </c>
      <c r="V29" s="129">
        <v>8</v>
      </c>
      <c r="W29" s="129"/>
      <c r="X29" s="129"/>
      <c r="Y29" s="129"/>
      <c r="Z29" s="133"/>
      <c r="AA29" s="133"/>
      <c r="AB29" s="133"/>
      <c r="AC29" s="243">
        <f>SUM(D30:AB30)</f>
        <v>44.1</v>
      </c>
      <c r="AE29" s="85">
        <v>26</v>
      </c>
      <c r="AF29" s="91" t="str">
        <f>IF(ISBLANK(STUD!B27)," ",STUD!B27)</f>
        <v xml:space="preserve"> </v>
      </c>
      <c r="AG29" s="91">
        <f t="shared" si="0"/>
        <v>0</v>
      </c>
      <c r="AH29" s="92">
        <f t="shared" si="6"/>
        <v>73.899999999999991</v>
      </c>
      <c r="AI29" s="88" t="str">
        <f t="shared" si="1"/>
        <v xml:space="preserve"> </v>
      </c>
      <c r="AJ29" s="53" t="str">
        <f>IF(AI29="","",IFERROR(IF(VLOOKUP(AI29,Programa!$V$3:$W$18,2,0)="","",VLOOKUP(AI29,Programa!$V$3:$W$18,2,0)),""))</f>
        <v/>
      </c>
      <c r="AK29" s="53" t="str">
        <f t="shared" si="2"/>
        <v xml:space="preserve"> </v>
      </c>
      <c r="AL29" s="53" t="str">
        <f>IF(AK29="","",IFERROR(IF(VLOOKUP(AK29,Programa!$V$19:$W$34,2,0)="","",VLOOKUP(AK29,Programa!$V$19:$W$34,2,0)),""))</f>
        <v/>
      </c>
      <c r="AM29" s="53" t="str">
        <f t="shared" si="3"/>
        <v xml:space="preserve"> </v>
      </c>
      <c r="AN29" s="53" t="str">
        <f>IF(AM29="","",IFERROR(IF(VLOOKUP(AM29,Programa!$V$35:$W$50,2,0)="","",VLOOKUP(AM29,Programa!$V$35:$W$50,2,0)),""))</f>
        <v/>
      </c>
      <c r="AP29" s="85">
        <v>26</v>
      </c>
      <c r="AQ29" s="91" t="str">
        <f>IF(ISBLANK(STUD!B27)," ",STUD!B27)</f>
        <v xml:space="preserve"> </v>
      </c>
      <c r="AR29" s="91">
        <f>IFERROR(VLOOKUP(AQ29,Lunes!$AF$4:$AG$31,2,0),0)</f>
        <v>0</v>
      </c>
      <c r="AS29" s="91">
        <f>IFERROR(VLOOKUP(AQ29,Martes!$AF$4:$AH$31,2,0),0)</f>
        <v>0</v>
      </c>
      <c r="AT29" s="91">
        <f>IFERROR(VLOOKUP(AQ29,Miercoles!$AF$4:$AG$31,2,0),0)</f>
        <v>0</v>
      </c>
      <c r="AU29" s="91">
        <f>IFERROR(VLOOKUP(AQ29,Jueves!$AF$4:$AG$26,2,0),0)</f>
        <v>0</v>
      </c>
      <c r="AV29" s="91">
        <f t="shared" si="4"/>
        <v>0</v>
      </c>
      <c r="AW29" s="91">
        <f t="shared" si="5"/>
        <v>0</v>
      </c>
      <c r="AX29" s="91">
        <f t="shared" si="8"/>
        <v>213.3</v>
      </c>
    </row>
    <row r="30" spans="1:50" ht="15.75" customHeight="1" x14ac:dyDescent="0.4">
      <c r="A30" s="242"/>
      <c r="B30" s="253"/>
      <c r="C30" s="245"/>
      <c r="D30" s="138">
        <f t="shared" ref="D30:AB30" si="20">IF(IFERROR(IF(VLOOKUP(D29,D$151:D$155,1,0)&gt;=1,D$150,0),D29)=D$132,D$136,IF(IFERROR(IF(VLOOKUP(D29,D$151:D$155,1,0)&gt;=1,D$150,0),D29)=D$139,D$142,IF(IFERROR(IF(VLOOKUP(D29,D$151:D$155,1,0)&gt;=1,D$150,0),D29)=D$145,D$147,0)))</f>
        <v>1.4</v>
      </c>
      <c r="E30" s="138">
        <f t="shared" si="20"/>
        <v>4.5</v>
      </c>
      <c r="F30" s="138">
        <f t="shared" si="20"/>
        <v>7.1000000000000005</v>
      </c>
      <c r="G30" s="138">
        <f t="shared" si="20"/>
        <v>3.6</v>
      </c>
      <c r="H30" s="138">
        <f t="shared" si="20"/>
        <v>5.6999999999999993</v>
      </c>
      <c r="I30" s="138">
        <f t="shared" si="20"/>
        <v>2.8</v>
      </c>
      <c r="J30" s="138">
        <f t="shared" si="20"/>
        <v>0</v>
      </c>
      <c r="K30" s="138">
        <f t="shared" si="20"/>
        <v>0</v>
      </c>
      <c r="L30" s="138">
        <f t="shared" si="20"/>
        <v>0</v>
      </c>
      <c r="M30" s="138">
        <f t="shared" si="20"/>
        <v>0</v>
      </c>
      <c r="N30" s="138">
        <f t="shared" si="20"/>
        <v>0</v>
      </c>
      <c r="O30" s="138">
        <f t="shared" si="20"/>
        <v>2.9</v>
      </c>
      <c r="P30" s="138">
        <f t="shared" si="20"/>
        <v>1.1000000000000001</v>
      </c>
      <c r="Q30" s="138">
        <f t="shared" si="20"/>
        <v>0</v>
      </c>
      <c r="R30" s="138">
        <f t="shared" si="20"/>
        <v>4</v>
      </c>
      <c r="S30" s="138">
        <f t="shared" si="20"/>
        <v>0</v>
      </c>
      <c r="T30" s="138">
        <f t="shared" si="20"/>
        <v>6.8999999999999995</v>
      </c>
      <c r="U30" s="138">
        <f t="shared" si="20"/>
        <v>4.0999999999999996</v>
      </c>
      <c r="V30" s="138">
        <f t="shared" si="20"/>
        <v>0</v>
      </c>
      <c r="W30" s="138">
        <f t="shared" si="20"/>
        <v>0</v>
      </c>
      <c r="X30" s="138">
        <f t="shared" si="20"/>
        <v>0</v>
      </c>
      <c r="Y30" s="138">
        <f t="shared" si="20"/>
        <v>0</v>
      </c>
      <c r="Z30" s="138">
        <f t="shared" si="20"/>
        <v>0</v>
      </c>
      <c r="AA30" s="138">
        <f t="shared" si="20"/>
        <v>0</v>
      </c>
      <c r="AB30" s="138">
        <f t="shared" si="20"/>
        <v>0</v>
      </c>
      <c r="AC30" s="243"/>
      <c r="AE30" s="86">
        <v>27</v>
      </c>
      <c r="AF30" s="91" t="str">
        <f>IF(ISBLANK(STUD!B28)," ",STUD!B28)</f>
        <v xml:space="preserve"> </v>
      </c>
      <c r="AG30" s="91">
        <f t="shared" si="0"/>
        <v>0</v>
      </c>
      <c r="AH30" s="92">
        <f t="shared" si="6"/>
        <v>73.899999999999991</v>
      </c>
      <c r="AI30" s="88" t="str">
        <f t="shared" si="1"/>
        <v xml:space="preserve"> </v>
      </c>
      <c r="AJ30" s="53" t="str">
        <f>IF(AI30="","",IFERROR(IF(VLOOKUP(AI30,Programa!$V$3:$W$18,2,0)="","",VLOOKUP(AI30,Programa!$V$3:$W$18,2,0)),""))</f>
        <v/>
      </c>
      <c r="AK30" s="53" t="str">
        <f t="shared" si="2"/>
        <v xml:space="preserve"> </v>
      </c>
      <c r="AL30" s="53" t="str">
        <f>IF(AK30="","",IFERROR(IF(VLOOKUP(AK30,Programa!$V$19:$W$34,2,0)="","",VLOOKUP(AK30,Programa!$V$19:$W$34,2,0)),""))</f>
        <v/>
      </c>
      <c r="AM30" s="53" t="str">
        <f t="shared" si="3"/>
        <v xml:space="preserve"> </v>
      </c>
      <c r="AN30" s="53" t="str">
        <f>IF(AM30="","",IFERROR(IF(VLOOKUP(AM30,Programa!$V$35:$W$50,2,0)="","",VLOOKUP(AM30,Programa!$V$35:$W$50,2,0)),""))</f>
        <v/>
      </c>
      <c r="AP30" s="86">
        <v>27</v>
      </c>
      <c r="AQ30" s="91" t="str">
        <f>IF(ISBLANK(STUD!B28)," ",STUD!B28)</f>
        <v xml:space="preserve"> </v>
      </c>
      <c r="AR30" s="91">
        <f>IFERROR(VLOOKUP(AQ30,Lunes!$AF$4:$AG$31,2,0),0)</f>
        <v>0</v>
      </c>
      <c r="AS30" s="91">
        <f>IFERROR(VLOOKUP(AQ30,Martes!$AF$4:$AH$31,2,0),0)</f>
        <v>0</v>
      </c>
      <c r="AT30" s="91">
        <f>IFERROR(VLOOKUP(AQ30,Miercoles!$AF$4:$AG$31,2,0),0)</f>
        <v>0</v>
      </c>
      <c r="AU30" s="91">
        <f>IFERROR(VLOOKUP(AQ30,Jueves!$AF$4:$AG$26,2,0),0)</f>
        <v>0</v>
      </c>
      <c r="AV30" s="91">
        <f t="shared" si="4"/>
        <v>0</v>
      </c>
      <c r="AW30" s="91">
        <f t="shared" si="5"/>
        <v>0</v>
      </c>
      <c r="AX30" s="91">
        <f t="shared" si="8"/>
        <v>213.3</v>
      </c>
    </row>
    <row r="31" spans="1:50" ht="15.75" customHeight="1" x14ac:dyDescent="0.4">
      <c r="A31" s="287">
        <f>+A29+1</f>
        <v>14</v>
      </c>
      <c r="B31" s="253">
        <f>+STUD!B15</f>
        <v>0</v>
      </c>
      <c r="C31" s="244">
        <f>SUM(D32:AB32)</f>
        <v>20.5</v>
      </c>
      <c r="D31" s="132">
        <v>2</v>
      </c>
      <c r="E31" s="132">
        <v>8</v>
      </c>
      <c r="F31" s="132">
        <v>8</v>
      </c>
      <c r="G31" s="132">
        <v>5</v>
      </c>
      <c r="H31" s="132">
        <v>10</v>
      </c>
      <c r="I31" s="132">
        <v>14</v>
      </c>
      <c r="J31" s="132">
        <v>12</v>
      </c>
      <c r="K31" s="132">
        <v>7</v>
      </c>
      <c r="L31" s="132">
        <v>1</v>
      </c>
      <c r="M31" s="132">
        <v>8</v>
      </c>
      <c r="N31" s="132">
        <v>8</v>
      </c>
      <c r="O31" s="132">
        <v>10</v>
      </c>
      <c r="P31" s="132">
        <v>8</v>
      </c>
      <c r="Q31" s="132">
        <v>7</v>
      </c>
      <c r="R31" s="132">
        <v>13</v>
      </c>
      <c r="S31" s="132">
        <v>14</v>
      </c>
      <c r="T31" s="132">
        <v>7</v>
      </c>
      <c r="U31" s="132">
        <v>11</v>
      </c>
      <c r="V31" s="129">
        <v>6</v>
      </c>
      <c r="W31" s="129"/>
      <c r="X31" s="129"/>
      <c r="Y31" s="129"/>
      <c r="Z31" s="133"/>
      <c r="AA31" s="133"/>
      <c r="AB31" s="133"/>
      <c r="AC31" s="243">
        <f>SUM(D32:AB32)</f>
        <v>20.5</v>
      </c>
      <c r="AE31" s="87">
        <v>28</v>
      </c>
      <c r="AF31" s="91" t="str">
        <f>IF(ISBLANK(STUD!B29)," ",STUD!B29)</f>
        <v xml:space="preserve"> </v>
      </c>
      <c r="AG31" s="91">
        <f t="shared" si="0"/>
        <v>0</v>
      </c>
      <c r="AH31" s="92">
        <f t="shared" si="6"/>
        <v>73.899999999999991</v>
      </c>
      <c r="AI31" s="88" t="str">
        <f t="shared" si="1"/>
        <v xml:space="preserve"> </v>
      </c>
      <c r="AJ31" s="53" t="str">
        <f>IF(AI31="","",IFERROR(IF(VLOOKUP(AI31,Programa!$V$3:$W$18,2,0)="","",VLOOKUP(AI31,Programa!$V$3:$W$18,2,0)),""))</f>
        <v/>
      </c>
      <c r="AK31" s="53" t="str">
        <f t="shared" si="2"/>
        <v xml:space="preserve"> </v>
      </c>
      <c r="AL31" s="53" t="str">
        <f>IF(AK31="","",IFERROR(IF(VLOOKUP(AK31,Programa!$V$19:$W$34,2,0)="","",VLOOKUP(AK31,Programa!$V$19:$W$34,2,0)),""))</f>
        <v/>
      </c>
      <c r="AM31" s="53" t="str">
        <f t="shared" si="3"/>
        <v xml:space="preserve"> </v>
      </c>
      <c r="AN31" s="53" t="str">
        <f>IF(AM31="","",IFERROR(IF(VLOOKUP(AM31,Programa!$V$35:$W$50,2,0)="","",VLOOKUP(AM31,Programa!$V$35:$W$50,2,0)),""))</f>
        <v/>
      </c>
      <c r="AP31" s="87">
        <v>28</v>
      </c>
      <c r="AQ31" s="91" t="str">
        <f>IF(ISBLANK(STUD!B29)," ",STUD!B29)</f>
        <v xml:space="preserve"> </v>
      </c>
      <c r="AR31" s="91">
        <f>IFERROR(VLOOKUP(AQ31,Lunes!$AF$4:$AG$31,2,0),0)</f>
        <v>0</v>
      </c>
      <c r="AS31" s="91">
        <f>IFERROR(VLOOKUP(AQ31,Martes!$AF$4:$AH$31,2,0),0)</f>
        <v>0</v>
      </c>
      <c r="AT31" s="91">
        <f>IFERROR(VLOOKUP(AQ31,Miercoles!$AF$4:$AG$31,2,0),0)</f>
        <v>0</v>
      </c>
      <c r="AU31" s="91">
        <f>IFERROR(VLOOKUP(AQ31,Jueves!$AF$4:$AG$26,2,0),0)</f>
        <v>0</v>
      </c>
      <c r="AV31" s="91">
        <f t="shared" si="4"/>
        <v>0</v>
      </c>
      <c r="AW31" s="91">
        <f t="shared" si="5"/>
        <v>0</v>
      </c>
      <c r="AX31" s="91">
        <f t="shared" si="8"/>
        <v>213.3</v>
      </c>
    </row>
    <row r="32" spans="1:50" ht="15.75" customHeight="1" x14ac:dyDescent="0.4">
      <c r="A32" s="242"/>
      <c r="B32" s="253"/>
      <c r="C32" s="245"/>
      <c r="D32" s="138">
        <f t="shared" ref="D32:AB32" si="21">IF(IFERROR(IF(VLOOKUP(D31,D$151:D$155,1,0)&gt;=1,D$150,0),D31)=D$132,D$136,IF(IFERROR(IF(VLOOKUP(D31,D$151:D$155,1,0)&gt;=1,D$150,0),D31)=D$139,D$142,IF(IFERROR(IF(VLOOKUP(D31,D$151:D$155,1,0)&gt;=1,D$150,0),D31)=D$145,D$147,0)))</f>
        <v>0</v>
      </c>
      <c r="E32" s="138">
        <f t="shared" si="21"/>
        <v>0</v>
      </c>
      <c r="F32" s="138">
        <f t="shared" si="21"/>
        <v>8.8000000000000007</v>
      </c>
      <c r="G32" s="138">
        <f t="shared" si="21"/>
        <v>3.6</v>
      </c>
      <c r="H32" s="138">
        <f t="shared" si="21"/>
        <v>5.6999999999999993</v>
      </c>
      <c r="I32" s="138">
        <f t="shared" si="21"/>
        <v>0</v>
      </c>
      <c r="J32" s="138">
        <f t="shared" si="21"/>
        <v>2.4</v>
      </c>
      <c r="K32" s="138">
        <f t="shared" si="21"/>
        <v>0</v>
      </c>
      <c r="L32" s="138">
        <f t="shared" si="21"/>
        <v>0</v>
      </c>
      <c r="M32" s="138">
        <f t="shared" si="21"/>
        <v>0</v>
      </c>
      <c r="N32" s="138">
        <f t="shared" si="21"/>
        <v>0</v>
      </c>
      <c r="O32" s="138">
        <f t="shared" si="21"/>
        <v>0</v>
      </c>
      <c r="P32" s="138">
        <f t="shared" si="21"/>
        <v>0</v>
      </c>
      <c r="Q32" s="138">
        <f t="shared" si="21"/>
        <v>0</v>
      </c>
      <c r="R32" s="138">
        <f t="shared" si="21"/>
        <v>0</v>
      </c>
      <c r="S32" s="138">
        <f t="shared" si="21"/>
        <v>0</v>
      </c>
      <c r="T32" s="138">
        <f t="shared" si="21"/>
        <v>0</v>
      </c>
      <c r="U32" s="138">
        <f t="shared" si="21"/>
        <v>0</v>
      </c>
      <c r="V32" s="138">
        <f t="shared" si="21"/>
        <v>0</v>
      </c>
      <c r="W32" s="138">
        <f t="shared" si="21"/>
        <v>0</v>
      </c>
      <c r="X32" s="138">
        <f t="shared" si="21"/>
        <v>0</v>
      </c>
      <c r="Y32" s="138">
        <f t="shared" si="21"/>
        <v>0</v>
      </c>
      <c r="Z32" s="138">
        <f t="shared" si="21"/>
        <v>0</v>
      </c>
      <c r="AA32" s="138">
        <f t="shared" si="21"/>
        <v>0</v>
      </c>
      <c r="AB32" s="138">
        <f t="shared" si="21"/>
        <v>0</v>
      </c>
      <c r="AC32" s="243"/>
      <c r="AI32" s="54"/>
      <c r="AJ32" s="54"/>
      <c r="AK32" s="54"/>
      <c r="AL32" s="54"/>
      <c r="AM32" s="54"/>
      <c r="AN32" s="54"/>
    </row>
    <row r="33" spans="1:34" ht="15.75" customHeight="1" x14ac:dyDescent="0.45">
      <c r="A33" s="287">
        <f>+A31+1</f>
        <v>15</v>
      </c>
      <c r="B33" s="253">
        <f>+STUD!B16</f>
        <v>0</v>
      </c>
      <c r="C33" s="244">
        <f>SUM(D34:AB34)</f>
        <v>34.9</v>
      </c>
      <c r="D33" s="130">
        <v>8</v>
      </c>
      <c r="E33" s="130">
        <v>9</v>
      </c>
      <c r="F33" s="130">
        <v>2</v>
      </c>
      <c r="G33" s="130">
        <v>3</v>
      </c>
      <c r="H33" s="130">
        <v>11</v>
      </c>
      <c r="I33" s="130">
        <v>12</v>
      </c>
      <c r="J33" s="130">
        <v>10</v>
      </c>
      <c r="K33" s="130">
        <v>5</v>
      </c>
      <c r="L33" s="130">
        <v>9</v>
      </c>
      <c r="M33" s="130">
        <v>8</v>
      </c>
      <c r="N33" s="129">
        <v>2</v>
      </c>
      <c r="O33" s="129">
        <v>9</v>
      </c>
      <c r="P33" s="129">
        <v>5</v>
      </c>
      <c r="Q33" s="129">
        <v>3</v>
      </c>
      <c r="R33" s="129">
        <v>2</v>
      </c>
      <c r="S33" s="129">
        <v>1</v>
      </c>
      <c r="T33" s="129">
        <v>2</v>
      </c>
      <c r="U33" s="129">
        <v>11</v>
      </c>
      <c r="V33" s="129">
        <v>15</v>
      </c>
      <c r="W33" s="129"/>
      <c r="X33" s="129"/>
      <c r="Y33" s="129"/>
      <c r="Z33" s="133"/>
      <c r="AA33" s="133"/>
      <c r="AB33" s="133"/>
      <c r="AC33" s="243">
        <f>SUM(D34:AB34)</f>
        <v>34.9</v>
      </c>
      <c r="AE33" s="55" t="s">
        <v>51</v>
      </c>
      <c r="AF33" s="61">
        <f>COUNTA(STUD!B2:B29)</f>
        <v>10</v>
      </c>
      <c r="AG33" s="55" t="s">
        <v>16</v>
      </c>
      <c r="AH33" s="56">
        <f>(AF33-1)*10000</f>
        <v>90000</v>
      </c>
    </row>
    <row r="34" spans="1:34" ht="15.75" customHeight="1" x14ac:dyDescent="0.4">
      <c r="A34" s="242"/>
      <c r="B34" s="253"/>
      <c r="C34" s="245"/>
      <c r="D34" s="138">
        <f t="shared" ref="D34:AB34" si="22">IF(IFERROR(IF(VLOOKUP(D33,D$151:D$155,1,0)&gt;=1,D$150,0),D33)=D$132,D$136,IF(IFERROR(IF(VLOOKUP(D33,D$151:D$155,1,0)&gt;=1,D$150,0),D33)=D$139,D$142,IF(IFERROR(IF(VLOOKUP(D33,D$151:D$155,1,0)&gt;=1,D$150,0),D33)=D$145,D$147,0)))</f>
        <v>3.4000000000000004</v>
      </c>
      <c r="E34" s="138">
        <f t="shared" si="22"/>
        <v>0</v>
      </c>
      <c r="F34" s="138">
        <f t="shared" si="22"/>
        <v>7.1000000000000005</v>
      </c>
      <c r="G34" s="138">
        <f t="shared" si="22"/>
        <v>0</v>
      </c>
      <c r="H34" s="138">
        <f t="shared" si="22"/>
        <v>0</v>
      </c>
      <c r="I34" s="138">
        <f t="shared" si="22"/>
        <v>0</v>
      </c>
      <c r="J34" s="138">
        <f t="shared" si="22"/>
        <v>6.7</v>
      </c>
      <c r="K34" s="138">
        <f t="shared" si="22"/>
        <v>0</v>
      </c>
      <c r="L34" s="138">
        <f t="shared" si="22"/>
        <v>0</v>
      </c>
      <c r="M34" s="138">
        <f t="shared" si="22"/>
        <v>0</v>
      </c>
      <c r="N34" s="138">
        <f t="shared" si="22"/>
        <v>0</v>
      </c>
      <c r="O34" s="138">
        <f t="shared" si="22"/>
        <v>2.9</v>
      </c>
      <c r="P34" s="138">
        <f t="shared" si="22"/>
        <v>7.8999999999999995</v>
      </c>
      <c r="Q34" s="138">
        <f t="shared" si="22"/>
        <v>4.7</v>
      </c>
      <c r="R34" s="138">
        <f t="shared" si="22"/>
        <v>2.2000000000000002</v>
      </c>
      <c r="S34" s="138">
        <f t="shared" si="22"/>
        <v>0</v>
      </c>
      <c r="T34" s="138">
        <f t="shared" si="22"/>
        <v>0</v>
      </c>
      <c r="U34" s="138">
        <f t="shared" si="22"/>
        <v>0</v>
      </c>
      <c r="V34" s="138">
        <f t="shared" si="22"/>
        <v>0</v>
      </c>
      <c r="W34" s="138">
        <f t="shared" si="22"/>
        <v>0</v>
      </c>
      <c r="X34" s="138">
        <f t="shared" si="22"/>
        <v>0</v>
      </c>
      <c r="Y34" s="138">
        <f t="shared" si="22"/>
        <v>0</v>
      </c>
      <c r="Z34" s="138">
        <f t="shared" si="22"/>
        <v>0</v>
      </c>
      <c r="AA34" s="138">
        <f t="shared" si="22"/>
        <v>0</v>
      </c>
      <c r="AB34" s="138">
        <f t="shared" si="22"/>
        <v>0</v>
      </c>
      <c r="AC34" s="243"/>
      <c r="AE34" s="58" t="s">
        <v>38</v>
      </c>
      <c r="AF34" s="58"/>
      <c r="AG34" s="59">
        <f>($AH$33-$AG$36)*80%</f>
        <v>64800</v>
      </c>
      <c r="AH34" s="59"/>
    </row>
    <row r="35" spans="1:34" ht="15.75" hidden="1" customHeight="1" x14ac:dyDescent="0.4">
      <c r="A35" s="287">
        <f>+A33+1</f>
        <v>16</v>
      </c>
      <c r="B35" s="253">
        <f>+STUD!B17</f>
        <v>0</v>
      </c>
      <c r="C35" s="244">
        <f>SUM(D36:AB36)</f>
        <v>0</v>
      </c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33"/>
      <c r="AA35" s="133"/>
      <c r="AB35" s="133"/>
      <c r="AC35" s="243">
        <f>SUM(D36:AB36)</f>
        <v>0</v>
      </c>
      <c r="AE35" s="58" t="s">
        <v>39</v>
      </c>
      <c r="AF35" s="58"/>
      <c r="AG35" s="59">
        <f>($AH$33-$AG$36)*20%</f>
        <v>16200</v>
      </c>
      <c r="AH35" s="59"/>
    </row>
    <row r="36" spans="1:34" ht="15.75" hidden="1" customHeight="1" x14ac:dyDescent="0.4">
      <c r="A36" s="242"/>
      <c r="B36" s="253"/>
      <c r="C36" s="245"/>
      <c r="D36" s="127">
        <f t="shared" ref="D36:AB36" si="23">IF(IFERROR(IF(VLOOKUP(D35,D$151:D$155,1,0)&gt;=1,D$150,0),D35)=D$132,D$136,IF(IFERROR(IF(VLOOKUP(D35,D$151:D$155,1,0)&gt;=1,D$150,0),D35)=D$139,D$142,IF(IFERROR(IF(VLOOKUP(D35,D$151:D$155,1,0)&gt;=1,D$150,0),D35)=D$145,D$147,0)))</f>
        <v>0</v>
      </c>
      <c r="E36" s="127">
        <f t="shared" si="23"/>
        <v>0</v>
      </c>
      <c r="F36" s="127">
        <f t="shared" si="23"/>
        <v>0</v>
      </c>
      <c r="G36" s="127">
        <f t="shared" si="23"/>
        <v>0</v>
      </c>
      <c r="H36" s="127">
        <f t="shared" si="23"/>
        <v>0</v>
      </c>
      <c r="I36" s="127">
        <f t="shared" si="23"/>
        <v>0</v>
      </c>
      <c r="J36" s="127">
        <f t="shared" si="23"/>
        <v>0</v>
      </c>
      <c r="K36" s="127">
        <f t="shared" si="23"/>
        <v>0</v>
      </c>
      <c r="L36" s="127">
        <f t="shared" si="23"/>
        <v>0</v>
      </c>
      <c r="M36" s="127">
        <f t="shared" si="23"/>
        <v>0</v>
      </c>
      <c r="N36" s="127">
        <f t="shared" si="23"/>
        <v>0</v>
      </c>
      <c r="O36" s="127">
        <f t="shared" si="23"/>
        <v>0</v>
      </c>
      <c r="P36" s="127">
        <f t="shared" si="23"/>
        <v>0</v>
      </c>
      <c r="Q36" s="127">
        <f t="shared" si="23"/>
        <v>0</v>
      </c>
      <c r="R36" s="127">
        <f t="shared" si="23"/>
        <v>0</v>
      </c>
      <c r="S36" s="127">
        <f t="shared" si="23"/>
        <v>0</v>
      </c>
      <c r="T36" s="127">
        <f t="shared" si="23"/>
        <v>0</v>
      </c>
      <c r="U36" s="127">
        <f t="shared" si="23"/>
        <v>0</v>
      </c>
      <c r="V36" s="127">
        <f t="shared" si="23"/>
        <v>0</v>
      </c>
      <c r="W36" s="127">
        <f t="shared" si="23"/>
        <v>0</v>
      </c>
      <c r="X36" s="127">
        <f t="shared" si="23"/>
        <v>0</v>
      </c>
      <c r="Y36" s="127">
        <f t="shared" si="23"/>
        <v>0</v>
      </c>
      <c r="Z36" s="127">
        <f t="shared" si="23"/>
        <v>0</v>
      </c>
      <c r="AA36" s="127">
        <f t="shared" si="23"/>
        <v>0</v>
      </c>
      <c r="AB36" s="127">
        <f t="shared" si="23"/>
        <v>0</v>
      </c>
      <c r="AC36" s="243"/>
      <c r="AE36" s="58" t="s">
        <v>40</v>
      </c>
      <c r="AF36" s="58"/>
      <c r="AG36" s="60">
        <f>(AH33*10%)</f>
        <v>9000</v>
      </c>
      <c r="AH36" s="60"/>
    </row>
    <row r="37" spans="1:34" ht="15.75" hidden="1" customHeight="1" x14ac:dyDescent="0.4">
      <c r="A37" s="287">
        <f>+A35+1</f>
        <v>17</v>
      </c>
      <c r="B37" s="253">
        <f>+STUD!B18</f>
        <v>0</v>
      </c>
      <c r="C37" s="244">
        <f>SUM(D38:AB38)</f>
        <v>0</v>
      </c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33"/>
      <c r="AA37" s="133"/>
      <c r="AB37" s="133"/>
      <c r="AC37" s="243">
        <f>SUM(D38:AB38)</f>
        <v>0</v>
      </c>
    </row>
    <row r="38" spans="1:34" ht="15.75" hidden="1" customHeight="1" x14ac:dyDescent="0.4">
      <c r="A38" s="242"/>
      <c r="B38" s="253"/>
      <c r="C38" s="245"/>
      <c r="D38" s="127">
        <f t="shared" ref="D38:AB38" si="24">IF(IFERROR(IF(VLOOKUP(D37,D$151:D$155,1,0)&gt;=1,D$150,0),D37)=D$132,D$136,IF(IFERROR(IF(VLOOKUP(D37,D$151:D$155,1,0)&gt;=1,D$150,0),D37)=D$139,D$142,IF(IFERROR(IF(VLOOKUP(D37,D$151:D$155,1,0)&gt;=1,D$150,0),D37)=D$145,D$147,0)))</f>
        <v>0</v>
      </c>
      <c r="E38" s="127">
        <f t="shared" si="24"/>
        <v>0</v>
      </c>
      <c r="F38" s="127">
        <f t="shared" si="24"/>
        <v>0</v>
      </c>
      <c r="G38" s="127">
        <f t="shared" si="24"/>
        <v>0</v>
      </c>
      <c r="H38" s="127">
        <f t="shared" si="24"/>
        <v>0</v>
      </c>
      <c r="I38" s="127">
        <f t="shared" si="24"/>
        <v>0</v>
      </c>
      <c r="J38" s="127">
        <f t="shared" si="24"/>
        <v>0</v>
      </c>
      <c r="K38" s="127">
        <f t="shared" si="24"/>
        <v>0</v>
      </c>
      <c r="L38" s="127">
        <f t="shared" si="24"/>
        <v>0</v>
      </c>
      <c r="M38" s="127">
        <f t="shared" si="24"/>
        <v>0</v>
      </c>
      <c r="N38" s="127">
        <f t="shared" si="24"/>
        <v>0</v>
      </c>
      <c r="O38" s="127">
        <f t="shared" si="24"/>
        <v>0</v>
      </c>
      <c r="P38" s="127">
        <f t="shared" si="24"/>
        <v>0</v>
      </c>
      <c r="Q38" s="127">
        <f t="shared" si="24"/>
        <v>0</v>
      </c>
      <c r="R38" s="127">
        <f t="shared" si="24"/>
        <v>0</v>
      </c>
      <c r="S38" s="127">
        <f t="shared" si="24"/>
        <v>0</v>
      </c>
      <c r="T38" s="127">
        <f t="shared" si="24"/>
        <v>0</v>
      </c>
      <c r="U38" s="127">
        <f t="shared" si="24"/>
        <v>0</v>
      </c>
      <c r="V38" s="127">
        <f t="shared" si="24"/>
        <v>0</v>
      </c>
      <c r="W38" s="127">
        <f t="shared" si="24"/>
        <v>0</v>
      </c>
      <c r="X38" s="127">
        <f t="shared" si="24"/>
        <v>0</v>
      </c>
      <c r="Y38" s="127">
        <f t="shared" si="24"/>
        <v>0</v>
      </c>
      <c r="Z38" s="127">
        <f t="shared" si="24"/>
        <v>0</v>
      </c>
      <c r="AA38" s="127">
        <f t="shared" si="24"/>
        <v>0</v>
      </c>
      <c r="AB38" s="127">
        <f t="shared" si="24"/>
        <v>0</v>
      </c>
      <c r="AC38" s="243"/>
    </row>
    <row r="39" spans="1:34" ht="15.75" hidden="1" customHeight="1" x14ac:dyDescent="0.4">
      <c r="A39" s="287">
        <f>+A37+1</f>
        <v>18</v>
      </c>
      <c r="B39" s="253">
        <f>+STUD!B19</f>
        <v>0</v>
      </c>
      <c r="C39" s="244">
        <f>SUM(D40:AB40)</f>
        <v>0</v>
      </c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33"/>
      <c r="Y39" s="133"/>
      <c r="Z39" s="133"/>
      <c r="AA39" s="133"/>
      <c r="AB39" s="133"/>
      <c r="AC39" s="243">
        <f>SUM(D40:AB40)</f>
        <v>0</v>
      </c>
    </row>
    <row r="40" spans="1:34" ht="15.75" hidden="1" customHeight="1" x14ac:dyDescent="0.4">
      <c r="A40" s="242"/>
      <c r="B40" s="253"/>
      <c r="C40" s="245"/>
      <c r="D40" s="127">
        <f t="shared" ref="D40:AB40" si="25">IF(IFERROR(IF(VLOOKUP(D39,D$151:D$155,1,0)&gt;=1,D$150,0),D39)=D$132,D$136,IF(IFERROR(IF(VLOOKUP(D39,D$151:D$155,1,0)&gt;=1,D$150,0),D39)=D$139,D$142,IF(IFERROR(IF(VLOOKUP(D39,D$151:D$155,1,0)&gt;=1,D$150,0),D39)=D$145,D$147,0)))</f>
        <v>0</v>
      </c>
      <c r="E40" s="127">
        <f t="shared" si="25"/>
        <v>0</v>
      </c>
      <c r="F40" s="127">
        <f t="shared" si="25"/>
        <v>0</v>
      </c>
      <c r="G40" s="127">
        <f t="shared" si="25"/>
        <v>0</v>
      </c>
      <c r="H40" s="127">
        <f t="shared" si="25"/>
        <v>0</v>
      </c>
      <c r="I40" s="127">
        <f t="shared" si="25"/>
        <v>0</v>
      </c>
      <c r="J40" s="127">
        <f t="shared" si="25"/>
        <v>0</v>
      </c>
      <c r="K40" s="127">
        <f t="shared" si="25"/>
        <v>0</v>
      </c>
      <c r="L40" s="127">
        <f t="shared" si="25"/>
        <v>0</v>
      </c>
      <c r="M40" s="127">
        <f t="shared" si="25"/>
        <v>0</v>
      </c>
      <c r="N40" s="127">
        <f t="shared" si="25"/>
        <v>0</v>
      </c>
      <c r="O40" s="127">
        <f t="shared" si="25"/>
        <v>0</v>
      </c>
      <c r="P40" s="127">
        <f t="shared" si="25"/>
        <v>0</v>
      </c>
      <c r="Q40" s="127">
        <f t="shared" si="25"/>
        <v>0</v>
      </c>
      <c r="R40" s="127">
        <f t="shared" si="25"/>
        <v>0</v>
      </c>
      <c r="S40" s="127">
        <f t="shared" si="25"/>
        <v>0</v>
      </c>
      <c r="T40" s="127">
        <f t="shared" si="25"/>
        <v>0</v>
      </c>
      <c r="U40" s="127">
        <f t="shared" si="25"/>
        <v>0</v>
      </c>
      <c r="V40" s="127">
        <f t="shared" si="25"/>
        <v>0</v>
      </c>
      <c r="W40" s="127">
        <f t="shared" si="25"/>
        <v>0</v>
      </c>
      <c r="X40" s="127">
        <f t="shared" si="25"/>
        <v>0</v>
      </c>
      <c r="Y40" s="127">
        <f t="shared" si="25"/>
        <v>0</v>
      </c>
      <c r="Z40" s="127">
        <f t="shared" si="25"/>
        <v>0</v>
      </c>
      <c r="AA40" s="127">
        <f t="shared" si="25"/>
        <v>0</v>
      </c>
      <c r="AB40" s="127">
        <f t="shared" si="25"/>
        <v>0</v>
      </c>
      <c r="AC40" s="243"/>
    </row>
    <row r="41" spans="1:34" ht="15.75" hidden="1" customHeight="1" x14ac:dyDescent="0.4">
      <c r="A41" s="287">
        <f>+A39+1</f>
        <v>19</v>
      </c>
      <c r="B41" s="253">
        <f>+STUD!B20</f>
        <v>0</v>
      </c>
      <c r="C41" s="244">
        <f>SUM(D42:AB42)</f>
        <v>0</v>
      </c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33"/>
      <c r="Y41" s="133"/>
      <c r="Z41" s="133"/>
      <c r="AA41" s="133"/>
      <c r="AB41" s="133"/>
      <c r="AC41" s="243">
        <f>SUM(D42:AB42)</f>
        <v>0</v>
      </c>
    </row>
    <row r="42" spans="1:34" ht="15.75" hidden="1" customHeight="1" x14ac:dyDescent="0.4">
      <c r="A42" s="242"/>
      <c r="B42" s="253"/>
      <c r="C42" s="245"/>
      <c r="D42" s="127">
        <f t="shared" ref="D42:AB42" si="26">IF(IFERROR(IF(VLOOKUP(D41,D$151:D$155,1,0)&gt;=1,D$150,0),D41)=D$132,D$136,IF(IFERROR(IF(VLOOKUP(D41,D$151:D$155,1,0)&gt;=1,D$150,0),D41)=D$139,D$142,IF(IFERROR(IF(VLOOKUP(D41,D$151:D$155,1,0)&gt;=1,D$150,0),D41)=D$145,D$147,0)))</f>
        <v>0</v>
      </c>
      <c r="E42" s="127">
        <f t="shared" si="26"/>
        <v>0</v>
      </c>
      <c r="F42" s="127">
        <f t="shared" si="26"/>
        <v>0</v>
      </c>
      <c r="G42" s="127">
        <f t="shared" si="26"/>
        <v>0</v>
      </c>
      <c r="H42" s="127">
        <f t="shared" si="26"/>
        <v>0</v>
      </c>
      <c r="I42" s="127">
        <f t="shared" si="26"/>
        <v>0</v>
      </c>
      <c r="J42" s="127">
        <f t="shared" si="26"/>
        <v>0</v>
      </c>
      <c r="K42" s="127">
        <f t="shared" si="26"/>
        <v>0</v>
      </c>
      <c r="L42" s="127">
        <f t="shared" si="26"/>
        <v>0</v>
      </c>
      <c r="M42" s="127">
        <f t="shared" si="26"/>
        <v>0</v>
      </c>
      <c r="N42" s="127">
        <f t="shared" si="26"/>
        <v>0</v>
      </c>
      <c r="O42" s="127">
        <f t="shared" si="26"/>
        <v>0</v>
      </c>
      <c r="P42" s="127">
        <f t="shared" si="26"/>
        <v>0</v>
      </c>
      <c r="Q42" s="127">
        <f t="shared" si="26"/>
        <v>0</v>
      </c>
      <c r="R42" s="127">
        <f t="shared" si="26"/>
        <v>0</v>
      </c>
      <c r="S42" s="127">
        <f t="shared" si="26"/>
        <v>0</v>
      </c>
      <c r="T42" s="127">
        <f t="shared" si="26"/>
        <v>0</v>
      </c>
      <c r="U42" s="127">
        <f t="shared" si="26"/>
        <v>0</v>
      </c>
      <c r="V42" s="127">
        <f t="shared" si="26"/>
        <v>0</v>
      </c>
      <c r="W42" s="127">
        <f t="shared" si="26"/>
        <v>0</v>
      </c>
      <c r="X42" s="127">
        <f t="shared" si="26"/>
        <v>0</v>
      </c>
      <c r="Y42" s="127">
        <f t="shared" si="26"/>
        <v>0</v>
      </c>
      <c r="Z42" s="127">
        <f t="shared" si="26"/>
        <v>0</v>
      </c>
      <c r="AA42" s="127">
        <f t="shared" si="26"/>
        <v>0</v>
      </c>
      <c r="AB42" s="127">
        <f t="shared" si="26"/>
        <v>0</v>
      </c>
      <c r="AC42" s="243"/>
    </row>
    <row r="43" spans="1:34" ht="15.75" hidden="1" customHeight="1" x14ac:dyDescent="0.4">
      <c r="A43" s="287">
        <f>+A41+1</f>
        <v>20</v>
      </c>
      <c r="B43" s="253">
        <f>+STUD!B21</f>
        <v>0</v>
      </c>
      <c r="C43" s="244">
        <f>SUM(D44:AB44)</f>
        <v>0</v>
      </c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33"/>
      <c r="Y43" s="133"/>
      <c r="Z43" s="133"/>
      <c r="AA43" s="133"/>
      <c r="AB43" s="133"/>
      <c r="AC43" s="243">
        <f>SUM(D44:AB44)</f>
        <v>0</v>
      </c>
    </row>
    <row r="44" spans="1:34" ht="15.75" hidden="1" customHeight="1" x14ac:dyDescent="0.4">
      <c r="A44" s="242"/>
      <c r="B44" s="253"/>
      <c r="C44" s="245"/>
      <c r="D44" s="127">
        <f t="shared" ref="D44:AB44" si="27">IF(IFERROR(IF(VLOOKUP(D43,D$151:D$155,1,0)&gt;=1,D$150,0),D43)=D$132,D$136,IF(IFERROR(IF(VLOOKUP(D43,D$151:D$155,1,0)&gt;=1,D$150,0),D43)=D$139,D$142,IF(IFERROR(IF(VLOOKUP(D43,D$151:D$155,1,0)&gt;=1,D$150,0),D43)=D$145,D$147,0)))</f>
        <v>0</v>
      </c>
      <c r="E44" s="127">
        <f t="shared" si="27"/>
        <v>0</v>
      </c>
      <c r="F44" s="127">
        <f t="shared" si="27"/>
        <v>0</v>
      </c>
      <c r="G44" s="127">
        <f t="shared" si="27"/>
        <v>0</v>
      </c>
      <c r="H44" s="127">
        <f t="shared" si="27"/>
        <v>0</v>
      </c>
      <c r="I44" s="127">
        <f t="shared" si="27"/>
        <v>0</v>
      </c>
      <c r="J44" s="127">
        <f t="shared" si="27"/>
        <v>0</v>
      </c>
      <c r="K44" s="127">
        <f t="shared" si="27"/>
        <v>0</v>
      </c>
      <c r="L44" s="127">
        <f t="shared" si="27"/>
        <v>0</v>
      </c>
      <c r="M44" s="127">
        <f t="shared" si="27"/>
        <v>0</v>
      </c>
      <c r="N44" s="127">
        <f t="shared" si="27"/>
        <v>0</v>
      </c>
      <c r="O44" s="127">
        <f t="shared" si="27"/>
        <v>0</v>
      </c>
      <c r="P44" s="127">
        <f t="shared" si="27"/>
        <v>0</v>
      </c>
      <c r="Q44" s="127">
        <f t="shared" si="27"/>
        <v>0</v>
      </c>
      <c r="R44" s="127">
        <f t="shared" si="27"/>
        <v>0</v>
      </c>
      <c r="S44" s="127">
        <f t="shared" si="27"/>
        <v>0</v>
      </c>
      <c r="T44" s="127">
        <f t="shared" si="27"/>
        <v>0</v>
      </c>
      <c r="U44" s="127">
        <f t="shared" si="27"/>
        <v>0</v>
      </c>
      <c r="V44" s="127">
        <f t="shared" si="27"/>
        <v>0</v>
      </c>
      <c r="W44" s="127">
        <f t="shared" si="27"/>
        <v>0</v>
      </c>
      <c r="X44" s="127">
        <f t="shared" si="27"/>
        <v>0</v>
      </c>
      <c r="Y44" s="127">
        <f t="shared" si="27"/>
        <v>0</v>
      </c>
      <c r="Z44" s="127">
        <f t="shared" si="27"/>
        <v>0</v>
      </c>
      <c r="AA44" s="127">
        <f t="shared" si="27"/>
        <v>0</v>
      </c>
      <c r="AB44" s="127">
        <f t="shared" si="27"/>
        <v>0</v>
      </c>
      <c r="AC44" s="243"/>
    </row>
    <row r="45" spans="1:34" ht="15.75" hidden="1" customHeight="1" x14ac:dyDescent="0.4">
      <c r="A45" s="287">
        <f>+A43+1</f>
        <v>21</v>
      </c>
      <c r="B45" s="253">
        <f>+STUD!B22</f>
        <v>0</v>
      </c>
      <c r="C45" s="244">
        <f>SUM(D46:AB46)</f>
        <v>0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33"/>
      <c r="Y45" s="133"/>
      <c r="Z45" s="133"/>
      <c r="AA45" s="133"/>
      <c r="AB45" s="133"/>
      <c r="AC45" s="243">
        <f>SUM(D46:AB46)</f>
        <v>0</v>
      </c>
    </row>
    <row r="46" spans="1:34" ht="15.75" hidden="1" customHeight="1" x14ac:dyDescent="0.4">
      <c r="A46" s="242"/>
      <c r="B46" s="253"/>
      <c r="C46" s="245"/>
      <c r="D46" s="127">
        <f t="shared" ref="D46:AB46" si="28">IF(IFERROR(IF(VLOOKUP(D45,D$151:D$155,1,0)&gt;=1,D$150,0),D45)=D$132,D$136,IF(IFERROR(IF(VLOOKUP(D45,D$151:D$155,1,0)&gt;=1,D$150,0),D45)=D$139,D$142,IF(IFERROR(IF(VLOOKUP(D45,D$151:D$155,1,0)&gt;=1,D$150,0),D45)=D$145,D$147,0)))</f>
        <v>0</v>
      </c>
      <c r="E46" s="127">
        <f t="shared" si="28"/>
        <v>0</v>
      </c>
      <c r="F46" s="127">
        <f t="shared" si="28"/>
        <v>0</v>
      </c>
      <c r="G46" s="127">
        <f t="shared" si="28"/>
        <v>0</v>
      </c>
      <c r="H46" s="127">
        <f t="shared" si="28"/>
        <v>0</v>
      </c>
      <c r="I46" s="127">
        <f t="shared" si="28"/>
        <v>0</v>
      </c>
      <c r="J46" s="127">
        <f t="shared" si="28"/>
        <v>0</v>
      </c>
      <c r="K46" s="127">
        <f t="shared" si="28"/>
        <v>0</v>
      </c>
      <c r="L46" s="127">
        <f t="shared" si="28"/>
        <v>0</v>
      </c>
      <c r="M46" s="127">
        <f t="shared" si="28"/>
        <v>0</v>
      </c>
      <c r="N46" s="127">
        <f t="shared" si="28"/>
        <v>0</v>
      </c>
      <c r="O46" s="127">
        <f t="shared" si="28"/>
        <v>0</v>
      </c>
      <c r="P46" s="127">
        <f t="shared" si="28"/>
        <v>0</v>
      </c>
      <c r="Q46" s="127">
        <f t="shared" si="28"/>
        <v>0</v>
      </c>
      <c r="R46" s="127">
        <f t="shared" si="28"/>
        <v>0</v>
      </c>
      <c r="S46" s="127">
        <f t="shared" si="28"/>
        <v>0</v>
      </c>
      <c r="T46" s="127">
        <f t="shared" si="28"/>
        <v>0</v>
      </c>
      <c r="U46" s="127">
        <f t="shared" si="28"/>
        <v>0</v>
      </c>
      <c r="V46" s="127">
        <f t="shared" si="28"/>
        <v>0</v>
      </c>
      <c r="W46" s="127">
        <f t="shared" si="28"/>
        <v>0</v>
      </c>
      <c r="X46" s="127">
        <f t="shared" si="28"/>
        <v>0</v>
      </c>
      <c r="Y46" s="127">
        <f t="shared" si="28"/>
        <v>0</v>
      </c>
      <c r="Z46" s="127">
        <f t="shared" si="28"/>
        <v>0</v>
      </c>
      <c r="AA46" s="127">
        <f t="shared" si="28"/>
        <v>0</v>
      </c>
      <c r="AB46" s="127">
        <f t="shared" si="28"/>
        <v>0</v>
      </c>
      <c r="AC46" s="243"/>
    </row>
    <row r="47" spans="1:34" ht="15.75" hidden="1" customHeight="1" x14ac:dyDescent="0.4">
      <c r="A47" s="287">
        <f>+A45+1</f>
        <v>22</v>
      </c>
      <c r="B47" s="253">
        <f>+STUD!B23</f>
        <v>0</v>
      </c>
      <c r="C47" s="244">
        <f>SUM(D48:AB48)</f>
        <v>0</v>
      </c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33"/>
      <c r="Y47" s="133"/>
      <c r="Z47" s="133"/>
      <c r="AA47" s="133"/>
      <c r="AB47" s="133"/>
      <c r="AC47" s="243">
        <f>SUM(D48:AB48)</f>
        <v>0</v>
      </c>
    </row>
    <row r="48" spans="1:34" ht="15.75" hidden="1" customHeight="1" x14ac:dyDescent="0.4">
      <c r="A48" s="242"/>
      <c r="B48" s="253"/>
      <c r="C48" s="245"/>
      <c r="D48" s="127">
        <f t="shared" ref="D48:AB48" si="29">IF(IFERROR(IF(VLOOKUP(D47,D$151:D$155,1,0)&gt;=1,D$150,0),D47)=D$132,D$136,IF(IFERROR(IF(VLOOKUP(D47,D$151:D$155,1,0)&gt;=1,D$150,0),D47)=D$139,D$142,IF(IFERROR(IF(VLOOKUP(D47,D$151:D$155,1,0)&gt;=1,D$150,0),D47)=D$145,D$147,0)))</f>
        <v>0</v>
      </c>
      <c r="E48" s="127">
        <f t="shared" si="29"/>
        <v>0</v>
      </c>
      <c r="F48" s="127">
        <f t="shared" si="29"/>
        <v>0</v>
      </c>
      <c r="G48" s="127">
        <f t="shared" si="29"/>
        <v>0</v>
      </c>
      <c r="H48" s="127">
        <f t="shared" si="29"/>
        <v>0</v>
      </c>
      <c r="I48" s="127">
        <f t="shared" si="29"/>
        <v>0</v>
      </c>
      <c r="J48" s="127">
        <f t="shared" si="29"/>
        <v>0</v>
      </c>
      <c r="K48" s="127">
        <f t="shared" si="29"/>
        <v>0</v>
      </c>
      <c r="L48" s="127">
        <f t="shared" si="29"/>
        <v>0</v>
      </c>
      <c r="M48" s="127">
        <f t="shared" si="29"/>
        <v>0</v>
      </c>
      <c r="N48" s="127">
        <f t="shared" si="29"/>
        <v>0</v>
      </c>
      <c r="O48" s="127">
        <f t="shared" si="29"/>
        <v>0</v>
      </c>
      <c r="P48" s="127">
        <f t="shared" si="29"/>
        <v>0</v>
      </c>
      <c r="Q48" s="127">
        <f t="shared" si="29"/>
        <v>0</v>
      </c>
      <c r="R48" s="127">
        <f t="shared" si="29"/>
        <v>0</v>
      </c>
      <c r="S48" s="127">
        <f t="shared" si="29"/>
        <v>0</v>
      </c>
      <c r="T48" s="127">
        <f t="shared" si="29"/>
        <v>0</v>
      </c>
      <c r="U48" s="127">
        <f t="shared" si="29"/>
        <v>0</v>
      </c>
      <c r="V48" s="127">
        <f t="shared" si="29"/>
        <v>0</v>
      </c>
      <c r="W48" s="127">
        <f t="shared" si="29"/>
        <v>0</v>
      </c>
      <c r="X48" s="127">
        <f t="shared" si="29"/>
        <v>0</v>
      </c>
      <c r="Y48" s="127">
        <f t="shared" si="29"/>
        <v>0</v>
      </c>
      <c r="Z48" s="127">
        <f t="shared" si="29"/>
        <v>0</v>
      </c>
      <c r="AA48" s="127">
        <f t="shared" si="29"/>
        <v>0</v>
      </c>
      <c r="AB48" s="127">
        <f t="shared" si="29"/>
        <v>0</v>
      </c>
      <c r="AC48" s="243"/>
    </row>
    <row r="49" spans="1:29" ht="15.75" hidden="1" customHeight="1" x14ac:dyDescent="0.4">
      <c r="A49" s="287">
        <f>+A47+1</f>
        <v>23</v>
      </c>
      <c r="B49" s="253">
        <f>+STUD!B24</f>
        <v>0</v>
      </c>
      <c r="C49" s="244">
        <f>SUM(D50:AB50)</f>
        <v>0</v>
      </c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33"/>
      <c r="Y49" s="133"/>
      <c r="Z49" s="133"/>
      <c r="AA49" s="133"/>
      <c r="AB49" s="133"/>
      <c r="AC49" s="243">
        <f>SUM(D50:AB50)</f>
        <v>0</v>
      </c>
    </row>
    <row r="50" spans="1:29" ht="15.75" hidden="1" customHeight="1" x14ac:dyDescent="0.4">
      <c r="A50" s="242"/>
      <c r="B50" s="253"/>
      <c r="C50" s="245"/>
      <c r="D50" s="127">
        <f t="shared" ref="D50:AB50" si="30">IF(IFERROR(IF(VLOOKUP(D49,D$151:D$155,1,0)&gt;=1,D$150,0),D49)=D$132,D$136,IF(IFERROR(IF(VLOOKUP(D49,D$151:D$155,1,0)&gt;=1,D$150,0),D49)=D$139,D$142,IF(IFERROR(IF(VLOOKUP(D49,D$151:D$155,1,0)&gt;=1,D$150,0),D49)=D$145,D$147,0)))</f>
        <v>0</v>
      </c>
      <c r="E50" s="127">
        <f t="shared" si="30"/>
        <v>0</v>
      </c>
      <c r="F50" s="127">
        <f t="shared" si="30"/>
        <v>0</v>
      </c>
      <c r="G50" s="127">
        <f t="shared" si="30"/>
        <v>0</v>
      </c>
      <c r="H50" s="127">
        <f t="shared" si="30"/>
        <v>0</v>
      </c>
      <c r="I50" s="127">
        <f t="shared" si="30"/>
        <v>0</v>
      </c>
      <c r="J50" s="127">
        <f t="shared" si="30"/>
        <v>0</v>
      </c>
      <c r="K50" s="127">
        <f t="shared" si="30"/>
        <v>0</v>
      </c>
      <c r="L50" s="127">
        <f t="shared" si="30"/>
        <v>0</v>
      </c>
      <c r="M50" s="127">
        <f t="shared" si="30"/>
        <v>0</v>
      </c>
      <c r="N50" s="127">
        <f t="shared" si="30"/>
        <v>0</v>
      </c>
      <c r="O50" s="127">
        <f t="shared" si="30"/>
        <v>0</v>
      </c>
      <c r="P50" s="127">
        <f t="shared" si="30"/>
        <v>0</v>
      </c>
      <c r="Q50" s="127">
        <f t="shared" si="30"/>
        <v>0</v>
      </c>
      <c r="R50" s="127">
        <f t="shared" si="30"/>
        <v>0</v>
      </c>
      <c r="S50" s="127">
        <f t="shared" si="30"/>
        <v>0</v>
      </c>
      <c r="T50" s="127">
        <f t="shared" si="30"/>
        <v>0</v>
      </c>
      <c r="U50" s="127">
        <f t="shared" si="30"/>
        <v>0</v>
      </c>
      <c r="V50" s="127">
        <f t="shared" si="30"/>
        <v>0</v>
      </c>
      <c r="W50" s="127">
        <f t="shared" si="30"/>
        <v>0</v>
      </c>
      <c r="X50" s="127">
        <f t="shared" si="30"/>
        <v>0</v>
      </c>
      <c r="Y50" s="127">
        <f t="shared" si="30"/>
        <v>0</v>
      </c>
      <c r="Z50" s="127">
        <f t="shared" si="30"/>
        <v>0</v>
      </c>
      <c r="AA50" s="127">
        <f t="shared" si="30"/>
        <v>0</v>
      </c>
      <c r="AB50" s="127">
        <f t="shared" si="30"/>
        <v>0</v>
      </c>
      <c r="AC50" s="243"/>
    </row>
    <row r="51" spans="1:29" ht="15.75" hidden="1" customHeight="1" x14ac:dyDescent="0.4">
      <c r="A51" s="287">
        <f>+A49+1</f>
        <v>24</v>
      </c>
      <c r="B51" s="253">
        <f>+STUD!B25</f>
        <v>0</v>
      </c>
      <c r="C51" s="244">
        <f>SUM(D52:AB52)</f>
        <v>0</v>
      </c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33"/>
      <c r="Y51" s="133"/>
      <c r="Z51" s="133"/>
      <c r="AA51" s="133"/>
      <c r="AB51" s="133"/>
      <c r="AC51" s="243">
        <f>SUM(D52:AB52)</f>
        <v>0</v>
      </c>
    </row>
    <row r="52" spans="1:29" ht="15.75" hidden="1" customHeight="1" x14ac:dyDescent="0.4">
      <c r="A52" s="242"/>
      <c r="B52" s="253"/>
      <c r="C52" s="245"/>
      <c r="D52" s="127">
        <f t="shared" ref="D52:AB52" si="31">IF(IFERROR(IF(VLOOKUP(D51,D$151:D$155,1,0)&gt;=1,D$150,0),D51)=D$132,D$136,IF(IFERROR(IF(VLOOKUP(D51,D$151:D$155,1,0)&gt;=1,D$150,0),D51)=D$139,D$142,IF(IFERROR(IF(VLOOKUP(D51,D$151:D$155,1,0)&gt;=1,D$150,0),D51)=D$145,D$147,0)))</f>
        <v>0</v>
      </c>
      <c r="E52" s="127">
        <f t="shared" si="31"/>
        <v>0</v>
      </c>
      <c r="F52" s="127">
        <f t="shared" si="31"/>
        <v>0</v>
      </c>
      <c r="G52" s="127">
        <f t="shared" si="31"/>
        <v>0</v>
      </c>
      <c r="H52" s="127">
        <f t="shared" si="31"/>
        <v>0</v>
      </c>
      <c r="I52" s="127">
        <f t="shared" si="31"/>
        <v>0</v>
      </c>
      <c r="J52" s="127">
        <f t="shared" si="31"/>
        <v>0</v>
      </c>
      <c r="K52" s="127">
        <f t="shared" si="31"/>
        <v>0</v>
      </c>
      <c r="L52" s="127">
        <f t="shared" si="31"/>
        <v>0</v>
      </c>
      <c r="M52" s="127">
        <f t="shared" si="31"/>
        <v>0</v>
      </c>
      <c r="N52" s="127">
        <f t="shared" si="31"/>
        <v>0</v>
      </c>
      <c r="O52" s="127">
        <f t="shared" si="31"/>
        <v>0</v>
      </c>
      <c r="P52" s="127">
        <f t="shared" si="31"/>
        <v>0</v>
      </c>
      <c r="Q52" s="127">
        <f t="shared" si="31"/>
        <v>0</v>
      </c>
      <c r="R52" s="127">
        <f t="shared" si="31"/>
        <v>0</v>
      </c>
      <c r="S52" s="127">
        <f t="shared" si="31"/>
        <v>0</v>
      </c>
      <c r="T52" s="127">
        <f t="shared" si="31"/>
        <v>0</v>
      </c>
      <c r="U52" s="127">
        <f t="shared" si="31"/>
        <v>0</v>
      </c>
      <c r="V52" s="127">
        <f t="shared" si="31"/>
        <v>0</v>
      </c>
      <c r="W52" s="127">
        <f t="shared" si="31"/>
        <v>0</v>
      </c>
      <c r="X52" s="127">
        <f t="shared" si="31"/>
        <v>0</v>
      </c>
      <c r="Y52" s="127">
        <f t="shared" si="31"/>
        <v>0</v>
      </c>
      <c r="Z52" s="127">
        <f t="shared" si="31"/>
        <v>0</v>
      </c>
      <c r="AA52" s="127">
        <f t="shared" si="31"/>
        <v>0</v>
      </c>
      <c r="AB52" s="127">
        <f t="shared" si="31"/>
        <v>0</v>
      </c>
      <c r="AC52" s="243"/>
    </row>
    <row r="53" spans="1:29" ht="15.75" hidden="1" customHeight="1" x14ac:dyDescent="0.4">
      <c r="A53" s="287">
        <f>+A51+1</f>
        <v>25</v>
      </c>
      <c r="B53" s="253">
        <f>+STUD!B26</f>
        <v>0</v>
      </c>
      <c r="C53" s="244">
        <f>SUM(D54:AB54)</f>
        <v>0</v>
      </c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33"/>
      <c r="Y53" s="133"/>
      <c r="Z53" s="133"/>
      <c r="AA53" s="133"/>
      <c r="AB53" s="133"/>
      <c r="AC53" s="243">
        <f>SUM(D54:AB54)</f>
        <v>0</v>
      </c>
    </row>
    <row r="54" spans="1:29" ht="15.75" hidden="1" customHeight="1" x14ac:dyDescent="0.4">
      <c r="A54" s="242"/>
      <c r="B54" s="253"/>
      <c r="C54" s="245"/>
      <c r="D54" s="127">
        <f t="shared" ref="D54:AB54" si="32">IF(IFERROR(IF(VLOOKUP(D53,D$151:D$155,1,0)&gt;=1,D$150,0),D53)=D$132,D$136,IF(IFERROR(IF(VLOOKUP(D53,D$151:D$155,1,0)&gt;=1,D$150,0),D53)=D$139,D$142,IF(IFERROR(IF(VLOOKUP(D53,D$151:D$155,1,0)&gt;=1,D$150,0),D53)=D$145,D$147,0)))</f>
        <v>0</v>
      </c>
      <c r="E54" s="127">
        <f t="shared" si="32"/>
        <v>0</v>
      </c>
      <c r="F54" s="127">
        <f t="shared" si="32"/>
        <v>0</v>
      </c>
      <c r="G54" s="127">
        <f t="shared" si="32"/>
        <v>0</v>
      </c>
      <c r="H54" s="127">
        <f t="shared" si="32"/>
        <v>0</v>
      </c>
      <c r="I54" s="127">
        <f t="shared" si="32"/>
        <v>0</v>
      </c>
      <c r="J54" s="127">
        <f t="shared" si="32"/>
        <v>0</v>
      </c>
      <c r="K54" s="127">
        <f t="shared" si="32"/>
        <v>0</v>
      </c>
      <c r="L54" s="127">
        <f t="shared" si="32"/>
        <v>0</v>
      </c>
      <c r="M54" s="127">
        <f t="shared" si="32"/>
        <v>0</v>
      </c>
      <c r="N54" s="127">
        <f t="shared" si="32"/>
        <v>0</v>
      </c>
      <c r="O54" s="127">
        <f t="shared" si="32"/>
        <v>0</v>
      </c>
      <c r="P54" s="127">
        <f t="shared" si="32"/>
        <v>0</v>
      </c>
      <c r="Q54" s="127">
        <f t="shared" si="32"/>
        <v>0</v>
      </c>
      <c r="R54" s="127">
        <f t="shared" si="32"/>
        <v>0</v>
      </c>
      <c r="S54" s="127">
        <f t="shared" si="32"/>
        <v>0</v>
      </c>
      <c r="T54" s="127">
        <f t="shared" si="32"/>
        <v>0</v>
      </c>
      <c r="U54" s="127">
        <f t="shared" si="32"/>
        <v>0</v>
      </c>
      <c r="V54" s="127">
        <f t="shared" si="32"/>
        <v>0</v>
      </c>
      <c r="W54" s="127">
        <f t="shared" si="32"/>
        <v>0</v>
      </c>
      <c r="X54" s="127">
        <f t="shared" si="32"/>
        <v>0</v>
      </c>
      <c r="Y54" s="127">
        <f t="shared" si="32"/>
        <v>0</v>
      </c>
      <c r="Z54" s="127">
        <f t="shared" si="32"/>
        <v>0</v>
      </c>
      <c r="AA54" s="127">
        <f t="shared" si="32"/>
        <v>0</v>
      </c>
      <c r="AB54" s="127">
        <f t="shared" si="32"/>
        <v>0</v>
      </c>
      <c r="AC54" s="243"/>
    </row>
    <row r="55" spans="1:29" ht="15.75" hidden="1" customHeight="1" x14ac:dyDescent="0.4">
      <c r="A55" s="287">
        <f>+A53+1</f>
        <v>26</v>
      </c>
      <c r="B55" s="253">
        <f>+STUD!B27</f>
        <v>0</v>
      </c>
      <c r="C55" s="244">
        <f>SUM(D56:AB56)</f>
        <v>0</v>
      </c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33"/>
      <c r="Y55" s="133"/>
      <c r="Z55" s="133"/>
      <c r="AA55" s="133"/>
      <c r="AB55" s="133"/>
      <c r="AC55" s="243">
        <f>SUM(D56:AB56)</f>
        <v>0</v>
      </c>
    </row>
    <row r="56" spans="1:29" ht="15.75" hidden="1" customHeight="1" x14ac:dyDescent="0.4">
      <c r="A56" s="242"/>
      <c r="B56" s="253"/>
      <c r="C56" s="245"/>
      <c r="D56" s="127">
        <f t="shared" ref="D56:AB56" si="33">IF(IFERROR(IF(VLOOKUP(D55,D$151:D$155,1,0)&gt;=1,D$150,0),D55)=D$132,D$136,IF(IFERROR(IF(VLOOKUP(D55,D$151:D$155,1,0)&gt;=1,D$150,0),D55)=D$139,D$142,IF(IFERROR(IF(VLOOKUP(D55,D$151:D$155,1,0)&gt;=1,D$150,0),D55)=D$145,D$147,0)))</f>
        <v>0</v>
      </c>
      <c r="E56" s="127">
        <f t="shared" si="33"/>
        <v>0</v>
      </c>
      <c r="F56" s="127">
        <f t="shared" si="33"/>
        <v>0</v>
      </c>
      <c r="G56" s="127">
        <f t="shared" si="33"/>
        <v>0</v>
      </c>
      <c r="H56" s="127">
        <f t="shared" si="33"/>
        <v>0</v>
      </c>
      <c r="I56" s="127">
        <f t="shared" si="33"/>
        <v>0</v>
      </c>
      <c r="J56" s="127">
        <f t="shared" si="33"/>
        <v>0</v>
      </c>
      <c r="K56" s="127">
        <f t="shared" si="33"/>
        <v>0</v>
      </c>
      <c r="L56" s="127">
        <f t="shared" si="33"/>
        <v>0</v>
      </c>
      <c r="M56" s="127">
        <f t="shared" si="33"/>
        <v>0</v>
      </c>
      <c r="N56" s="127">
        <f t="shared" si="33"/>
        <v>0</v>
      </c>
      <c r="O56" s="127">
        <f t="shared" si="33"/>
        <v>0</v>
      </c>
      <c r="P56" s="127">
        <f t="shared" si="33"/>
        <v>0</v>
      </c>
      <c r="Q56" s="127">
        <f t="shared" si="33"/>
        <v>0</v>
      </c>
      <c r="R56" s="127">
        <f t="shared" si="33"/>
        <v>0</v>
      </c>
      <c r="S56" s="127">
        <f t="shared" si="33"/>
        <v>0</v>
      </c>
      <c r="T56" s="127">
        <f t="shared" si="33"/>
        <v>0</v>
      </c>
      <c r="U56" s="127">
        <f t="shared" si="33"/>
        <v>0</v>
      </c>
      <c r="V56" s="127">
        <f t="shared" si="33"/>
        <v>0</v>
      </c>
      <c r="W56" s="127">
        <f t="shared" si="33"/>
        <v>0</v>
      </c>
      <c r="X56" s="127">
        <f t="shared" si="33"/>
        <v>0</v>
      </c>
      <c r="Y56" s="127">
        <f t="shared" si="33"/>
        <v>0</v>
      </c>
      <c r="Z56" s="127">
        <f t="shared" si="33"/>
        <v>0</v>
      </c>
      <c r="AA56" s="127">
        <f t="shared" si="33"/>
        <v>0</v>
      </c>
      <c r="AB56" s="127">
        <f t="shared" si="33"/>
        <v>0</v>
      </c>
      <c r="AC56" s="243"/>
    </row>
    <row r="57" spans="1:29" ht="15.75" hidden="1" customHeight="1" x14ac:dyDescent="0.4">
      <c r="A57" s="287">
        <f>+A55+1</f>
        <v>27</v>
      </c>
      <c r="B57" s="253">
        <f>+STUD!B28</f>
        <v>0</v>
      </c>
      <c r="C57" s="244">
        <f>SUM(D58:AB58)</f>
        <v>0</v>
      </c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33"/>
      <c r="Y57" s="133"/>
      <c r="Z57" s="133"/>
      <c r="AA57" s="133"/>
      <c r="AB57" s="133"/>
      <c r="AC57" s="243">
        <f>SUM(D58:AB58)</f>
        <v>0</v>
      </c>
    </row>
    <row r="58" spans="1:29" ht="15.75" hidden="1" customHeight="1" x14ac:dyDescent="0.4">
      <c r="A58" s="242"/>
      <c r="B58" s="253"/>
      <c r="C58" s="245"/>
      <c r="D58" s="127">
        <f t="shared" ref="D58:AB58" si="34">IF(IFERROR(IF(VLOOKUP(D57,D$151:D$155,1,0)&gt;=1,D$150,0),D57)=D$132,D$136,IF(IFERROR(IF(VLOOKUP(D57,D$151:D$155,1,0)&gt;=1,D$150,0),D57)=D$139,D$142,IF(IFERROR(IF(VLOOKUP(D57,D$151:D$155,1,0)&gt;=1,D$150,0),D57)=D$145,D$147,0)))</f>
        <v>0</v>
      </c>
      <c r="E58" s="127">
        <f t="shared" si="34"/>
        <v>0</v>
      </c>
      <c r="F58" s="127">
        <f t="shared" si="34"/>
        <v>0</v>
      </c>
      <c r="G58" s="127">
        <f t="shared" si="34"/>
        <v>0</v>
      </c>
      <c r="H58" s="127">
        <f t="shared" si="34"/>
        <v>0</v>
      </c>
      <c r="I58" s="127">
        <f t="shared" si="34"/>
        <v>0</v>
      </c>
      <c r="J58" s="127">
        <f t="shared" si="34"/>
        <v>0</v>
      </c>
      <c r="K58" s="127">
        <f t="shared" si="34"/>
        <v>0</v>
      </c>
      <c r="L58" s="127">
        <f t="shared" si="34"/>
        <v>0</v>
      </c>
      <c r="M58" s="127">
        <f t="shared" si="34"/>
        <v>0</v>
      </c>
      <c r="N58" s="127">
        <f t="shared" si="34"/>
        <v>0</v>
      </c>
      <c r="O58" s="127">
        <f t="shared" si="34"/>
        <v>0</v>
      </c>
      <c r="P58" s="127">
        <f t="shared" si="34"/>
        <v>0</v>
      </c>
      <c r="Q58" s="127">
        <f t="shared" si="34"/>
        <v>0</v>
      </c>
      <c r="R58" s="127">
        <f t="shared" si="34"/>
        <v>0</v>
      </c>
      <c r="S58" s="127">
        <f t="shared" si="34"/>
        <v>0</v>
      </c>
      <c r="T58" s="127">
        <f t="shared" si="34"/>
        <v>0</v>
      </c>
      <c r="U58" s="127">
        <f t="shared" si="34"/>
        <v>0</v>
      </c>
      <c r="V58" s="127">
        <f t="shared" si="34"/>
        <v>0</v>
      </c>
      <c r="W58" s="127">
        <f t="shared" si="34"/>
        <v>0</v>
      </c>
      <c r="X58" s="127">
        <f t="shared" si="34"/>
        <v>0</v>
      </c>
      <c r="Y58" s="127">
        <f t="shared" si="34"/>
        <v>0</v>
      </c>
      <c r="Z58" s="127">
        <f t="shared" si="34"/>
        <v>0</v>
      </c>
      <c r="AA58" s="127">
        <f t="shared" si="34"/>
        <v>0</v>
      </c>
      <c r="AB58" s="127">
        <f t="shared" si="34"/>
        <v>0</v>
      </c>
      <c r="AC58" s="243"/>
    </row>
    <row r="59" spans="1:29" ht="15.75" hidden="1" customHeight="1" x14ac:dyDescent="0.4">
      <c r="A59" s="287">
        <f>+A57+1</f>
        <v>28</v>
      </c>
      <c r="B59" s="253">
        <f>+STUD!B29</f>
        <v>0</v>
      </c>
      <c r="C59" s="244">
        <f>SUM(D60:AB60)</f>
        <v>0</v>
      </c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33"/>
      <c r="Y59" s="133"/>
      <c r="Z59" s="133"/>
      <c r="AA59" s="133"/>
      <c r="AB59" s="133"/>
      <c r="AC59" s="243">
        <f>SUM(D60:AB60)</f>
        <v>0</v>
      </c>
    </row>
    <row r="60" spans="1:29" ht="15.75" hidden="1" customHeight="1" x14ac:dyDescent="0.4">
      <c r="A60" s="242"/>
      <c r="B60" s="253"/>
      <c r="C60" s="245"/>
      <c r="D60" s="127">
        <f t="shared" ref="D60:AB60" si="35">IF(IFERROR(IF(VLOOKUP(D59,D$151:D$155,1,0)&gt;=1,D$150,0),D59)=D$132,D$136,IF(IFERROR(IF(VLOOKUP(D59,D$151:D$155,1,0)&gt;=1,D$150,0),D59)=D$139,D$142,IF(IFERROR(IF(VLOOKUP(D59,D$151:D$155,1,0)&gt;=1,D$150,0),D59)=D$145,D$147,0)))</f>
        <v>0</v>
      </c>
      <c r="E60" s="127">
        <f t="shared" si="35"/>
        <v>0</v>
      </c>
      <c r="F60" s="127">
        <f t="shared" si="35"/>
        <v>0</v>
      </c>
      <c r="G60" s="127">
        <f t="shared" si="35"/>
        <v>0</v>
      </c>
      <c r="H60" s="127">
        <f t="shared" si="35"/>
        <v>0</v>
      </c>
      <c r="I60" s="127">
        <f t="shared" si="35"/>
        <v>0</v>
      </c>
      <c r="J60" s="127">
        <f t="shared" si="35"/>
        <v>0</v>
      </c>
      <c r="K60" s="127">
        <f t="shared" si="35"/>
        <v>0</v>
      </c>
      <c r="L60" s="127">
        <f t="shared" si="35"/>
        <v>0</v>
      </c>
      <c r="M60" s="127">
        <f t="shared" si="35"/>
        <v>0</v>
      </c>
      <c r="N60" s="127">
        <f t="shared" si="35"/>
        <v>0</v>
      </c>
      <c r="O60" s="127">
        <f t="shared" si="35"/>
        <v>0</v>
      </c>
      <c r="P60" s="127">
        <f t="shared" si="35"/>
        <v>0</v>
      </c>
      <c r="Q60" s="127">
        <f t="shared" si="35"/>
        <v>0</v>
      </c>
      <c r="R60" s="127">
        <f t="shared" si="35"/>
        <v>0</v>
      </c>
      <c r="S60" s="127">
        <f t="shared" si="35"/>
        <v>0</v>
      </c>
      <c r="T60" s="127">
        <f t="shared" si="35"/>
        <v>0</v>
      </c>
      <c r="U60" s="127">
        <f t="shared" si="35"/>
        <v>0</v>
      </c>
      <c r="V60" s="127">
        <f t="shared" si="35"/>
        <v>0</v>
      </c>
      <c r="W60" s="127">
        <f t="shared" si="35"/>
        <v>0</v>
      </c>
      <c r="X60" s="127">
        <f t="shared" si="35"/>
        <v>0</v>
      </c>
      <c r="Y60" s="127">
        <f t="shared" si="35"/>
        <v>0</v>
      </c>
      <c r="Z60" s="127">
        <f t="shared" si="35"/>
        <v>0</v>
      </c>
      <c r="AA60" s="127">
        <f t="shared" si="35"/>
        <v>0</v>
      </c>
      <c r="AB60" s="127">
        <f t="shared" si="35"/>
        <v>0</v>
      </c>
      <c r="AC60" s="243"/>
    </row>
    <row r="61" spans="1:29" ht="15.75" hidden="1" customHeight="1" x14ac:dyDescent="0.4">
      <c r="A61" s="287">
        <f>+A59+1</f>
        <v>29</v>
      </c>
      <c r="B61" s="253">
        <f>+STUD!B30</f>
        <v>0</v>
      </c>
      <c r="C61" s="244">
        <f>SUM(D62:AB62)</f>
        <v>0</v>
      </c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33"/>
      <c r="Y61" s="133"/>
      <c r="Z61" s="133"/>
      <c r="AA61" s="133"/>
      <c r="AB61" s="133"/>
      <c r="AC61" s="243">
        <f>SUM(D62:AB62)</f>
        <v>0</v>
      </c>
    </row>
    <row r="62" spans="1:29" ht="15.75" hidden="1" customHeight="1" x14ac:dyDescent="0.4">
      <c r="A62" s="242"/>
      <c r="B62" s="253"/>
      <c r="C62" s="245"/>
      <c r="D62" s="127">
        <f t="shared" ref="D62:AB62" si="36">IF(IFERROR(IF(VLOOKUP(D61,D$151:D$155,1,0)&gt;=1,D$150,0),D61)=D$132,D$136,IF(IFERROR(IF(VLOOKUP(D61,D$151:D$155,1,0)&gt;=1,D$150,0),D61)=D$139,D$142,IF(IFERROR(IF(VLOOKUP(D61,D$151:D$155,1,0)&gt;=1,D$150,0),D61)=D$145,D$147,0)))</f>
        <v>0</v>
      </c>
      <c r="E62" s="127">
        <f t="shared" si="36"/>
        <v>0</v>
      </c>
      <c r="F62" s="127">
        <f t="shared" si="36"/>
        <v>0</v>
      </c>
      <c r="G62" s="127">
        <f t="shared" si="36"/>
        <v>0</v>
      </c>
      <c r="H62" s="127">
        <f t="shared" si="36"/>
        <v>0</v>
      </c>
      <c r="I62" s="127">
        <f t="shared" si="36"/>
        <v>0</v>
      </c>
      <c r="J62" s="127">
        <f t="shared" si="36"/>
        <v>0</v>
      </c>
      <c r="K62" s="127">
        <f t="shared" si="36"/>
        <v>0</v>
      </c>
      <c r="L62" s="127">
        <f t="shared" si="36"/>
        <v>0</v>
      </c>
      <c r="M62" s="127">
        <f t="shared" si="36"/>
        <v>0</v>
      </c>
      <c r="N62" s="127">
        <f t="shared" si="36"/>
        <v>0</v>
      </c>
      <c r="O62" s="127">
        <f t="shared" si="36"/>
        <v>0</v>
      </c>
      <c r="P62" s="127">
        <f t="shared" si="36"/>
        <v>0</v>
      </c>
      <c r="Q62" s="127">
        <f t="shared" si="36"/>
        <v>0</v>
      </c>
      <c r="R62" s="127">
        <f t="shared" si="36"/>
        <v>0</v>
      </c>
      <c r="S62" s="127">
        <f t="shared" si="36"/>
        <v>0</v>
      </c>
      <c r="T62" s="127">
        <f t="shared" si="36"/>
        <v>0</v>
      </c>
      <c r="U62" s="127">
        <f t="shared" si="36"/>
        <v>0</v>
      </c>
      <c r="V62" s="127">
        <f t="shared" si="36"/>
        <v>0</v>
      </c>
      <c r="W62" s="127">
        <f t="shared" si="36"/>
        <v>0</v>
      </c>
      <c r="X62" s="127">
        <f t="shared" si="36"/>
        <v>0</v>
      </c>
      <c r="Y62" s="127">
        <f t="shared" si="36"/>
        <v>0</v>
      </c>
      <c r="Z62" s="127">
        <f t="shared" si="36"/>
        <v>0</v>
      </c>
      <c r="AA62" s="127">
        <f t="shared" si="36"/>
        <v>0</v>
      </c>
      <c r="AB62" s="127">
        <f t="shared" si="36"/>
        <v>0</v>
      </c>
      <c r="AC62" s="243"/>
    </row>
    <row r="63" spans="1:29" ht="15.75" hidden="1" customHeight="1" x14ac:dyDescent="0.4">
      <c r="A63" s="287">
        <f>+A61+1</f>
        <v>30</v>
      </c>
      <c r="B63" s="253">
        <f>+STUD!B31</f>
        <v>0</v>
      </c>
      <c r="C63" s="244">
        <f>SUM(D64:AB64)</f>
        <v>0</v>
      </c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33"/>
      <c r="Y63" s="133"/>
      <c r="Z63" s="133"/>
      <c r="AA63" s="133"/>
      <c r="AB63" s="133"/>
      <c r="AC63" s="243">
        <f>SUM(D64:AB64)</f>
        <v>0</v>
      </c>
    </row>
    <row r="64" spans="1:29" ht="15" hidden="1" customHeight="1" x14ac:dyDescent="0.4">
      <c r="A64" s="242"/>
      <c r="B64" s="253"/>
      <c r="C64" s="245"/>
      <c r="D64" s="127">
        <f t="shared" ref="D64:AB64" si="37">IF(IFERROR(IF(VLOOKUP(D63,D$151:D$155,1,0)&gt;=1,D$150,0),D63)=D$132,D$136,IF(IFERROR(IF(VLOOKUP(D63,D$151:D$155,1,0)&gt;=1,D$150,0),D63)=D$139,D$142,IF(IFERROR(IF(VLOOKUP(D63,D$151:D$155,1,0)&gt;=1,D$150,0),D63)=D$145,D$147,0)))</f>
        <v>0</v>
      </c>
      <c r="E64" s="127">
        <f t="shared" si="37"/>
        <v>0</v>
      </c>
      <c r="F64" s="127">
        <f t="shared" si="37"/>
        <v>0</v>
      </c>
      <c r="G64" s="127">
        <f t="shared" si="37"/>
        <v>0</v>
      </c>
      <c r="H64" s="127">
        <f t="shared" si="37"/>
        <v>0</v>
      </c>
      <c r="I64" s="127">
        <f t="shared" si="37"/>
        <v>0</v>
      </c>
      <c r="J64" s="127">
        <f t="shared" si="37"/>
        <v>0</v>
      </c>
      <c r="K64" s="127">
        <f t="shared" si="37"/>
        <v>0</v>
      </c>
      <c r="L64" s="127">
        <f t="shared" si="37"/>
        <v>0</v>
      </c>
      <c r="M64" s="127">
        <f t="shared" si="37"/>
        <v>0</v>
      </c>
      <c r="N64" s="127">
        <f t="shared" si="37"/>
        <v>0</v>
      </c>
      <c r="O64" s="127">
        <f t="shared" si="37"/>
        <v>0</v>
      </c>
      <c r="P64" s="127">
        <f t="shared" si="37"/>
        <v>0</v>
      </c>
      <c r="Q64" s="127">
        <f t="shared" si="37"/>
        <v>0</v>
      </c>
      <c r="R64" s="127">
        <f t="shared" si="37"/>
        <v>0</v>
      </c>
      <c r="S64" s="127">
        <f t="shared" si="37"/>
        <v>0</v>
      </c>
      <c r="T64" s="127">
        <f t="shared" si="37"/>
        <v>0</v>
      </c>
      <c r="U64" s="127">
        <f t="shared" si="37"/>
        <v>0</v>
      </c>
      <c r="V64" s="127">
        <f t="shared" si="37"/>
        <v>0</v>
      </c>
      <c r="W64" s="127">
        <f t="shared" si="37"/>
        <v>0</v>
      </c>
      <c r="X64" s="127">
        <f t="shared" si="37"/>
        <v>0</v>
      </c>
      <c r="Y64" s="127">
        <f t="shared" si="37"/>
        <v>0</v>
      </c>
      <c r="Z64" s="127">
        <f t="shared" si="37"/>
        <v>0</v>
      </c>
      <c r="AA64" s="127">
        <f t="shared" si="37"/>
        <v>0</v>
      </c>
      <c r="AB64" s="127">
        <f t="shared" si="37"/>
        <v>0</v>
      </c>
      <c r="AC64" s="243"/>
    </row>
    <row r="65" spans="1:40" ht="15.75" hidden="1" customHeight="1" x14ac:dyDescent="0.4">
      <c r="A65" s="287">
        <f>+A63+1</f>
        <v>31</v>
      </c>
      <c r="B65" s="253">
        <f>+STUD!B32</f>
        <v>0</v>
      </c>
      <c r="C65" s="244">
        <f>SUM(D66:AB66)</f>
        <v>0</v>
      </c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33"/>
      <c r="Y65" s="133"/>
      <c r="Z65" s="133"/>
      <c r="AA65" s="133"/>
      <c r="AB65" s="133"/>
      <c r="AC65" s="243">
        <f>SUM(D66:AB66)</f>
        <v>0</v>
      </c>
    </row>
    <row r="66" spans="1:40" ht="15.75" hidden="1" customHeight="1" x14ac:dyDescent="0.4">
      <c r="A66" s="242"/>
      <c r="B66" s="253"/>
      <c r="C66" s="245"/>
      <c r="D66" s="127">
        <f t="shared" ref="D66:AB66" si="38">IF(IFERROR(IF(VLOOKUP(D65,D$151:D$155,1,0)&gt;=1,D$150,0),D65)=D$132,D$136,IF(IFERROR(IF(VLOOKUP(D65,D$151:D$155,1,0)&gt;=1,D$150,0),D65)=D$139,D$142,IF(IFERROR(IF(VLOOKUP(D65,D$151:D$155,1,0)&gt;=1,D$150,0),D65)=D$145,D$147,0)))</f>
        <v>0</v>
      </c>
      <c r="E66" s="127">
        <f t="shared" si="38"/>
        <v>0</v>
      </c>
      <c r="F66" s="127">
        <f t="shared" si="38"/>
        <v>0</v>
      </c>
      <c r="G66" s="127">
        <f t="shared" si="38"/>
        <v>0</v>
      </c>
      <c r="H66" s="127">
        <f t="shared" si="38"/>
        <v>0</v>
      </c>
      <c r="I66" s="127">
        <f t="shared" si="38"/>
        <v>0</v>
      </c>
      <c r="J66" s="127">
        <f t="shared" si="38"/>
        <v>0</v>
      </c>
      <c r="K66" s="127">
        <f t="shared" si="38"/>
        <v>0</v>
      </c>
      <c r="L66" s="127">
        <f t="shared" si="38"/>
        <v>0</v>
      </c>
      <c r="M66" s="127">
        <f t="shared" si="38"/>
        <v>0</v>
      </c>
      <c r="N66" s="127">
        <f t="shared" si="38"/>
        <v>0</v>
      </c>
      <c r="O66" s="127">
        <f t="shared" si="38"/>
        <v>0</v>
      </c>
      <c r="P66" s="127">
        <f t="shared" si="38"/>
        <v>0</v>
      </c>
      <c r="Q66" s="127">
        <f t="shared" si="38"/>
        <v>0</v>
      </c>
      <c r="R66" s="127">
        <f t="shared" si="38"/>
        <v>0</v>
      </c>
      <c r="S66" s="127">
        <f t="shared" si="38"/>
        <v>0</v>
      </c>
      <c r="T66" s="127">
        <f t="shared" si="38"/>
        <v>0</v>
      </c>
      <c r="U66" s="127">
        <f t="shared" si="38"/>
        <v>0</v>
      </c>
      <c r="V66" s="127">
        <f t="shared" si="38"/>
        <v>0</v>
      </c>
      <c r="W66" s="127">
        <f t="shared" si="38"/>
        <v>0</v>
      </c>
      <c r="X66" s="127">
        <f t="shared" si="38"/>
        <v>0</v>
      </c>
      <c r="Y66" s="127">
        <f t="shared" si="38"/>
        <v>0</v>
      </c>
      <c r="Z66" s="127">
        <f t="shared" si="38"/>
        <v>0</v>
      </c>
      <c r="AA66" s="127">
        <f t="shared" si="38"/>
        <v>0</v>
      </c>
      <c r="AB66" s="127">
        <f t="shared" si="38"/>
        <v>0</v>
      </c>
      <c r="AC66" s="243"/>
    </row>
    <row r="67" spans="1:40" ht="15.75" hidden="1" customHeight="1" x14ac:dyDescent="0.4">
      <c r="A67" s="287">
        <f>+A65+1</f>
        <v>32</v>
      </c>
      <c r="B67" s="253">
        <f>+STUD!B33</f>
        <v>0</v>
      </c>
      <c r="C67" s="244">
        <f>SUM(D68:AB68)</f>
        <v>0</v>
      </c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33"/>
      <c r="Y67" s="133"/>
      <c r="Z67" s="133"/>
      <c r="AA67" s="133"/>
      <c r="AB67" s="133"/>
      <c r="AC67" s="243">
        <f>SUM(D68:AB68)</f>
        <v>0</v>
      </c>
    </row>
    <row r="68" spans="1:40" ht="15.75" hidden="1" customHeight="1" x14ac:dyDescent="0.4">
      <c r="A68" s="242"/>
      <c r="B68" s="253"/>
      <c r="C68" s="245"/>
      <c r="D68" s="127">
        <f t="shared" ref="D68:AB68" si="39">IF(IFERROR(IF(VLOOKUP(D67,D$151:D$155,1,0)&gt;=1,D$150,0),D67)=D$132,D$136,IF(IFERROR(IF(VLOOKUP(D67,D$151:D$155,1,0)&gt;=1,D$150,0),D67)=D$139,D$142,IF(IFERROR(IF(VLOOKUP(D67,D$151:D$155,1,0)&gt;=1,D$150,0),D67)=D$145,D$147,0)))</f>
        <v>0</v>
      </c>
      <c r="E68" s="127">
        <f t="shared" si="39"/>
        <v>0</v>
      </c>
      <c r="F68" s="127">
        <f t="shared" si="39"/>
        <v>0</v>
      </c>
      <c r="G68" s="127">
        <f t="shared" si="39"/>
        <v>0</v>
      </c>
      <c r="H68" s="127">
        <f t="shared" si="39"/>
        <v>0</v>
      </c>
      <c r="I68" s="127">
        <f t="shared" si="39"/>
        <v>0</v>
      </c>
      <c r="J68" s="127">
        <f t="shared" si="39"/>
        <v>0</v>
      </c>
      <c r="K68" s="127">
        <f t="shared" si="39"/>
        <v>0</v>
      </c>
      <c r="L68" s="127">
        <f t="shared" si="39"/>
        <v>0</v>
      </c>
      <c r="M68" s="127">
        <f t="shared" si="39"/>
        <v>0</v>
      </c>
      <c r="N68" s="127">
        <f t="shared" si="39"/>
        <v>0</v>
      </c>
      <c r="O68" s="127">
        <f t="shared" si="39"/>
        <v>0</v>
      </c>
      <c r="P68" s="127">
        <f t="shared" si="39"/>
        <v>0</v>
      </c>
      <c r="Q68" s="127">
        <f t="shared" si="39"/>
        <v>0</v>
      </c>
      <c r="R68" s="127">
        <f t="shared" si="39"/>
        <v>0</v>
      </c>
      <c r="S68" s="127">
        <f t="shared" si="39"/>
        <v>0</v>
      </c>
      <c r="T68" s="127">
        <f t="shared" si="39"/>
        <v>0</v>
      </c>
      <c r="U68" s="127">
        <f t="shared" si="39"/>
        <v>0</v>
      </c>
      <c r="V68" s="127">
        <f t="shared" si="39"/>
        <v>0</v>
      </c>
      <c r="W68" s="127">
        <f t="shared" si="39"/>
        <v>0</v>
      </c>
      <c r="X68" s="127">
        <f t="shared" si="39"/>
        <v>0</v>
      </c>
      <c r="Y68" s="127">
        <f t="shared" si="39"/>
        <v>0</v>
      </c>
      <c r="Z68" s="127">
        <f t="shared" si="39"/>
        <v>0</v>
      </c>
      <c r="AA68" s="127">
        <f t="shared" si="39"/>
        <v>0</v>
      </c>
      <c r="AB68" s="127">
        <f t="shared" si="39"/>
        <v>0</v>
      </c>
      <c r="AC68" s="243"/>
    </row>
    <row r="69" spans="1:40" ht="15.75" customHeight="1" x14ac:dyDescent="0.4">
      <c r="A69" s="272" t="s">
        <v>20</v>
      </c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273"/>
      <c r="P69" s="273"/>
      <c r="Q69" s="273"/>
      <c r="R69" s="273"/>
      <c r="S69" s="273"/>
      <c r="T69" s="273"/>
      <c r="U69" s="273"/>
      <c r="V69" s="273"/>
      <c r="W69" s="273"/>
      <c r="X69" s="273"/>
      <c r="Y69" s="273"/>
      <c r="Z69" s="273"/>
      <c r="AA69" s="273"/>
      <c r="AB69" s="273"/>
      <c r="AC69" s="274"/>
    </row>
    <row r="70" spans="1:40" ht="15.75" customHeight="1" x14ac:dyDescent="0.4">
      <c r="A70" s="275"/>
      <c r="B70" s="276"/>
      <c r="C70" s="276"/>
      <c r="D70" s="276"/>
      <c r="E70" s="276"/>
      <c r="F70" s="276"/>
      <c r="G70" s="276"/>
      <c r="H70" s="276"/>
      <c r="I70" s="276"/>
      <c r="J70" s="276"/>
      <c r="K70" s="276"/>
      <c r="L70" s="276"/>
      <c r="M70" s="276"/>
      <c r="N70" s="276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7"/>
    </row>
    <row r="71" spans="1:40" ht="15.75" customHeight="1" x14ac:dyDescent="0.4">
      <c r="A71" s="278"/>
      <c r="B71" s="279"/>
      <c r="C71" s="279"/>
      <c r="D71" s="279"/>
      <c r="E71" s="279"/>
      <c r="F71" s="279"/>
      <c r="G71" s="279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  <c r="Z71" s="279"/>
      <c r="AA71" s="279"/>
      <c r="AB71" s="279"/>
      <c r="AC71" s="280"/>
    </row>
    <row r="72" spans="1:40" ht="15.75" customHeight="1" x14ac:dyDescent="0.5">
      <c r="A72" s="116" t="s">
        <v>0</v>
      </c>
      <c r="B72" s="116" t="s">
        <v>14</v>
      </c>
      <c r="C72" s="116" t="s">
        <v>19</v>
      </c>
      <c r="D72" s="116">
        <v>1</v>
      </c>
      <c r="E72" s="116">
        <v>2</v>
      </c>
      <c r="F72" s="116">
        <v>3</v>
      </c>
      <c r="G72" s="116">
        <v>4</v>
      </c>
      <c r="H72" s="116">
        <v>5</v>
      </c>
      <c r="I72" s="116">
        <v>6</v>
      </c>
      <c r="J72" s="116">
        <v>7</v>
      </c>
      <c r="K72" s="116">
        <v>8</v>
      </c>
      <c r="L72" s="116">
        <v>9</v>
      </c>
      <c r="M72" s="116">
        <v>10</v>
      </c>
      <c r="N72" s="116">
        <v>11</v>
      </c>
      <c r="O72" s="116">
        <v>12</v>
      </c>
      <c r="P72" s="116">
        <v>13</v>
      </c>
      <c r="Q72" s="116">
        <v>14</v>
      </c>
      <c r="R72" s="116">
        <v>15</v>
      </c>
      <c r="S72" s="116">
        <v>16</v>
      </c>
      <c r="T72" s="116">
        <v>17</v>
      </c>
      <c r="U72" s="116">
        <v>18</v>
      </c>
      <c r="V72" s="116">
        <v>19</v>
      </c>
      <c r="W72" s="116">
        <v>20</v>
      </c>
      <c r="X72" s="116">
        <v>21</v>
      </c>
      <c r="Y72" s="116">
        <v>22</v>
      </c>
      <c r="Z72" s="116">
        <v>23</v>
      </c>
      <c r="AA72" s="116">
        <v>24</v>
      </c>
      <c r="AB72" s="116">
        <v>25</v>
      </c>
      <c r="AC72" s="16" t="s">
        <v>19</v>
      </c>
      <c r="AE72" s="264" t="s">
        <v>53</v>
      </c>
      <c r="AF72" s="265"/>
      <c r="AG72" s="265"/>
      <c r="AH72" s="266"/>
      <c r="AI72" s="52">
        <v>13</v>
      </c>
      <c r="AJ72" s="52"/>
      <c r="AK72" s="52">
        <v>14</v>
      </c>
      <c r="AL72" s="52"/>
      <c r="AM72" s="52">
        <v>15</v>
      </c>
      <c r="AN72" s="52"/>
    </row>
    <row r="73" spans="1:40" ht="15.75" customHeight="1" x14ac:dyDescent="0.5">
      <c r="A73" s="288">
        <v>1</v>
      </c>
      <c r="B73" s="243">
        <f>STUD!F35</f>
        <v>0</v>
      </c>
      <c r="C73" s="244">
        <f>SUM(D74:AB74)</f>
        <v>45.500000000000007</v>
      </c>
      <c r="D73" s="135">
        <v>5</v>
      </c>
      <c r="E73" s="135">
        <v>9</v>
      </c>
      <c r="F73" s="135">
        <v>2</v>
      </c>
      <c r="G73" s="135">
        <v>4</v>
      </c>
      <c r="H73" s="135">
        <v>12</v>
      </c>
      <c r="I73" s="135">
        <v>1</v>
      </c>
      <c r="J73" s="135">
        <v>10</v>
      </c>
      <c r="K73" s="135">
        <v>11</v>
      </c>
      <c r="L73" s="135">
        <v>5</v>
      </c>
      <c r="M73" s="135">
        <v>6</v>
      </c>
      <c r="N73" s="135">
        <v>9</v>
      </c>
      <c r="O73" s="136">
        <v>8</v>
      </c>
      <c r="P73" s="135">
        <v>3</v>
      </c>
      <c r="Q73" s="135">
        <v>9</v>
      </c>
      <c r="R73" s="135">
        <v>12</v>
      </c>
      <c r="S73" s="135">
        <v>1</v>
      </c>
      <c r="T73" s="135">
        <v>9</v>
      </c>
      <c r="U73" s="135">
        <v>13</v>
      </c>
      <c r="V73" s="135">
        <v>1</v>
      </c>
      <c r="W73" s="135"/>
      <c r="X73" s="135"/>
      <c r="Y73" s="135"/>
      <c r="Z73" s="135"/>
      <c r="AA73" s="135"/>
      <c r="AB73" s="135"/>
      <c r="AC73" s="243">
        <f>SUM(D74:AB74)</f>
        <v>45.500000000000007</v>
      </c>
      <c r="AE73" s="141" t="s">
        <v>37</v>
      </c>
      <c r="AF73" s="141" t="s">
        <v>14</v>
      </c>
      <c r="AG73" s="169" t="s">
        <v>15</v>
      </c>
      <c r="AH73" s="169" t="s">
        <v>52</v>
      </c>
      <c r="AI73" s="51" t="str">
        <f>"Prono Carrera "&amp;AI72</f>
        <v>Prono Carrera 13</v>
      </c>
      <c r="AJ73" s="51" t="s">
        <v>42</v>
      </c>
      <c r="AK73" s="51" t="str">
        <f>"Prono Carrera "&amp;AK72</f>
        <v>Prono Carrera 14</v>
      </c>
      <c r="AL73" s="51" t="s">
        <v>42</v>
      </c>
      <c r="AM73" s="51" t="str">
        <f>"Prono Carrera "&amp;AM72</f>
        <v>Prono Carrera 15</v>
      </c>
      <c r="AN73" s="51" t="s">
        <v>42</v>
      </c>
    </row>
    <row r="74" spans="1:40" ht="15.75" customHeight="1" x14ac:dyDescent="0.4">
      <c r="A74" s="242"/>
      <c r="B74" s="243"/>
      <c r="C74" s="245"/>
      <c r="D74" s="138">
        <f t="shared" ref="D74:AB74" si="40">IF(IFERROR(IF(VLOOKUP(D73,D$151:D$155,1,0)&gt;=1,D$150,0),D73)=D$132,D$136,IF(IFERROR(IF(VLOOKUP(D73,D$151:D$155,1,0)&gt;=1,D$150,0),D73)=D$139,D$142,IF(IFERROR(IF(VLOOKUP(D73,D$151:D$155,1,0)&gt;=1,D$150,0),D73)=D$145,D$147,0)))</f>
        <v>4.3000000000000007</v>
      </c>
      <c r="E74" s="138">
        <f t="shared" si="40"/>
        <v>0</v>
      </c>
      <c r="F74" s="138">
        <f t="shared" si="40"/>
        <v>7.1000000000000005</v>
      </c>
      <c r="G74" s="138">
        <f t="shared" si="40"/>
        <v>0</v>
      </c>
      <c r="H74" s="138">
        <f t="shared" si="40"/>
        <v>0</v>
      </c>
      <c r="I74" s="138">
        <f t="shared" si="40"/>
        <v>0</v>
      </c>
      <c r="J74" s="138">
        <f t="shared" si="40"/>
        <v>6.7</v>
      </c>
      <c r="K74" s="138">
        <f t="shared" si="40"/>
        <v>1.6</v>
      </c>
      <c r="L74" s="138">
        <f t="shared" si="40"/>
        <v>0</v>
      </c>
      <c r="M74" s="138">
        <f t="shared" si="40"/>
        <v>8.5</v>
      </c>
      <c r="N74" s="138">
        <f t="shared" si="40"/>
        <v>5.2</v>
      </c>
      <c r="O74" s="138">
        <f t="shared" si="40"/>
        <v>0</v>
      </c>
      <c r="P74" s="138">
        <f t="shared" si="40"/>
        <v>0</v>
      </c>
      <c r="Q74" s="138">
        <f t="shared" si="40"/>
        <v>0</v>
      </c>
      <c r="R74" s="138">
        <f t="shared" si="40"/>
        <v>4</v>
      </c>
      <c r="S74" s="138">
        <f t="shared" si="40"/>
        <v>0</v>
      </c>
      <c r="T74" s="138">
        <f t="shared" si="40"/>
        <v>4</v>
      </c>
      <c r="U74" s="138">
        <f t="shared" si="40"/>
        <v>4.0999999999999996</v>
      </c>
      <c r="V74" s="138">
        <f t="shared" si="40"/>
        <v>0</v>
      </c>
      <c r="W74" s="138">
        <f t="shared" si="40"/>
        <v>0</v>
      </c>
      <c r="X74" s="138">
        <f t="shared" si="40"/>
        <v>0</v>
      </c>
      <c r="Y74" s="138">
        <f t="shared" si="40"/>
        <v>0</v>
      </c>
      <c r="Z74" s="138">
        <f t="shared" si="40"/>
        <v>0</v>
      </c>
      <c r="AA74" s="138">
        <f t="shared" si="40"/>
        <v>0</v>
      </c>
      <c r="AB74" s="138">
        <f t="shared" si="40"/>
        <v>0</v>
      </c>
      <c r="AC74" s="243"/>
      <c r="AE74" s="170">
        <v>1</v>
      </c>
      <c r="AF74" s="171" t="str">
        <f>IF(ISBLANK(STUD!F43)," ",STUD!F43)</f>
        <v xml:space="preserve"> </v>
      </c>
      <c r="AG74" s="183">
        <f t="shared" ref="AG74:AG101" si="41">IFERROR(VLOOKUP(AF74,$B$73:$C$128,2,0),0)</f>
        <v>0</v>
      </c>
      <c r="AH74" s="183"/>
      <c r="AI74" s="53" t="str">
        <f>IFERROR(
   VLOOKUP(AF74, $B$73:$Y$128, CHOOSE($AI$72, 3, 4, 5, 6, 7, 8, 9, 10, 11, 12, 13, 14, 15, 16, 17, 18, 19, 20, 21, 22, 23, 24, 25, 26, 27, 28, 29), 0),
   " "
)</f>
        <v xml:space="preserve"> </v>
      </c>
      <c r="AJ74" s="53" t="str">
        <f>IF(AI74="","",IFERROR(IF(VLOOKUP(AI74,Programa!$V$3:$W$18,2,0)="","",VLOOKUP(AI74,Programa!$V$3:$W$18,2,0)),""))</f>
        <v/>
      </c>
      <c r="AK74" s="53" t="str">
        <f>IFERROR(
   VLOOKUP(AF74, $B$73:$Y$128, CHOOSE($AK$72, 3, 4, 5, 6, 7, 8, 9, 10, 11, 12, 13, 14, 15, 16, 17, 18, 19, 20, 21, 22, 23, 24, 25, 26, 27, 28, 29), 0),
   " "
)</f>
        <v xml:space="preserve"> </v>
      </c>
      <c r="AL74" s="53" t="str">
        <f>IF(AK74="","",IFERROR(IF(VLOOKUP(AK74,Programa!$V$19:$W$34,2,0)="","",VLOOKUP(AK74,Programa!$V$19:$W$34,2,0)),""))</f>
        <v/>
      </c>
      <c r="AM74" s="53" t="str">
        <f>IFERROR(
   VLOOKUP(AF74, $B$73:$Y$128, CHOOSE($AM$72, 3, 4, 5, 6, 7, 8, 9, 10, 11, 12, 13, 14, 15, 16, 17, 18, 19, 20, 21, 22, 23, 24, 25, 26, 27, 28, 29), 0),
   " "
)</f>
        <v xml:space="preserve"> </v>
      </c>
      <c r="AN74" s="53" t="str">
        <f>IF(AM74="","",IFERROR(IF(VLOOKUP(AM74,Programa!$V$35:$W$50,2,0)="","",VLOOKUP(AM74,Programa!$V$35:$W$50,2,0)),""))</f>
        <v/>
      </c>
    </row>
    <row r="75" spans="1:40" ht="15.75" customHeight="1" x14ac:dyDescent="0.4">
      <c r="A75" s="288">
        <f>+A73+1</f>
        <v>2</v>
      </c>
      <c r="B75" s="243">
        <f>STUD!F36</f>
        <v>0</v>
      </c>
      <c r="C75" s="244">
        <f>SUM(D76:AB76)</f>
        <v>20.5</v>
      </c>
      <c r="D75" s="237">
        <v>2</v>
      </c>
      <c r="E75" s="237">
        <v>8</v>
      </c>
      <c r="F75" s="237">
        <v>8</v>
      </c>
      <c r="G75" s="237">
        <v>5</v>
      </c>
      <c r="H75" s="237">
        <v>10</v>
      </c>
      <c r="I75" s="237">
        <v>14</v>
      </c>
      <c r="J75" s="237">
        <v>12</v>
      </c>
      <c r="K75" s="237">
        <v>7</v>
      </c>
      <c r="L75" s="237">
        <v>1</v>
      </c>
      <c r="M75" s="237">
        <v>8</v>
      </c>
      <c r="N75" s="237">
        <v>8</v>
      </c>
      <c r="O75" s="237">
        <v>10</v>
      </c>
      <c r="P75" s="237">
        <v>8</v>
      </c>
      <c r="Q75" s="237">
        <v>7</v>
      </c>
      <c r="R75" s="237">
        <v>13</v>
      </c>
      <c r="S75" s="237">
        <v>14</v>
      </c>
      <c r="T75" s="237">
        <v>7</v>
      </c>
      <c r="U75" s="237">
        <v>11</v>
      </c>
      <c r="V75" s="135">
        <v>6</v>
      </c>
      <c r="W75" s="135"/>
      <c r="X75" s="135"/>
      <c r="Y75" s="135"/>
      <c r="Z75" s="135"/>
      <c r="AA75" s="135"/>
      <c r="AB75" s="135"/>
      <c r="AC75" s="243">
        <f>SUM(D76:AB76)</f>
        <v>20.5</v>
      </c>
      <c r="AE75" s="172">
        <v>2</v>
      </c>
      <c r="AF75" s="171" t="str">
        <f>IF(ISBLANK(STUD!F45)," ",STUD!F45)</f>
        <v xml:space="preserve"> </v>
      </c>
      <c r="AG75" s="183">
        <f t="shared" si="41"/>
        <v>0</v>
      </c>
      <c r="AH75" s="183">
        <f>$AG$74-AG75</f>
        <v>0</v>
      </c>
      <c r="AI75" s="53" t="str">
        <f t="shared" ref="AI75:AI101" si="42">IFERROR(
   VLOOKUP(AF75, $B$73:$Y$128, CHOOSE($AI$72, 3, 4, 5, 6, 7, 8, 9, 10, 11, 12, 13, 14, 15, 16, 17, 18, 19, 20, 21, 22, 23, 24, 25, 26, 27, 28, 29), 0),
   " "
)</f>
        <v xml:space="preserve"> </v>
      </c>
      <c r="AJ75" s="53" t="str">
        <f>IF(AI75="","",IFERROR(IF(VLOOKUP(AI75,Programa!$V$3:$W$18,2,0)="","",VLOOKUP(AI75,Programa!$V$3:$W$18,2,0)),""))</f>
        <v/>
      </c>
      <c r="AK75" s="53" t="str">
        <f t="shared" ref="AK75:AK101" si="43">IFERROR(
   VLOOKUP(AF75, $B$73:$Y$128, CHOOSE($AK$72, 3, 4, 5, 6, 7, 8, 9, 10, 11, 12, 13, 14, 15, 16, 17, 18, 19, 20, 21, 22, 23, 24, 25, 26, 27, 28, 29), 0),
   " "
)</f>
        <v xml:space="preserve"> </v>
      </c>
      <c r="AL75" s="53" t="str">
        <f>IF(AK75="","",IFERROR(IF(VLOOKUP(AK75,Programa!$V$19:$W$34,2,0)="","",VLOOKUP(AK75,Programa!$V$19:$W$34,2,0)),""))</f>
        <v/>
      </c>
      <c r="AM75" s="53" t="str">
        <f t="shared" ref="AM75:AM101" si="44">IFERROR(
   VLOOKUP(AF75, $B$73:$Y$128, CHOOSE($AM$72, 3, 4, 5, 6, 7, 8, 9, 10, 11, 12, 13, 14, 15, 16, 17, 18, 19, 20, 21, 22, 23, 24, 25, 26, 27, 28, 29), 0),
   " "
)</f>
        <v xml:space="preserve"> </v>
      </c>
      <c r="AN75" s="53" t="str">
        <f>IF(AM75="","",IFERROR(IF(VLOOKUP(AM75,Programa!$V$35:$W$50,2,0)="","",VLOOKUP(AM75,Programa!$V$35:$W$50,2,0)),""))</f>
        <v/>
      </c>
    </row>
    <row r="76" spans="1:40" ht="15.75" customHeight="1" x14ac:dyDescent="0.4">
      <c r="A76" s="242"/>
      <c r="B76" s="243"/>
      <c r="C76" s="245"/>
      <c r="D76" s="138">
        <f t="shared" ref="D76:AB76" si="45">IF(IFERROR(IF(VLOOKUP(D75,D$151:D$155,1,0)&gt;=1,D$150,0),D75)=D$132,D$136,IF(IFERROR(IF(VLOOKUP(D75,D$151:D$155,1,0)&gt;=1,D$150,0),D75)=D$139,D$142,IF(IFERROR(IF(VLOOKUP(D75,D$151:D$155,1,0)&gt;=1,D$150,0),D75)=D$145,D$147,0)))</f>
        <v>0</v>
      </c>
      <c r="E76" s="138">
        <f t="shared" si="45"/>
        <v>0</v>
      </c>
      <c r="F76" s="138">
        <f t="shared" si="45"/>
        <v>8.8000000000000007</v>
      </c>
      <c r="G76" s="138">
        <f t="shared" si="45"/>
        <v>3.6</v>
      </c>
      <c r="H76" s="138">
        <f t="shared" si="45"/>
        <v>5.6999999999999993</v>
      </c>
      <c r="I76" s="138">
        <f t="shared" si="45"/>
        <v>0</v>
      </c>
      <c r="J76" s="138">
        <f t="shared" si="45"/>
        <v>2.4</v>
      </c>
      <c r="K76" s="138">
        <f t="shared" si="45"/>
        <v>0</v>
      </c>
      <c r="L76" s="138">
        <f t="shared" si="45"/>
        <v>0</v>
      </c>
      <c r="M76" s="138">
        <f t="shared" si="45"/>
        <v>0</v>
      </c>
      <c r="N76" s="138">
        <f t="shared" si="45"/>
        <v>0</v>
      </c>
      <c r="O76" s="138">
        <f t="shared" si="45"/>
        <v>0</v>
      </c>
      <c r="P76" s="138">
        <f t="shared" si="45"/>
        <v>0</v>
      </c>
      <c r="Q76" s="138">
        <f t="shared" si="45"/>
        <v>0</v>
      </c>
      <c r="R76" s="138">
        <f t="shared" si="45"/>
        <v>0</v>
      </c>
      <c r="S76" s="138">
        <f t="shared" si="45"/>
        <v>0</v>
      </c>
      <c r="T76" s="138">
        <f t="shared" si="45"/>
        <v>0</v>
      </c>
      <c r="U76" s="138">
        <f t="shared" si="45"/>
        <v>0</v>
      </c>
      <c r="V76" s="138">
        <f t="shared" si="45"/>
        <v>0</v>
      </c>
      <c r="W76" s="138">
        <f t="shared" si="45"/>
        <v>0</v>
      </c>
      <c r="X76" s="138">
        <f t="shared" si="45"/>
        <v>0</v>
      </c>
      <c r="Y76" s="138">
        <f t="shared" si="45"/>
        <v>0</v>
      </c>
      <c r="Z76" s="138">
        <f t="shared" si="45"/>
        <v>0</v>
      </c>
      <c r="AA76" s="138">
        <f t="shared" si="45"/>
        <v>0</v>
      </c>
      <c r="AB76" s="138">
        <f t="shared" si="45"/>
        <v>0</v>
      </c>
      <c r="AC76" s="243"/>
      <c r="AE76" s="173">
        <v>3</v>
      </c>
      <c r="AF76" s="171" t="str">
        <f>IF(ISBLANK(STUD!F39)," ",STUD!F39)</f>
        <v xml:space="preserve"> </v>
      </c>
      <c r="AG76" s="183">
        <f t="shared" si="41"/>
        <v>0</v>
      </c>
      <c r="AH76" s="183">
        <f t="shared" ref="AH76:AH101" si="46">$AG$74-AG76</f>
        <v>0</v>
      </c>
      <c r="AI76" s="53" t="str">
        <f t="shared" si="42"/>
        <v xml:space="preserve"> </v>
      </c>
      <c r="AJ76" s="53" t="str">
        <f>IF(AI76="","",IFERROR(IF(VLOOKUP(AI76,Programa!$V$3:$W$18,2,0)="","",VLOOKUP(AI76,Programa!$V$3:$W$18,2,0)),""))</f>
        <v/>
      </c>
      <c r="AK76" s="53" t="str">
        <f t="shared" si="43"/>
        <v xml:space="preserve"> </v>
      </c>
      <c r="AL76" s="53" t="str">
        <f>IF(AK76="","",IFERROR(IF(VLOOKUP(AK76,Programa!$V$19:$W$34,2,0)="","",VLOOKUP(AK76,Programa!$V$19:$W$34,2,0)),""))</f>
        <v/>
      </c>
      <c r="AM76" s="53" t="str">
        <f t="shared" si="44"/>
        <v xml:space="preserve"> </v>
      </c>
      <c r="AN76" s="53" t="str">
        <f>IF(AM76="","",IFERROR(IF(VLOOKUP(AM76,Programa!$V$35:$W$50,2,0)="","",VLOOKUP(AM76,Programa!$V$35:$W$50,2,0)),""))</f>
        <v/>
      </c>
    </row>
    <row r="77" spans="1:40" ht="15.75" customHeight="1" x14ac:dyDescent="0.4">
      <c r="A77" s="288">
        <f>+A75+1</f>
        <v>3</v>
      </c>
      <c r="B77" s="243">
        <f>STUD!F37</f>
        <v>0</v>
      </c>
      <c r="C77" s="244">
        <f>SUM(D78:AB78)</f>
        <v>37.900000000000006</v>
      </c>
      <c r="D77" s="135">
        <v>6</v>
      </c>
      <c r="E77" s="135">
        <v>3</v>
      </c>
      <c r="F77" s="135">
        <v>5</v>
      </c>
      <c r="G77" s="135">
        <v>5</v>
      </c>
      <c r="H77" s="135">
        <v>4</v>
      </c>
      <c r="I77" s="135">
        <v>14</v>
      </c>
      <c r="J77" s="135">
        <v>3</v>
      </c>
      <c r="K77" s="135">
        <v>10</v>
      </c>
      <c r="L77" s="135">
        <v>10</v>
      </c>
      <c r="M77" s="135">
        <v>3</v>
      </c>
      <c r="N77" s="135">
        <v>5</v>
      </c>
      <c r="O77" s="136">
        <v>9</v>
      </c>
      <c r="P77" s="135">
        <v>4</v>
      </c>
      <c r="Q77" s="135">
        <v>9</v>
      </c>
      <c r="R77" s="135">
        <v>5</v>
      </c>
      <c r="S77" s="135">
        <v>2</v>
      </c>
      <c r="T77" s="135">
        <v>9</v>
      </c>
      <c r="U77" s="135">
        <v>1</v>
      </c>
      <c r="V77" s="135">
        <v>5</v>
      </c>
      <c r="W77" s="135"/>
      <c r="X77" s="135"/>
      <c r="Y77" s="135"/>
      <c r="Z77" s="135"/>
      <c r="AA77" s="135"/>
      <c r="AB77" s="135"/>
      <c r="AC77" s="243">
        <f>SUM(D78:AB78)</f>
        <v>37.900000000000006</v>
      </c>
      <c r="AE77" s="174">
        <v>4</v>
      </c>
      <c r="AF77" s="171" t="str">
        <f>IF(ISBLANK(STUD!F35)," ",STUD!F35)</f>
        <v xml:space="preserve"> </v>
      </c>
      <c r="AG77" s="183">
        <f t="shared" si="41"/>
        <v>0</v>
      </c>
      <c r="AH77" s="183">
        <f t="shared" si="46"/>
        <v>0</v>
      </c>
      <c r="AI77" s="53" t="str">
        <f t="shared" si="42"/>
        <v xml:space="preserve"> </v>
      </c>
      <c r="AJ77" s="53" t="str">
        <f>IF(AI77="","",IFERROR(IF(VLOOKUP(AI77,Programa!$V$3:$W$18,2,0)="","",VLOOKUP(AI77,Programa!$V$3:$W$18,2,0)),""))</f>
        <v/>
      </c>
      <c r="AK77" s="53" t="str">
        <f t="shared" si="43"/>
        <v xml:space="preserve"> </v>
      </c>
      <c r="AL77" s="53" t="str">
        <f>IF(AK77="","",IFERROR(IF(VLOOKUP(AK77,Programa!$V$19:$W$34,2,0)="","",VLOOKUP(AK77,Programa!$V$19:$W$34,2,0)),""))</f>
        <v/>
      </c>
      <c r="AM77" s="53" t="str">
        <f t="shared" si="44"/>
        <v xml:space="preserve"> </v>
      </c>
      <c r="AN77" s="53" t="str">
        <f>IF(AM77="","",IFERROR(IF(VLOOKUP(AM77,Programa!$V$35:$W$50,2,0)="","",VLOOKUP(AM77,Programa!$V$35:$W$50,2,0)),""))</f>
        <v/>
      </c>
    </row>
    <row r="78" spans="1:40" ht="15.75" customHeight="1" x14ac:dyDescent="0.4">
      <c r="A78" s="242"/>
      <c r="B78" s="243"/>
      <c r="C78" s="245"/>
      <c r="D78" s="138">
        <f t="shared" ref="D78:AB78" si="47">IF(IFERROR(IF(VLOOKUP(D77,D$151:D$155,1,0)&gt;=1,D$150,0),D77)=D$132,D$136,IF(IFERROR(IF(VLOOKUP(D77,D$151:D$155,1,0)&gt;=1,D$150,0),D77)=D$139,D$142,IF(IFERROR(IF(VLOOKUP(D77,D$151:D$155,1,0)&gt;=1,D$150,0),D77)=D$145,D$147,0)))</f>
        <v>0</v>
      </c>
      <c r="E78" s="138">
        <f t="shared" si="47"/>
        <v>4.7</v>
      </c>
      <c r="F78" s="138">
        <f t="shared" si="47"/>
        <v>2.2999999999999998</v>
      </c>
      <c r="G78" s="138">
        <f t="shared" si="47"/>
        <v>3.6</v>
      </c>
      <c r="H78" s="138">
        <f t="shared" si="47"/>
        <v>12</v>
      </c>
      <c r="I78" s="138">
        <f t="shared" si="47"/>
        <v>0</v>
      </c>
      <c r="J78" s="138">
        <f t="shared" si="47"/>
        <v>0</v>
      </c>
      <c r="K78" s="138">
        <f t="shared" si="47"/>
        <v>0</v>
      </c>
      <c r="L78" s="138">
        <f t="shared" si="47"/>
        <v>0</v>
      </c>
      <c r="M78" s="138">
        <f t="shared" si="47"/>
        <v>2.8</v>
      </c>
      <c r="N78" s="138">
        <f t="shared" si="47"/>
        <v>4.5</v>
      </c>
      <c r="O78" s="138">
        <f t="shared" si="47"/>
        <v>2.9</v>
      </c>
      <c r="P78" s="138">
        <f t="shared" si="47"/>
        <v>1.1000000000000001</v>
      </c>
      <c r="Q78" s="138">
        <f t="shared" si="47"/>
        <v>0</v>
      </c>
      <c r="R78" s="138">
        <f t="shared" si="47"/>
        <v>0</v>
      </c>
      <c r="S78" s="138">
        <f t="shared" si="47"/>
        <v>0</v>
      </c>
      <c r="T78" s="138">
        <f t="shared" si="47"/>
        <v>4</v>
      </c>
      <c r="U78" s="138">
        <f t="shared" si="47"/>
        <v>0</v>
      </c>
      <c r="V78" s="138">
        <f t="shared" si="47"/>
        <v>0</v>
      </c>
      <c r="W78" s="138">
        <f t="shared" si="47"/>
        <v>0</v>
      </c>
      <c r="X78" s="138">
        <f t="shared" si="47"/>
        <v>0</v>
      </c>
      <c r="Y78" s="138">
        <f t="shared" si="47"/>
        <v>0</v>
      </c>
      <c r="Z78" s="138">
        <f t="shared" si="47"/>
        <v>0</v>
      </c>
      <c r="AA78" s="138">
        <f t="shared" si="47"/>
        <v>0</v>
      </c>
      <c r="AB78" s="138">
        <f t="shared" si="47"/>
        <v>0</v>
      </c>
      <c r="AC78" s="243"/>
      <c r="AE78" s="175">
        <v>5</v>
      </c>
      <c r="AF78" s="171" t="str">
        <f>IF(ISBLANK(STUD!F38)," ",STUD!F38)</f>
        <v xml:space="preserve"> </v>
      </c>
      <c r="AG78" s="183">
        <f t="shared" si="41"/>
        <v>0</v>
      </c>
      <c r="AH78" s="183">
        <f t="shared" si="46"/>
        <v>0</v>
      </c>
      <c r="AI78" s="53" t="str">
        <f t="shared" si="42"/>
        <v xml:space="preserve"> </v>
      </c>
      <c r="AJ78" s="53" t="str">
        <f>IF(AI78="","",IFERROR(IF(VLOOKUP(AI78,Programa!$V$3:$W$18,2,0)="","",VLOOKUP(AI78,Programa!$V$3:$W$18,2,0)),""))</f>
        <v/>
      </c>
      <c r="AK78" s="53" t="str">
        <f t="shared" si="43"/>
        <v xml:space="preserve"> </v>
      </c>
      <c r="AL78" s="53" t="str">
        <f>IF(AK78="","",IFERROR(IF(VLOOKUP(AK78,Programa!$V$19:$W$34,2,0)="","",VLOOKUP(AK78,Programa!$V$19:$W$34,2,0)),""))</f>
        <v/>
      </c>
      <c r="AM78" s="53" t="str">
        <f t="shared" si="44"/>
        <v xml:space="preserve"> </v>
      </c>
      <c r="AN78" s="53" t="str">
        <f>IF(AM78="","",IFERROR(IF(VLOOKUP(AM78,Programa!$V$35:$W$50,2,0)="","",VLOOKUP(AM78,Programa!$V$35:$W$50,2,0)),""))</f>
        <v/>
      </c>
    </row>
    <row r="79" spans="1:40" ht="15.75" customHeight="1" x14ac:dyDescent="0.4">
      <c r="A79" s="288">
        <f>+A77+1</f>
        <v>4</v>
      </c>
      <c r="B79" s="243">
        <f>STUD!F38</f>
        <v>0</v>
      </c>
      <c r="C79" s="244">
        <f>SUM(D80:AB80)</f>
        <v>44.1</v>
      </c>
      <c r="D79" s="237">
        <v>12</v>
      </c>
      <c r="E79" s="237">
        <v>4</v>
      </c>
      <c r="F79" s="237">
        <v>2</v>
      </c>
      <c r="G79" s="237">
        <v>5</v>
      </c>
      <c r="H79" s="237">
        <v>10</v>
      </c>
      <c r="I79" s="237">
        <v>4</v>
      </c>
      <c r="J79" s="237">
        <v>3</v>
      </c>
      <c r="K79" s="237">
        <v>1</v>
      </c>
      <c r="L79" s="237">
        <v>10</v>
      </c>
      <c r="M79" s="237">
        <v>1</v>
      </c>
      <c r="N79" s="237">
        <v>12</v>
      </c>
      <c r="O79" s="237">
        <v>9</v>
      </c>
      <c r="P79" s="237">
        <v>4</v>
      </c>
      <c r="Q79" s="237">
        <v>9</v>
      </c>
      <c r="R79" s="237">
        <v>12</v>
      </c>
      <c r="S79" s="237">
        <v>13</v>
      </c>
      <c r="T79" s="237">
        <v>4</v>
      </c>
      <c r="U79" s="237">
        <v>13</v>
      </c>
      <c r="V79" s="135">
        <v>8</v>
      </c>
      <c r="W79" s="135"/>
      <c r="X79" s="135"/>
      <c r="Y79" s="135"/>
      <c r="Z79" s="135"/>
      <c r="AA79" s="135"/>
      <c r="AB79" s="135"/>
      <c r="AC79" s="243">
        <f>SUM(D80:AB80)</f>
        <v>44.1</v>
      </c>
      <c r="AE79" s="176">
        <v>6</v>
      </c>
      <c r="AF79" s="171" t="str">
        <f>IF(ISBLANK(STUD!F37)," ",STUD!F37)</f>
        <v xml:space="preserve"> </v>
      </c>
      <c r="AG79" s="183">
        <f t="shared" si="41"/>
        <v>0</v>
      </c>
      <c r="AH79" s="183">
        <f t="shared" si="46"/>
        <v>0</v>
      </c>
      <c r="AI79" s="53" t="str">
        <f t="shared" si="42"/>
        <v xml:space="preserve"> </v>
      </c>
      <c r="AJ79" s="53" t="str">
        <f>IF(AI79="","",IFERROR(IF(VLOOKUP(AI79,Programa!$V$3:$W$18,2,0)="","",VLOOKUP(AI79,Programa!$V$3:$W$18,2,0)),""))</f>
        <v/>
      </c>
      <c r="AK79" s="53" t="str">
        <f t="shared" si="43"/>
        <v xml:space="preserve"> </v>
      </c>
      <c r="AL79" s="53" t="str">
        <f>IF(AK79="","",IFERROR(IF(VLOOKUP(AK79,Programa!$V$19:$W$34,2,0)="","",VLOOKUP(AK79,Programa!$V$19:$W$34,2,0)),""))</f>
        <v/>
      </c>
      <c r="AM79" s="53" t="str">
        <f t="shared" si="44"/>
        <v xml:space="preserve"> </v>
      </c>
      <c r="AN79" s="53" t="str">
        <f>IF(AM79="","",IFERROR(IF(VLOOKUP(AM79,Programa!$V$35:$W$50,2,0)="","",VLOOKUP(AM79,Programa!$V$35:$W$50,2,0)),""))</f>
        <v/>
      </c>
    </row>
    <row r="80" spans="1:40" ht="15.75" customHeight="1" x14ac:dyDescent="0.4">
      <c r="A80" s="242"/>
      <c r="B80" s="243"/>
      <c r="C80" s="245"/>
      <c r="D80" s="138">
        <f t="shared" ref="D80:AB80" si="48">IF(IFERROR(IF(VLOOKUP(D79,D$151:D$155,1,0)&gt;=1,D$150,0),D79)=D$132,D$136,IF(IFERROR(IF(VLOOKUP(D79,D$151:D$155,1,0)&gt;=1,D$150,0),D79)=D$139,D$142,IF(IFERROR(IF(VLOOKUP(D79,D$151:D$155,1,0)&gt;=1,D$150,0),D79)=D$145,D$147,0)))</f>
        <v>1.4</v>
      </c>
      <c r="E80" s="138">
        <f t="shared" si="48"/>
        <v>4.5</v>
      </c>
      <c r="F80" s="138">
        <f t="shared" si="48"/>
        <v>7.1000000000000005</v>
      </c>
      <c r="G80" s="138">
        <f t="shared" si="48"/>
        <v>3.6</v>
      </c>
      <c r="H80" s="138">
        <f t="shared" si="48"/>
        <v>5.6999999999999993</v>
      </c>
      <c r="I80" s="138">
        <f t="shared" si="48"/>
        <v>2.8</v>
      </c>
      <c r="J80" s="138">
        <f t="shared" si="48"/>
        <v>0</v>
      </c>
      <c r="K80" s="138">
        <f t="shared" si="48"/>
        <v>0</v>
      </c>
      <c r="L80" s="138">
        <f t="shared" si="48"/>
        <v>0</v>
      </c>
      <c r="M80" s="138">
        <f t="shared" si="48"/>
        <v>0</v>
      </c>
      <c r="N80" s="138">
        <f t="shared" si="48"/>
        <v>0</v>
      </c>
      <c r="O80" s="138">
        <f t="shared" si="48"/>
        <v>2.9</v>
      </c>
      <c r="P80" s="138">
        <f t="shared" si="48"/>
        <v>1.1000000000000001</v>
      </c>
      <c r="Q80" s="138">
        <f t="shared" si="48"/>
        <v>0</v>
      </c>
      <c r="R80" s="138">
        <f t="shared" si="48"/>
        <v>4</v>
      </c>
      <c r="S80" s="138">
        <f t="shared" si="48"/>
        <v>0</v>
      </c>
      <c r="T80" s="138">
        <f t="shared" si="48"/>
        <v>6.8999999999999995</v>
      </c>
      <c r="U80" s="138">
        <f t="shared" si="48"/>
        <v>4.0999999999999996</v>
      </c>
      <c r="V80" s="138">
        <f t="shared" si="48"/>
        <v>0</v>
      </c>
      <c r="W80" s="138">
        <f t="shared" si="48"/>
        <v>0</v>
      </c>
      <c r="X80" s="138">
        <f t="shared" si="48"/>
        <v>0</v>
      </c>
      <c r="Y80" s="138">
        <f t="shared" si="48"/>
        <v>0</v>
      </c>
      <c r="Z80" s="138">
        <f t="shared" si="48"/>
        <v>0</v>
      </c>
      <c r="AA80" s="138">
        <f t="shared" si="48"/>
        <v>0</v>
      </c>
      <c r="AB80" s="138">
        <f t="shared" si="48"/>
        <v>0</v>
      </c>
      <c r="AC80" s="243"/>
      <c r="AE80" s="177">
        <v>7</v>
      </c>
      <c r="AF80" s="171" t="str">
        <f>IF(ISBLANK(STUD!F46)," ",STUD!F46)</f>
        <v xml:space="preserve"> </v>
      </c>
      <c r="AG80" s="183">
        <f t="shared" si="41"/>
        <v>0</v>
      </c>
      <c r="AH80" s="183">
        <f t="shared" si="46"/>
        <v>0</v>
      </c>
      <c r="AI80" s="53" t="str">
        <f t="shared" si="42"/>
        <v xml:space="preserve"> </v>
      </c>
      <c r="AJ80" s="53" t="str">
        <f>IF(AI80="","",IFERROR(IF(VLOOKUP(AI80,Programa!$V$3:$W$18,2,0)="","",VLOOKUP(AI80,Programa!$V$3:$W$18,2,0)),""))</f>
        <v/>
      </c>
      <c r="AK80" s="53" t="str">
        <f t="shared" si="43"/>
        <v xml:space="preserve"> </v>
      </c>
      <c r="AL80" s="53" t="str">
        <f>IF(AK80="","",IFERROR(IF(VLOOKUP(AK80,Programa!$V$19:$W$34,2,0)="","",VLOOKUP(AK80,Programa!$V$19:$W$34,2,0)),""))</f>
        <v/>
      </c>
      <c r="AM80" s="53" t="str">
        <f t="shared" si="44"/>
        <v xml:space="preserve"> </v>
      </c>
      <c r="AN80" s="53" t="str">
        <f>IF(AM80="","",IFERROR(IF(VLOOKUP(AM80,Programa!$V$35:$W$50,2,0)="","",VLOOKUP(AM80,Programa!$V$35:$W$50,2,0)),""))</f>
        <v/>
      </c>
    </row>
    <row r="81" spans="1:40" ht="15.75" customHeight="1" x14ac:dyDescent="0.4">
      <c r="A81" s="288">
        <f t="shared" ref="A81:A127" si="49">+A79+1</f>
        <v>5</v>
      </c>
      <c r="B81" s="243">
        <f>STUD!F39</f>
        <v>0</v>
      </c>
      <c r="C81" s="244">
        <f>SUM(D82:AB82)</f>
        <v>52.1</v>
      </c>
      <c r="D81" s="136">
        <v>5</v>
      </c>
      <c r="E81" s="136">
        <v>9</v>
      </c>
      <c r="F81" s="136">
        <v>2</v>
      </c>
      <c r="G81" s="136">
        <v>4</v>
      </c>
      <c r="H81" s="136">
        <v>12</v>
      </c>
      <c r="I81" s="136">
        <v>1</v>
      </c>
      <c r="J81" s="136">
        <v>10</v>
      </c>
      <c r="K81" s="136">
        <v>12</v>
      </c>
      <c r="L81" s="136">
        <v>5</v>
      </c>
      <c r="M81" s="136">
        <v>6</v>
      </c>
      <c r="N81" s="135">
        <v>9</v>
      </c>
      <c r="O81" s="135">
        <v>9</v>
      </c>
      <c r="P81" s="135">
        <v>7</v>
      </c>
      <c r="Q81" s="135">
        <v>9</v>
      </c>
      <c r="R81" s="135">
        <v>14</v>
      </c>
      <c r="S81" s="135">
        <v>14</v>
      </c>
      <c r="T81" s="135">
        <v>9</v>
      </c>
      <c r="U81" s="135">
        <v>13</v>
      </c>
      <c r="V81" s="135">
        <v>5</v>
      </c>
      <c r="W81" s="135"/>
      <c r="X81" s="135"/>
      <c r="Y81" s="135"/>
      <c r="Z81" s="135"/>
      <c r="AA81" s="135"/>
      <c r="AB81" s="135"/>
      <c r="AC81" s="243">
        <f>SUM(D82:AB82)</f>
        <v>52.1</v>
      </c>
      <c r="AE81" s="178">
        <v>8</v>
      </c>
      <c r="AF81" s="171" t="str">
        <f>IF(ISBLANK(STUD!F49)," ",STUD!F49)</f>
        <v xml:space="preserve"> </v>
      </c>
      <c r="AG81" s="183">
        <f t="shared" si="41"/>
        <v>0</v>
      </c>
      <c r="AH81" s="183">
        <f t="shared" si="46"/>
        <v>0</v>
      </c>
      <c r="AI81" s="53" t="str">
        <f t="shared" si="42"/>
        <v xml:space="preserve"> </v>
      </c>
      <c r="AJ81" s="53" t="str">
        <f>IF(AI81="","",IFERROR(IF(VLOOKUP(AI81,Programa!$V$3:$W$18,2,0)="","",VLOOKUP(AI81,Programa!$V$3:$W$18,2,0)),""))</f>
        <v/>
      </c>
      <c r="AK81" s="53" t="str">
        <f t="shared" si="43"/>
        <v xml:space="preserve"> </v>
      </c>
      <c r="AL81" s="53" t="str">
        <f>IF(AK81="","",IFERROR(IF(VLOOKUP(AK81,Programa!$V$19:$W$34,2,0)="","",VLOOKUP(AK81,Programa!$V$19:$W$34,2,0)),""))</f>
        <v/>
      </c>
      <c r="AM81" s="53" t="str">
        <f t="shared" si="44"/>
        <v xml:space="preserve"> </v>
      </c>
      <c r="AN81" s="53" t="str">
        <f>IF(AM81="","",IFERROR(IF(VLOOKUP(AM81,Programa!$V$35:$W$50,2,0)="","",VLOOKUP(AM81,Programa!$V$35:$W$50,2,0)),""))</f>
        <v/>
      </c>
    </row>
    <row r="82" spans="1:40" ht="15.75" customHeight="1" x14ac:dyDescent="0.6">
      <c r="A82" s="242"/>
      <c r="B82" s="243"/>
      <c r="C82" s="245"/>
      <c r="D82" s="138">
        <f t="shared" ref="D82:AB82" si="50">IF(IFERROR(IF(VLOOKUP(D81,D$151:D$155,1,0)&gt;=1,D$150,0),D81)=D$132,D$136,IF(IFERROR(IF(VLOOKUP(D81,D$151:D$155,1,0)&gt;=1,D$150,0),D81)=D$139,D$142,IF(IFERROR(IF(VLOOKUP(D81,D$151:D$155,1,0)&gt;=1,D$150,0),D81)=D$145,D$147,0)))</f>
        <v>4.3000000000000007</v>
      </c>
      <c r="E82" s="138">
        <f t="shared" si="50"/>
        <v>0</v>
      </c>
      <c r="F82" s="138">
        <f t="shared" si="50"/>
        <v>7.1000000000000005</v>
      </c>
      <c r="G82" s="138">
        <f t="shared" si="50"/>
        <v>0</v>
      </c>
      <c r="H82" s="138">
        <f t="shared" si="50"/>
        <v>0</v>
      </c>
      <c r="I82" s="138">
        <f t="shared" si="50"/>
        <v>0</v>
      </c>
      <c r="J82" s="138">
        <f t="shared" si="50"/>
        <v>6.7</v>
      </c>
      <c r="K82" s="138">
        <f t="shared" si="50"/>
        <v>6.6999999999999993</v>
      </c>
      <c r="L82" s="138">
        <f t="shared" si="50"/>
        <v>0</v>
      </c>
      <c r="M82" s="138">
        <f t="shared" si="50"/>
        <v>8.5</v>
      </c>
      <c r="N82" s="138">
        <f t="shared" si="50"/>
        <v>5.2</v>
      </c>
      <c r="O82" s="138">
        <f t="shared" si="50"/>
        <v>2.9</v>
      </c>
      <c r="P82" s="138">
        <f t="shared" si="50"/>
        <v>2.6</v>
      </c>
      <c r="Q82" s="138">
        <f t="shared" si="50"/>
        <v>0</v>
      </c>
      <c r="R82" s="138">
        <f t="shared" si="50"/>
        <v>0</v>
      </c>
      <c r="S82" s="138">
        <f t="shared" si="50"/>
        <v>0</v>
      </c>
      <c r="T82" s="138">
        <f t="shared" si="50"/>
        <v>4</v>
      </c>
      <c r="U82" s="138">
        <f t="shared" si="50"/>
        <v>4.0999999999999996</v>
      </c>
      <c r="V82" s="138">
        <f t="shared" si="50"/>
        <v>0</v>
      </c>
      <c r="W82" s="138">
        <f t="shared" si="50"/>
        <v>0</v>
      </c>
      <c r="X82" s="138">
        <f t="shared" si="50"/>
        <v>0</v>
      </c>
      <c r="Y82" s="138">
        <f t="shared" si="50"/>
        <v>0</v>
      </c>
      <c r="Z82" s="138">
        <f t="shared" si="50"/>
        <v>0</v>
      </c>
      <c r="AA82" s="138">
        <f t="shared" si="50"/>
        <v>0</v>
      </c>
      <c r="AB82" s="138">
        <f t="shared" si="50"/>
        <v>0</v>
      </c>
      <c r="AC82" s="243"/>
      <c r="AE82" s="179">
        <v>9</v>
      </c>
      <c r="AF82" s="140" t="str">
        <f>IF(ISBLANK(STUD!F52)," ",STUD!F52)</f>
        <v xml:space="preserve"> </v>
      </c>
      <c r="AG82" s="184">
        <f t="shared" si="41"/>
        <v>0</v>
      </c>
      <c r="AH82" s="183">
        <f t="shared" si="46"/>
        <v>0</v>
      </c>
      <c r="AI82" s="53" t="str">
        <f t="shared" si="42"/>
        <v xml:space="preserve"> </v>
      </c>
      <c r="AJ82" s="53" t="str">
        <f>IF(AI82="","",IFERROR(IF(VLOOKUP(AI82,Programa!$V$3:$W$18,2,0)="","",VLOOKUP(AI82,Programa!$V$3:$W$18,2,0)),""))</f>
        <v/>
      </c>
      <c r="AK82" s="53" t="str">
        <f t="shared" si="43"/>
        <v xml:space="preserve"> </v>
      </c>
      <c r="AL82" s="53" t="str">
        <f>IF(AK82="","",IFERROR(IF(VLOOKUP(AK82,Programa!$V$19:$W$34,2,0)="","",VLOOKUP(AK82,Programa!$V$19:$W$34,2,0)),""))</f>
        <v/>
      </c>
      <c r="AM82" s="53" t="str">
        <f t="shared" si="44"/>
        <v xml:space="preserve"> </v>
      </c>
      <c r="AN82" s="53" t="str">
        <f>IF(AM82="","",IFERROR(IF(VLOOKUP(AM82,Programa!$V$35:$W$50,2,0)="","",VLOOKUP(AM82,Programa!$V$35:$W$50,2,0)),""))</f>
        <v/>
      </c>
    </row>
    <row r="83" spans="1:40" ht="15.75" customHeight="1" x14ac:dyDescent="0.4">
      <c r="A83" s="288">
        <f t="shared" si="49"/>
        <v>6</v>
      </c>
      <c r="B83" s="243">
        <f>STUD!F40</f>
        <v>0</v>
      </c>
      <c r="C83" s="244">
        <f>SUM(D84:AB84)</f>
        <v>26.8</v>
      </c>
      <c r="D83" s="135">
        <v>4</v>
      </c>
      <c r="E83" s="135">
        <v>8</v>
      </c>
      <c r="F83" s="135">
        <v>5</v>
      </c>
      <c r="G83" s="135">
        <v>5</v>
      </c>
      <c r="H83" s="135">
        <v>2</v>
      </c>
      <c r="I83" s="135">
        <v>10</v>
      </c>
      <c r="J83" s="135">
        <v>2</v>
      </c>
      <c r="K83" s="135">
        <v>1</v>
      </c>
      <c r="L83" s="135">
        <v>1</v>
      </c>
      <c r="M83" s="135">
        <v>8</v>
      </c>
      <c r="N83" s="135">
        <v>5</v>
      </c>
      <c r="O83" s="136">
        <v>6</v>
      </c>
      <c r="P83" s="135">
        <v>4</v>
      </c>
      <c r="Q83" s="135">
        <v>7</v>
      </c>
      <c r="R83" s="135">
        <v>10</v>
      </c>
      <c r="S83" s="135">
        <v>6</v>
      </c>
      <c r="T83" s="135">
        <v>12</v>
      </c>
      <c r="U83" s="135">
        <v>5</v>
      </c>
      <c r="V83" s="135">
        <v>3</v>
      </c>
      <c r="W83" s="135"/>
      <c r="X83" s="135"/>
      <c r="Y83" s="135"/>
      <c r="Z83" s="135"/>
      <c r="AA83" s="135"/>
      <c r="AB83" s="135"/>
      <c r="AC83" s="243">
        <f>SUM(D84:AB84)</f>
        <v>26.8</v>
      </c>
      <c r="AE83" s="180">
        <v>10</v>
      </c>
      <c r="AF83" s="171" t="str">
        <f>IF(ISBLANK(STUD!F40)," ",STUD!F40)</f>
        <v xml:space="preserve"> </v>
      </c>
      <c r="AG83" s="183">
        <f t="shared" si="41"/>
        <v>0</v>
      </c>
      <c r="AH83" s="183">
        <f t="shared" si="46"/>
        <v>0</v>
      </c>
      <c r="AI83" s="53" t="str">
        <f t="shared" si="42"/>
        <v xml:space="preserve"> </v>
      </c>
      <c r="AJ83" s="53" t="str">
        <f>IF(AI83="","",IFERROR(IF(VLOOKUP(AI83,Programa!$V$3:$W$18,2,0)="","",VLOOKUP(AI83,Programa!$V$3:$W$18,2,0)),""))</f>
        <v/>
      </c>
      <c r="AK83" s="53" t="str">
        <f t="shared" si="43"/>
        <v xml:space="preserve"> </v>
      </c>
      <c r="AL83" s="53" t="str">
        <f>IF(AK83="","",IFERROR(IF(VLOOKUP(AK83,Programa!$V$19:$W$34,2,0)="","",VLOOKUP(AK83,Programa!$V$19:$W$34,2,0)),""))</f>
        <v/>
      </c>
      <c r="AM83" s="53" t="str">
        <f t="shared" si="44"/>
        <v xml:space="preserve"> </v>
      </c>
      <c r="AN83" s="53" t="str">
        <f>IF(AM83="","",IFERROR(IF(VLOOKUP(AM83,Programa!$V$35:$W$50,2,0)="","",VLOOKUP(AM83,Programa!$V$35:$W$50,2,0)),""))</f>
        <v/>
      </c>
    </row>
    <row r="84" spans="1:40" ht="15.75" customHeight="1" x14ac:dyDescent="0.4">
      <c r="A84" s="242"/>
      <c r="B84" s="243"/>
      <c r="C84" s="245"/>
      <c r="D84" s="138">
        <f t="shared" ref="D84:AB84" si="51">IF(IFERROR(IF(VLOOKUP(D83,D$151:D$155,1,0)&gt;=1,D$150,0),D83)=D$132,D$136,IF(IFERROR(IF(VLOOKUP(D83,D$151:D$155,1,0)&gt;=1,D$150,0),D83)=D$139,D$142,IF(IFERROR(IF(VLOOKUP(D83,D$151:D$155,1,0)&gt;=1,D$150,0),D83)=D$145,D$147,0)))</f>
        <v>0</v>
      </c>
      <c r="E84" s="138">
        <f t="shared" si="51"/>
        <v>0</v>
      </c>
      <c r="F84" s="138">
        <f t="shared" si="51"/>
        <v>2.2999999999999998</v>
      </c>
      <c r="G84" s="138">
        <f t="shared" si="51"/>
        <v>3.6</v>
      </c>
      <c r="H84" s="138">
        <f t="shared" si="51"/>
        <v>0</v>
      </c>
      <c r="I84" s="138">
        <f t="shared" si="51"/>
        <v>11.4</v>
      </c>
      <c r="J84" s="138">
        <f t="shared" si="51"/>
        <v>3.9</v>
      </c>
      <c r="K84" s="138">
        <f t="shared" si="51"/>
        <v>0</v>
      </c>
      <c r="L84" s="138">
        <f t="shared" si="51"/>
        <v>0</v>
      </c>
      <c r="M84" s="138">
        <f t="shared" si="51"/>
        <v>0</v>
      </c>
      <c r="N84" s="138">
        <f t="shared" si="51"/>
        <v>4.5</v>
      </c>
      <c r="O84" s="138">
        <f t="shared" si="51"/>
        <v>0</v>
      </c>
      <c r="P84" s="138">
        <f t="shared" si="51"/>
        <v>1.1000000000000001</v>
      </c>
      <c r="Q84" s="138">
        <f t="shared" si="51"/>
        <v>0</v>
      </c>
      <c r="R84" s="138">
        <f t="shared" si="51"/>
        <v>0</v>
      </c>
      <c r="S84" s="138">
        <f t="shared" si="51"/>
        <v>0</v>
      </c>
      <c r="T84" s="138">
        <f t="shared" si="51"/>
        <v>0</v>
      </c>
      <c r="U84" s="138">
        <f t="shared" si="51"/>
        <v>0</v>
      </c>
      <c r="V84" s="138">
        <f t="shared" si="51"/>
        <v>0</v>
      </c>
      <c r="W84" s="138">
        <f t="shared" si="51"/>
        <v>0</v>
      </c>
      <c r="X84" s="138">
        <f t="shared" si="51"/>
        <v>0</v>
      </c>
      <c r="Y84" s="138">
        <f t="shared" si="51"/>
        <v>0</v>
      </c>
      <c r="Z84" s="138">
        <f t="shared" si="51"/>
        <v>0</v>
      </c>
      <c r="AA84" s="138">
        <f t="shared" si="51"/>
        <v>0</v>
      </c>
      <c r="AB84" s="138">
        <f t="shared" si="51"/>
        <v>0</v>
      </c>
      <c r="AC84" s="243"/>
      <c r="AE84" s="196">
        <v>11</v>
      </c>
      <c r="AF84" s="171" t="str">
        <f>IF(ISBLANK(STUD!F42)," ",STUD!F42)</f>
        <v xml:space="preserve"> </v>
      </c>
      <c r="AG84" s="183">
        <f t="shared" si="41"/>
        <v>0</v>
      </c>
      <c r="AH84" s="183">
        <f t="shared" si="46"/>
        <v>0</v>
      </c>
      <c r="AI84" s="53" t="str">
        <f t="shared" si="42"/>
        <v xml:space="preserve"> </v>
      </c>
      <c r="AJ84" s="53" t="str">
        <f>IF(AI84="","",IFERROR(IF(VLOOKUP(AI84,Programa!$V$3:$W$18,2,0)="","",VLOOKUP(AI84,Programa!$V$3:$W$18,2,0)),""))</f>
        <v/>
      </c>
      <c r="AK84" s="53" t="str">
        <f t="shared" si="43"/>
        <v xml:space="preserve"> </v>
      </c>
      <c r="AL84" s="53" t="str">
        <f>IF(AK84="","",IFERROR(IF(VLOOKUP(AK84,Programa!$V$19:$W$34,2,0)="","",VLOOKUP(AK84,Programa!$V$19:$W$34,2,0)),""))</f>
        <v/>
      </c>
      <c r="AM84" s="53" t="str">
        <f t="shared" si="44"/>
        <v xml:space="preserve"> </v>
      </c>
      <c r="AN84" s="53" t="str">
        <f>IF(AM84="","",IFERROR(IF(VLOOKUP(AM84,Programa!$V$35:$W$50,2,0)="","",VLOOKUP(AM84,Programa!$V$35:$W$50,2,0)),""))</f>
        <v/>
      </c>
    </row>
    <row r="85" spans="1:40" ht="15.75" customHeight="1" x14ac:dyDescent="0.4">
      <c r="A85" s="288">
        <f t="shared" si="49"/>
        <v>7</v>
      </c>
      <c r="B85" s="243">
        <f>STUD!F41</f>
        <v>0</v>
      </c>
      <c r="C85" s="244">
        <f>SUM(D86:AB86)</f>
        <v>14.500000000000002</v>
      </c>
      <c r="D85" s="135">
        <v>5</v>
      </c>
      <c r="E85" s="135">
        <v>4</v>
      </c>
      <c r="F85" s="135">
        <v>1</v>
      </c>
      <c r="G85" s="135">
        <v>2</v>
      </c>
      <c r="H85" s="135">
        <v>8</v>
      </c>
      <c r="I85" s="135">
        <v>11</v>
      </c>
      <c r="J85" s="135">
        <v>6</v>
      </c>
      <c r="K85" s="135">
        <v>1</v>
      </c>
      <c r="L85" s="135">
        <v>1</v>
      </c>
      <c r="M85" s="135">
        <v>9</v>
      </c>
      <c r="N85" s="135">
        <v>2</v>
      </c>
      <c r="O85" s="136">
        <v>9</v>
      </c>
      <c r="P85" s="135">
        <v>3</v>
      </c>
      <c r="Q85" s="135">
        <v>10</v>
      </c>
      <c r="R85" s="135">
        <v>13</v>
      </c>
      <c r="S85" s="135">
        <v>14</v>
      </c>
      <c r="T85" s="135">
        <v>8</v>
      </c>
      <c r="U85" s="135">
        <v>5</v>
      </c>
      <c r="V85" s="135">
        <v>11</v>
      </c>
      <c r="W85" s="135"/>
      <c r="X85" s="135"/>
      <c r="Y85" s="135"/>
      <c r="Z85" s="135"/>
      <c r="AA85" s="135"/>
      <c r="AB85" s="135"/>
      <c r="AC85" s="243">
        <f>SUM(D86:AB86)</f>
        <v>14.500000000000002</v>
      </c>
      <c r="AE85" s="197">
        <v>12</v>
      </c>
      <c r="AF85" s="171" t="str">
        <f>IF(ISBLANK(STUD!F51)," ",STUD!F51)</f>
        <v xml:space="preserve"> </v>
      </c>
      <c r="AG85" s="183">
        <f t="shared" si="41"/>
        <v>0</v>
      </c>
      <c r="AH85" s="183">
        <f t="shared" si="46"/>
        <v>0</v>
      </c>
      <c r="AI85" s="53" t="str">
        <f t="shared" si="42"/>
        <v xml:space="preserve"> </v>
      </c>
      <c r="AJ85" s="53" t="str">
        <f>IF(AI85="","",IFERROR(IF(VLOOKUP(AI85,Programa!$V$3:$W$18,2,0)="","",VLOOKUP(AI85,Programa!$V$3:$W$18,2,0)),""))</f>
        <v/>
      </c>
      <c r="AK85" s="53" t="str">
        <f t="shared" si="43"/>
        <v xml:space="preserve"> </v>
      </c>
      <c r="AL85" s="53" t="str">
        <f>IF(AK85="","",IFERROR(IF(VLOOKUP(AK85,Programa!$V$19:$W$34,2,0)="","",VLOOKUP(AK85,Programa!$V$19:$W$34,2,0)),""))</f>
        <v/>
      </c>
      <c r="AM85" s="53" t="str">
        <f t="shared" si="44"/>
        <v xml:space="preserve"> </v>
      </c>
      <c r="AN85" s="53" t="str">
        <f>IF(AM85="","",IFERROR(IF(VLOOKUP(AM85,Programa!$V$35:$W$50,2,0)="","",VLOOKUP(AM85,Programa!$V$35:$W$50,2,0)),""))</f>
        <v/>
      </c>
    </row>
    <row r="86" spans="1:40" ht="15.75" customHeight="1" x14ac:dyDescent="0.4">
      <c r="A86" s="242"/>
      <c r="B86" s="243"/>
      <c r="C86" s="245"/>
      <c r="D86" s="138">
        <f t="shared" ref="D86:AB86" si="52">IF(IFERROR(IF(VLOOKUP(D85,D$151:D$155,1,0)&gt;=1,D$150,0),D85)=D$132,D$136,IF(IFERROR(IF(VLOOKUP(D85,D$151:D$155,1,0)&gt;=1,D$150,0),D85)=D$139,D$142,IF(IFERROR(IF(VLOOKUP(D85,D$151:D$155,1,0)&gt;=1,D$150,0),D85)=D$145,D$147,0)))</f>
        <v>4.3000000000000007</v>
      </c>
      <c r="E86" s="138">
        <f t="shared" si="52"/>
        <v>4.5</v>
      </c>
      <c r="F86" s="138">
        <f t="shared" si="52"/>
        <v>0</v>
      </c>
      <c r="G86" s="138">
        <f t="shared" si="52"/>
        <v>0</v>
      </c>
      <c r="H86" s="138">
        <f t="shared" si="52"/>
        <v>1.4</v>
      </c>
      <c r="I86" s="138">
        <f t="shared" si="52"/>
        <v>0</v>
      </c>
      <c r="J86" s="138">
        <f t="shared" si="52"/>
        <v>0</v>
      </c>
      <c r="K86" s="138">
        <f t="shared" si="52"/>
        <v>0</v>
      </c>
      <c r="L86" s="138">
        <f t="shared" si="52"/>
        <v>0</v>
      </c>
      <c r="M86" s="138">
        <f t="shared" si="52"/>
        <v>1.4</v>
      </c>
      <c r="N86" s="138">
        <f t="shared" si="52"/>
        <v>0</v>
      </c>
      <c r="O86" s="138">
        <f t="shared" si="52"/>
        <v>2.9</v>
      </c>
      <c r="P86" s="138">
        <f t="shared" si="52"/>
        <v>0</v>
      </c>
      <c r="Q86" s="138">
        <f t="shared" si="52"/>
        <v>0</v>
      </c>
      <c r="R86" s="138">
        <f t="shared" si="52"/>
        <v>0</v>
      </c>
      <c r="S86" s="138">
        <f t="shared" si="52"/>
        <v>0</v>
      </c>
      <c r="T86" s="138">
        <f t="shared" si="52"/>
        <v>0</v>
      </c>
      <c r="U86" s="138">
        <f t="shared" si="52"/>
        <v>0</v>
      </c>
      <c r="V86" s="138">
        <f t="shared" si="52"/>
        <v>0</v>
      </c>
      <c r="W86" s="138">
        <f t="shared" si="52"/>
        <v>0</v>
      </c>
      <c r="X86" s="138">
        <f t="shared" si="52"/>
        <v>0</v>
      </c>
      <c r="Y86" s="138">
        <f t="shared" si="52"/>
        <v>0</v>
      </c>
      <c r="Z86" s="138">
        <f t="shared" si="52"/>
        <v>0</v>
      </c>
      <c r="AA86" s="138">
        <f t="shared" si="52"/>
        <v>0</v>
      </c>
      <c r="AB86" s="138">
        <f t="shared" si="52"/>
        <v>0</v>
      </c>
      <c r="AC86" s="243"/>
      <c r="AE86" s="198">
        <v>13</v>
      </c>
      <c r="AF86" s="171" t="str">
        <f>IF(ISBLANK(STUD!F44)," ",STUD!F44)</f>
        <v xml:space="preserve"> </v>
      </c>
      <c r="AG86" s="183">
        <f t="shared" si="41"/>
        <v>0</v>
      </c>
      <c r="AH86" s="183">
        <f t="shared" si="46"/>
        <v>0</v>
      </c>
      <c r="AI86" s="53" t="str">
        <f t="shared" si="42"/>
        <v xml:space="preserve"> </v>
      </c>
      <c r="AJ86" s="53" t="str">
        <f>IF(AI86="","",IFERROR(IF(VLOOKUP(AI86,Programa!$V$3:$W$18,2,0)="","",VLOOKUP(AI86,Programa!$V$3:$W$18,2,0)),""))</f>
        <v/>
      </c>
      <c r="AK86" s="53" t="str">
        <f t="shared" si="43"/>
        <v xml:space="preserve"> </v>
      </c>
      <c r="AL86" s="53" t="str">
        <f>IF(AK86="","",IFERROR(IF(VLOOKUP(AK86,Programa!$V$19:$W$34,2,0)="","",VLOOKUP(AK86,Programa!$V$19:$W$34,2,0)),""))</f>
        <v/>
      </c>
      <c r="AM86" s="53" t="str">
        <f t="shared" si="44"/>
        <v xml:space="preserve"> </v>
      </c>
      <c r="AN86" s="53" t="str">
        <f>IF(AM86="","",IFERROR(IF(VLOOKUP(AM86,Programa!$V$35:$W$50,2,0)="","",VLOOKUP(AM86,Programa!$V$35:$W$50,2,0)),""))</f>
        <v/>
      </c>
    </row>
    <row r="87" spans="1:40" ht="15.75" customHeight="1" x14ac:dyDescent="0.4">
      <c r="A87" s="288">
        <f t="shared" si="49"/>
        <v>8</v>
      </c>
      <c r="B87" s="243">
        <f>STUD!F42</f>
        <v>0</v>
      </c>
      <c r="C87" s="244">
        <f>SUM(D88:AB88)</f>
        <v>25.5</v>
      </c>
      <c r="D87" s="135">
        <v>9</v>
      </c>
      <c r="E87" s="135">
        <v>7</v>
      </c>
      <c r="F87" s="135">
        <v>1</v>
      </c>
      <c r="G87" s="135">
        <v>5</v>
      </c>
      <c r="H87" s="135">
        <v>14</v>
      </c>
      <c r="I87" s="135">
        <v>6</v>
      </c>
      <c r="J87" s="135">
        <v>9</v>
      </c>
      <c r="K87" s="135">
        <v>3</v>
      </c>
      <c r="L87" s="135">
        <v>5</v>
      </c>
      <c r="M87" s="135">
        <v>6</v>
      </c>
      <c r="N87" s="135">
        <v>5</v>
      </c>
      <c r="O87" s="135">
        <v>8</v>
      </c>
      <c r="P87" s="135">
        <v>8</v>
      </c>
      <c r="Q87" s="135">
        <v>10</v>
      </c>
      <c r="R87" s="135">
        <v>12</v>
      </c>
      <c r="S87" s="135">
        <v>6</v>
      </c>
      <c r="T87" s="135">
        <v>7</v>
      </c>
      <c r="U87" s="135">
        <v>15</v>
      </c>
      <c r="V87" s="135">
        <v>7</v>
      </c>
      <c r="W87" s="135"/>
      <c r="X87" s="135"/>
      <c r="Y87" s="135"/>
      <c r="Z87" s="135"/>
      <c r="AA87" s="135"/>
      <c r="AB87" s="135"/>
      <c r="AC87" s="243">
        <f>SUM(D88:AB88)</f>
        <v>25.5</v>
      </c>
      <c r="AE87" s="199">
        <v>14</v>
      </c>
      <c r="AF87" s="171" t="str">
        <f>IF(ISBLANK(STUD!F36)," ",STUD!F36)</f>
        <v xml:space="preserve"> </v>
      </c>
      <c r="AG87" s="183">
        <f t="shared" si="41"/>
        <v>0</v>
      </c>
      <c r="AH87" s="183">
        <f t="shared" si="46"/>
        <v>0</v>
      </c>
      <c r="AI87" s="53" t="str">
        <f t="shared" si="42"/>
        <v xml:space="preserve"> </v>
      </c>
      <c r="AJ87" s="53" t="str">
        <f>IF(AI87="","",IFERROR(IF(VLOOKUP(AI87,Programa!$V$3:$W$18,2,0)="","",VLOOKUP(AI87,Programa!$V$3:$W$18,2,0)),""))</f>
        <v/>
      </c>
      <c r="AK87" s="53" t="str">
        <f t="shared" si="43"/>
        <v xml:space="preserve"> </v>
      </c>
      <c r="AL87" s="53" t="str">
        <f>IF(AK87="","",IFERROR(IF(VLOOKUP(AK87,Programa!$V$19:$W$34,2,0)="","",VLOOKUP(AK87,Programa!$V$19:$W$34,2,0)),""))</f>
        <v/>
      </c>
      <c r="AM87" s="53" t="str">
        <f t="shared" si="44"/>
        <v xml:space="preserve"> </v>
      </c>
      <c r="AN87" s="53" t="str">
        <f>IF(AM87="","",IFERROR(IF(VLOOKUP(AM87,Programa!$V$35:$W$50,2,0)="","",VLOOKUP(AM87,Programa!$V$35:$W$50,2,0)),""))</f>
        <v/>
      </c>
    </row>
    <row r="88" spans="1:40" ht="15.75" customHeight="1" x14ac:dyDescent="0.4">
      <c r="A88" s="242"/>
      <c r="B88" s="243"/>
      <c r="C88" s="245"/>
      <c r="D88" s="138">
        <f t="shared" ref="D88:AB88" si="53">IF(IFERROR(IF(VLOOKUP(D87,D$151:D$155,1,0)&gt;=1,D$150,0),D87)=D$132,D$136,IF(IFERROR(IF(VLOOKUP(D87,D$151:D$155,1,0)&gt;=1,D$150,0),D87)=D$139,D$142,IF(IFERROR(IF(VLOOKUP(D87,D$151:D$155,1,0)&gt;=1,D$150,0),D87)=D$145,D$147,0)))</f>
        <v>0</v>
      </c>
      <c r="E88" s="138">
        <f t="shared" si="53"/>
        <v>0</v>
      </c>
      <c r="F88" s="138">
        <f t="shared" si="53"/>
        <v>0</v>
      </c>
      <c r="G88" s="138">
        <f t="shared" si="53"/>
        <v>3.6</v>
      </c>
      <c r="H88" s="138">
        <f t="shared" si="53"/>
        <v>0</v>
      </c>
      <c r="I88" s="138">
        <f t="shared" si="53"/>
        <v>0</v>
      </c>
      <c r="J88" s="138">
        <f t="shared" si="53"/>
        <v>0</v>
      </c>
      <c r="K88" s="138">
        <f t="shared" si="53"/>
        <v>0</v>
      </c>
      <c r="L88" s="138">
        <f t="shared" si="53"/>
        <v>0</v>
      </c>
      <c r="M88" s="138">
        <f t="shared" si="53"/>
        <v>8.5</v>
      </c>
      <c r="N88" s="138">
        <f t="shared" si="53"/>
        <v>4.5</v>
      </c>
      <c r="O88" s="138">
        <f t="shared" si="53"/>
        <v>0</v>
      </c>
      <c r="P88" s="138">
        <f t="shared" si="53"/>
        <v>0</v>
      </c>
      <c r="Q88" s="138">
        <f t="shared" si="53"/>
        <v>0</v>
      </c>
      <c r="R88" s="138">
        <f t="shared" si="53"/>
        <v>4</v>
      </c>
      <c r="S88" s="138">
        <f t="shared" si="53"/>
        <v>0</v>
      </c>
      <c r="T88" s="138">
        <f t="shared" si="53"/>
        <v>0</v>
      </c>
      <c r="U88" s="138">
        <f t="shared" si="53"/>
        <v>4.9000000000000004</v>
      </c>
      <c r="V88" s="138">
        <f t="shared" si="53"/>
        <v>0</v>
      </c>
      <c r="W88" s="138">
        <f t="shared" si="53"/>
        <v>0</v>
      </c>
      <c r="X88" s="138">
        <f t="shared" si="53"/>
        <v>0</v>
      </c>
      <c r="Y88" s="138">
        <f t="shared" si="53"/>
        <v>0</v>
      </c>
      <c r="Z88" s="138">
        <f t="shared" si="53"/>
        <v>0</v>
      </c>
      <c r="AA88" s="138">
        <f t="shared" si="53"/>
        <v>0</v>
      </c>
      <c r="AB88" s="138">
        <f t="shared" si="53"/>
        <v>0</v>
      </c>
      <c r="AC88" s="243"/>
      <c r="AE88" s="200">
        <v>15</v>
      </c>
      <c r="AF88" s="171" t="str">
        <f>IF(ISBLANK(STUD!F50)," ",STUD!F50)</f>
        <v xml:space="preserve"> </v>
      </c>
      <c r="AG88" s="183">
        <f t="shared" si="41"/>
        <v>0</v>
      </c>
      <c r="AH88" s="183">
        <f t="shared" si="46"/>
        <v>0</v>
      </c>
      <c r="AI88" s="53" t="str">
        <f t="shared" si="42"/>
        <v xml:space="preserve"> </v>
      </c>
      <c r="AJ88" s="53" t="str">
        <f>IF(AI88="","",IFERROR(IF(VLOOKUP(AI88,Programa!$V$3:$W$18,2,0)="","",VLOOKUP(AI88,Programa!$V$3:$W$18,2,0)),""))</f>
        <v/>
      </c>
      <c r="AK88" s="53" t="str">
        <f t="shared" si="43"/>
        <v xml:space="preserve"> </v>
      </c>
      <c r="AL88" s="53" t="str">
        <f>IF(AK88="","",IFERROR(IF(VLOOKUP(AK88,Programa!$V$19:$W$34,2,0)="","",VLOOKUP(AK88,Programa!$V$19:$W$34,2,0)),""))</f>
        <v/>
      </c>
      <c r="AM88" s="53" t="str">
        <f t="shared" si="44"/>
        <v xml:space="preserve"> </v>
      </c>
      <c r="AN88" s="53" t="str">
        <f>IF(AM88="","",IFERROR(IF(VLOOKUP(AM88,Programa!$V$35:$W$50,2,0)="","",VLOOKUP(AM88,Programa!$V$35:$W$50,2,0)),""))</f>
        <v/>
      </c>
    </row>
    <row r="89" spans="1:40" ht="15.75" customHeight="1" x14ac:dyDescent="0.4">
      <c r="A89" s="288">
        <f t="shared" si="49"/>
        <v>9</v>
      </c>
      <c r="B89" s="243">
        <f>STUD!F43</f>
        <v>0</v>
      </c>
      <c r="C89" s="244">
        <f>SUM(D90:AB90)</f>
        <v>118.60000000000001</v>
      </c>
      <c r="D89" s="135">
        <v>5</v>
      </c>
      <c r="E89" s="135">
        <v>2</v>
      </c>
      <c r="F89" s="135">
        <v>4</v>
      </c>
      <c r="G89" s="135">
        <v>1</v>
      </c>
      <c r="H89" s="135">
        <v>6</v>
      </c>
      <c r="I89" s="135">
        <v>4</v>
      </c>
      <c r="J89" s="135">
        <v>12</v>
      </c>
      <c r="K89" s="135">
        <v>10</v>
      </c>
      <c r="L89" s="135">
        <v>10</v>
      </c>
      <c r="M89" s="135">
        <v>8</v>
      </c>
      <c r="N89" s="135">
        <v>8</v>
      </c>
      <c r="O89" s="135">
        <v>6</v>
      </c>
      <c r="P89" s="135">
        <v>4</v>
      </c>
      <c r="Q89" s="135">
        <v>2</v>
      </c>
      <c r="R89" s="135">
        <v>11</v>
      </c>
      <c r="S89" s="135">
        <v>4</v>
      </c>
      <c r="T89" s="135">
        <v>1</v>
      </c>
      <c r="U89" s="135">
        <v>7</v>
      </c>
      <c r="V89" s="135">
        <v>12</v>
      </c>
      <c r="W89" s="135"/>
      <c r="X89" s="135"/>
      <c r="Y89" s="135"/>
      <c r="Z89" s="135"/>
      <c r="AA89" s="135"/>
      <c r="AB89" s="135"/>
      <c r="AC89" s="243">
        <f>SUM(D90:AB90)</f>
        <v>118.60000000000001</v>
      </c>
      <c r="AE89" s="201">
        <v>16</v>
      </c>
      <c r="AF89" s="171" t="str">
        <f>IF(ISBLANK(STUD!F41)," ",STUD!F41)</f>
        <v xml:space="preserve"> </v>
      </c>
      <c r="AG89" s="183">
        <f t="shared" si="41"/>
        <v>0</v>
      </c>
      <c r="AH89" s="183">
        <f t="shared" si="46"/>
        <v>0</v>
      </c>
      <c r="AI89" s="53" t="str">
        <f t="shared" si="42"/>
        <v xml:space="preserve"> </v>
      </c>
      <c r="AJ89" s="53" t="str">
        <f>IF(AI89="","",IFERROR(IF(VLOOKUP(AI89,Programa!$V$3:$W$18,2,0)="","",VLOOKUP(AI89,Programa!$V$3:$W$18,2,0)),""))</f>
        <v/>
      </c>
      <c r="AK89" s="53" t="str">
        <f t="shared" si="43"/>
        <v xml:space="preserve"> </v>
      </c>
      <c r="AL89" s="53" t="str">
        <f>IF(AK89="","",IFERROR(IF(VLOOKUP(AK89,Programa!$V$19:$W$34,2,0)="","",VLOOKUP(AK89,Programa!$V$19:$W$34,2,0)),""))</f>
        <v/>
      </c>
      <c r="AM89" s="53" t="str">
        <f t="shared" si="44"/>
        <v xml:space="preserve"> </v>
      </c>
      <c r="AN89" s="53" t="str">
        <f>IF(AM89="","",IFERROR(IF(VLOOKUP(AM89,Programa!$V$35:$W$50,2,0)="","",VLOOKUP(AM89,Programa!$V$35:$W$50,2,0)),""))</f>
        <v/>
      </c>
    </row>
    <row r="90" spans="1:40" ht="15.75" customHeight="1" x14ac:dyDescent="0.4">
      <c r="A90" s="242"/>
      <c r="B90" s="243"/>
      <c r="C90" s="245"/>
      <c r="D90" s="138">
        <f t="shared" ref="D90:AB90" si="54">IF(IFERROR(IF(VLOOKUP(D89,D$151:D$155,1,0)&gt;=1,D$150,0),D89)=D$132,D$136,IF(IFERROR(IF(VLOOKUP(D89,D$151:D$155,1,0)&gt;=1,D$150,0),D89)=D$139,D$142,IF(IFERROR(IF(VLOOKUP(D89,D$151:D$155,1,0)&gt;=1,D$150,0),D89)=D$145,D$147,0)))</f>
        <v>4.3000000000000007</v>
      </c>
      <c r="E90" s="138">
        <f t="shared" si="54"/>
        <v>2.4</v>
      </c>
      <c r="F90" s="138">
        <f t="shared" si="54"/>
        <v>0</v>
      </c>
      <c r="G90" s="138">
        <f t="shared" si="54"/>
        <v>0</v>
      </c>
      <c r="H90" s="138">
        <f t="shared" si="54"/>
        <v>0</v>
      </c>
      <c r="I90" s="138">
        <f t="shared" si="54"/>
        <v>2.8</v>
      </c>
      <c r="J90" s="138">
        <f t="shared" si="54"/>
        <v>2.4</v>
      </c>
      <c r="K90" s="138">
        <f t="shared" si="54"/>
        <v>0</v>
      </c>
      <c r="L90" s="138">
        <f t="shared" si="54"/>
        <v>0</v>
      </c>
      <c r="M90" s="138">
        <f t="shared" si="54"/>
        <v>0</v>
      </c>
      <c r="N90" s="138">
        <f t="shared" si="54"/>
        <v>0</v>
      </c>
      <c r="O90" s="138">
        <f t="shared" si="54"/>
        <v>0</v>
      </c>
      <c r="P90" s="138">
        <f t="shared" si="54"/>
        <v>1.1000000000000001</v>
      </c>
      <c r="Q90" s="138">
        <f t="shared" si="54"/>
        <v>6.3999999999999995</v>
      </c>
      <c r="R90" s="138">
        <f t="shared" si="54"/>
        <v>5.0999999999999996</v>
      </c>
      <c r="S90" s="138">
        <f t="shared" si="54"/>
        <v>42.5</v>
      </c>
      <c r="T90" s="138">
        <f t="shared" si="54"/>
        <v>6.8999999999999995</v>
      </c>
      <c r="U90" s="138">
        <f t="shared" si="54"/>
        <v>44.7</v>
      </c>
      <c r="V90" s="138">
        <f t="shared" si="54"/>
        <v>0</v>
      </c>
      <c r="W90" s="138">
        <f t="shared" si="54"/>
        <v>0</v>
      </c>
      <c r="X90" s="138">
        <f t="shared" si="54"/>
        <v>0</v>
      </c>
      <c r="Y90" s="138">
        <f t="shared" si="54"/>
        <v>0</v>
      </c>
      <c r="Z90" s="138">
        <f t="shared" si="54"/>
        <v>0</v>
      </c>
      <c r="AA90" s="138">
        <f t="shared" si="54"/>
        <v>0</v>
      </c>
      <c r="AB90" s="138">
        <f t="shared" si="54"/>
        <v>0</v>
      </c>
      <c r="AC90" s="243"/>
      <c r="AE90" s="202">
        <v>17</v>
      </c>
      <c r="AF90" s="171" t="str">
        <f>IF(ISBLANK(STUD!F47)," ",STUD!F47)</f>
        <v xml:space="preserve"> </v>
      </c>
      <c r="AG90" s="183">
        <f t="shared" si="41"/>
        <v>0</v>
      </c>
      <c r="AH90" s="183">
        <f t="shared" si="46"/>
        <v>0</v>
      </c>
      <c r="AI90" s="53" t="str">
        <f t="shared" si="42"/>
        <v xml:space="preserve"> </v>
      </c>
      <c r="AJ90" s="53" t="str">
        <f>IF(AI90="","",IFERROR(IF(VLOOKUP(AI90,Programa!$V$3:$W$18,2,0)="","",VLOOKUP(AI90,Programa!$V$3:$W$18,2,0)),""))</f>
        <v/>
      </c>
      <c r="AK90" s="53" t="str">
        <f t="shared" si="43"/>
        <v xml:space="preserve"> </v>
      </c>
      <c r="AL90" s="53" t="str">
        <f>IF(AK90="","",IFERROR(IF(VLOOKUP(AK90,Programa!$V$19:$W$34,2,0)="","",VLOOKUP(AK90,Programa!$V$19:$W$34,2,0)),""))</f>
        <v/>
      </c>
      <c r="AM90" s="53" t="str">
        <f t="shared" si="44"/>
        <v xml:space="preserve"> </v>
      </c>
      <c r="AN90" s="53" t="str">
        <f>IF(AM90="","",IFERROR(IF(VLOOKUP(AM90,Programa!$V$35:$W$50,2,0)="","",VLOOKUP(AM90,Programa!$V$35:$W$50,2,0)),""))</f>
        <v/>
      </c>
    </row>
    <row r="91" spans="1:40" ht="15.75" customHeight="1" x14ac:dyDescent="0.6">
      <c r="A91" s="288">
        <f t="shared" si="49"/>
        <v>10</v>
      </c>
      <c r="B91" s="243">
        <f>STUD!F44</f>
        <v>0</v>
      </c>
      <c r="C91" s="244">
        <f>SUM(D92:AB92)</f>
        <v>23.9</v>
      </c>
      <c r="D91" s="135">
        <v>12</v>
      </c>
      <c r="E91" s="135">
        <v>3</v>
      </c>
      <c r="F91" s="135">
        <v>5</v>
      </c>
      <c r="G91" s="135">
        <v>4</v>
      </c>
      <c r="H91" s="135">
        <v>5</v>
      </c>
      <c r="I91" s="135">
        <v>11</v>
      </c>
      <c r="J91" s="135">
        <v>9</v>
      </c>
      <c r="K91" s="135">
        <v>11</v>
      </c>
      <c r="L91" s="135">
        <v>1</v>
      </c>
      <c r="M91" s="135">
        <v>9</v>
      </c>
      <c r="N91" s="135">
        <v>5</v>
      </c>
      <c r="O91" s="136">
        <v>9</v>
      </c>
      <c r="P91" s="135">
        <v>4</v>
      </c>
      <c r="Q91" s="135">
        <v>5</v>
      </c>
      <c r="R91" s="135">
        <v>13</v>
      </c>
      <c r="S91" s="135">
        <v>14</v>
      </c>
      <c r="T91" s="135">
        <v>9</v>
      </c>
      <c r="U91" s="135">
        <v>14</v>
      </c>
      <c r="V91" s="135">
        <v>5</v>
      </c>
      <c r="W91" s="135"/>
      <c r="X91" s="135"/>
      <c r="Y91" s="135"/>
      <c r="Z91" s="135"/>
      <c r="AA91" s="135"/>
      <c r="AB91" s="135"/>
      <c r="AC91" s="243">
        <f>SUM(D92:AB92)</f>
        <v>23.9</v>
      </c>
      <c r="AE91" s="203">
        <v>18</v>
      </c>
      <c r="AF91" s="171" t="str">
        <f>IF(ISBLANK(STUD!F48)," ",STUD!F48)</f>
        <v xml:space="preserve"> </v>
      </c>
      <c r="AG91" s="183">
        <f t="shared" si="41"/>
        <v>0</v>
      </c>
      <c r="AH91" s="184">
        <f t="shared" si="46"/>
        <v>0</v>
      </c>
      <c r="AI91" s="53" t="str">
        <f t="shared" si="42"/>
        <v xml:space="preserve"> </v>
      </c>
      <c r="AJ91" s="53" t="str">
        <f>IF(AI91="","",IFERROR(IF(VLOOKUP(AI91,Programa!$V$3:$W$18,2,0)="","",VLOOKUP(AI91,Programa!$V$3:$W$18,2,0)),""))</f>
        <v/>
      </c>
      <c r="AK91" s="53" t="str">
        <f t="shared" si="43"/>
        <v xml:space="preserve"> </v>
      </c>
      <c r="AL91" s="53" t="str">
        <f>IF(AK91="","",IFERROR(IF(VLOOKUP(AK91,Programa!$V$19:$W$34,2,0)="","",VLOOKUP(AK91,Programa!$V$19:$W$34,2,0)),""))</f>
        <v/>
      </c>
      <c r="AM91" s="53" t="str">
        <f t="shared" si="44"/>
        <v xml:space="preserve"> </v>
      </c>
      <c r="AN91" s="53" t="str">
        <f>IF(AM91="","",IFERROR(IF(VLOOKUP(AM91,Programa!$V$35:$W$50,2,0)="","",VLOOKUP(AM91,Programa!$V$35:$W$50,2,0)),""))</f>
        <v/>
      </c>
    </row>
    <row r="92" spans="1:40" ht="15.75" customHeight="1" x14ac:dyDescent="0.6">
      <c r="A92" s="242"/>
      <c r="B92" s="243"/>
      <c r="C92" s="245"/>
      <c r="D92" s="138">
        <f t="shared" ref="D92:AB92" si="55">IF(IFERROR(IF(VLOOKUP(D91,D$151:D$155,1,0)&gt;=1,D$150,0),D91)=D$132,D$136,IF(IFERROR(IF(VLOOKUP(D91,D$151:D$155,1,0)&gt;=1,D$150,0),D91)=D$139,D$142,IF(IFERROR(IF(VLOOKUP(D91,D$151:D$155,1,0)&gt;=1,D$150,0),D91)=D$145,D$147,0)))</f>
        <v>1.4</v>
      </c>
      <c r="E92" s="138">
        <f t="shared" si="55"/>
        <v>4.7</v>
      </c>
      <c r="F92" s="138">
        <f t="shared" si="55"/>
        <v>2.2999999999999998</v>
      </c>
      <c r="G92" s="138">
        <f t="shared" si="55"/>
        <v>0</v>
      </c>
      <c r="H92" s="138">
        <f t="shared" si="55"/>
        <v>0</v>
      </c>
      <c r="I92" s="138">
        <f t="shared" si="55"/>
        <v>0</v>
      </c>
      <c r="J92" s="138">
        <f t="shared" si="55"/>
        <v>0</v>
      </c>
      <c r="K92" s="138">
        <f t="shared" si="55"/>
        <v>1.6</v>
      </c>
      <c r="L92" s="138">
        <f t="shared" si="55"/>
        <v>0</v>
      </c>
      <c r="M92" s="138">
        <f t="shared" si="55"/>
        <v>1.4</v>
      </c>
      <c r="N92" s="138">
        <f t="shared" si="55"/>
        <v>4.5</v>
      </c>
      <c r="O92" s="138">
        <f t="shared" si="55"/>
        <v>2.9</v>
      </c>
      <c r="P92" s="138">
        <f t="shared" si="55"/>
        <v>1.1000000000000001</v>
      </c>
      <c r="Q92" s="138">
        <f t="shared" si="55"/>
        <v>0</v>
      </c>
      <c r="R92" s="138">
        <f t="shared" si="55"/>
        <v>0</v>
      </c>
      <c r="S92" s="138">
        <f t="shared" si="55"/>
        <v>0</v>
      </c>
      <c r="T92" s="138">
        <f t="shared" si="55"/>
        <v>4</v>
      </c>
      <c r="U92" s="138">
        <f t="shared" si="55"/>
        <v>0</v>
      </c>
      <c r="V92" s="138">
        <f t="shared" si="55"/>
        <v>0</v>
      </c>
      <c r="W92" s="138">
        <f t="shared" si="55"/>
        <v>0</v>
      </c>
      <c r="X92" s="138">
        <f t="shared" si="55"/>
        <v>0</v>
      </c>
      <c r="Y92" s="138">
        <f t="shared" si="55"/>
        <v>0</v>
      </c>
      <c r="Z92" s="138">
        <f t="shared" si="55"/>
        <v>0</v>
      </c>
      <c r="AA92" s="138">
        <f t="shared" si="55"/>
        <v>0</v>
      </c>
      <c r="AB92" s="138">
        <f t="shared" si="55"/>
        <v>0</v>
      </c>
      <c r="AC92" s="243"/>
      <c r="AE92" s="204">
        <v>19</v>
      </c>
      <c r="AF92" s="140" t="str">
        <f>IF(ISBLANK(STUD!F54)," ",STUD!F54)</f>
        <v xml:space="preserve"> </v>
      </c>
      <c r="AG92" s="184">
        <f t="shared" si="41"/>
        <v>0</v>
      </c>
      <c r="AH92" s="184">
        <f t="shared" si="46"/>
        <v>0</v>
      </c>
      <c r="AI92" s="53" t="str">
        <f t="shared" si="42"/>
        <v xml:space="preserve"> </v>
      </c>
      <c r="AJ92" s="53" t="str">
        <f>IF(AI92="","",IFERROR(IF(VLOOKUP(AI92,Programa!$V$3:$W$18,2,0)="","",VLOOKUP(AI92,Programa!$V$3:$W$18,2,0)),""))</f>
        <v/>
      </c>
      <c r="AK92" s="53" t="str">
        <f t="shared" si="43"/>
        <v xml:space="preserve"> </v>
      </c>
      <c r="AL92" s="53" t="str">
        <f>IF(AK92="","",IFERROR(IF(VLOOKUP(AK92,Programa!$V$19:$W$34,2,0)="","",VLOOKUP(AK92,Programa!$V$19:$W$34,2,0)),""))</f>
        <v/>
      </c>
      <c r="AM92" s="53" t="str">
        <f t="shared" si="44"/>
        <v xml:space="preserve"> </v>
      </c>
      <c r="AN92" s="53" t="str">
        <f>IF(AM92="","",IFERROR(IF(VLOOKUP(AM92,Programa!$V$35:$W$50,2,0)="","",VLOOKUP(AM92,Programa!$V$35:$W$50,2,0)),""))</f>
        <v/>
      </c>
    </row>
    <row r="93" spans="1:40" ht="15.75" customHeight="1" x14ac:dyDescent="0.6">
      <c r="A93" s="288">
        <f t="shared" si="49"/>
        <v>11</v>
      </c>
      <c r="B93" s="243">
        <f>STUD!F45</f>
        <v>0</v>
      </c>
      <c r="C93" s="244">
        <f>SUM(D94:AB94)</f>
        <v>73.899999999999991</v>
      </c>
      <c r="D93" s="135">
        <v>5</v>
      </c>
      <c r="E93" s="135">
        <v>3</v>
      </c>
      <c r="F93" s="135">
        <v>3</v>
      </c>
      <c r="G93" s="135">
        <v>4</v>
      </c>
      <c r="H93" s="135">
        <v>8</v>
      </c>
      <c r="I93" s="135">
        <v>4</v>
      </c>
      <c r="J93" s="135">
        <v>10</v>
      </c>
      <c r="K93" s="135">
        <v>11</v>
      </c>
      <c r="L93" s="135">
        <v>6</v>
      </c>
      <c r="M93" s="135">
        <v>3</v>
      </c>
      <c r="N93" s="135">
        <v>5</v>
      </c>
      <c r="O93" s="135">
        <v>9</v>
      </c>
      <c r="P93" s="135">
        <v>5</v>
      </c>
      <c r="Q93" s="135">
        <v>12</v>
      </c>
      <c r="R93" s="135">
        <v>12</v>
      </c>
      <c r="S93" s="135">
        <v>14</v>
      </c>
      <c r="T93" s="135">
        <v>7</v>
      </c>
      <c r="U93" s="135">
        <v>10</v>
      </c>
      <c r="V93" s="135">
        <v>4</v>
      </c>
      <c r="W93" s="135"/>
      <c r="X93" s="135"/>
      <c r="Y93" s="135"/>
      <c r="Z93" s="135"/>
      <c r="AA93" s="135"/>
      <c r="AB93" s="135"/>
      <c r="AC93" s="243">
        <f>SUM(D94:AB94)</f>
        <v>73.899999999999991</v>
      </c>
      <c r="AE93" s="205">
        <v>20</v>
      </c>
      <c r="AF93" s="140" t="str">
        <f>IF(ISBLANK(STUD!F53)," ",STUD!F53)</f>
        <v xml:space="preserve"> </v>
      </c>
      <c r="AG93" s="184">
        <f t="shared" si="41"/>
        <v>0</v>
      </c>
      <c r="AH93" s="184">
        <f t="shared" si="46"/>
        <v>0</v>
      </c>
      <c r="AI93" s="53" t="str">
        <f t="shared" si="42"/>
        <v xml:space="preserve"> </v>
      </c>
      <c r="AJ93" s="53" t="str">
        <f>IF(AI93="","",IFERROR(IF(VLOOKUP(AI93,Programa!$V$3:$W$18,2,0)="","",VLOOKUP(AI93,Programa!$V$3:$W$18,2,0)),""))</f>
        <v/>
      </c>
      <c r="AK93" s="53" t="str">
        <f t="shared" si="43"/>
        <v xml:space="preserve"> </v>
      </c>
      <c r="AL93" s="53" t="str">
        <f>IF(AK93="","",IFERROR(IF(VLOOKUP(AK93,Programa!$V$19:$W$34,2,0)="","",VLOOKUP(AK93,Programa!$V$19:$W$34,2,0)),""))</f>
        <v/>
      </c>
      <c r="AM93" s="53" t="str">
        <f t="shared" si="44"/>
        <v xml:space="preserve"> </v>
      </c>
      <c r="AN93" s="53" t="str">
        <f>IF(AM93="","",IFERROR(IF(VLOOKUP(AM93,Programa!$V$35:$W$50,2,0)="","",VLOOKUP(AM93,Programa!$V$35:$W$50,2,0)),""))</f>
        <v/>
      </c>
    </row>
    <row r="94" spans="1:40" ht="15.75" customHeight="1" x14ac:dyDescent="0.6">
      <c r="A94" s="242"/>
      <c r="B94" s="243"/>
      <c r="C94" s="245"/>
      <c r="D94" s="138">
        <f t="shared" ref="D94:AB94" si="56">IF(IFERROR(IF(VLOOKUP(D93,D$151:D$155,1,0)&gt;=1,D$150,0),D93)=D$132,D$136,IF(IFERROR(IF(VLOOKUP(D93,D$151:D$155,1,0)&gt;=1,D$150,0),D93)=D$139,D$142,IF(IFERROR(IF(VLOOKUP(D93,D$151:D$155,1,0)&gt;=1,D$150,0),D93)=D$145,D$147,0)))</f>
        <v>4.3000000000000007</v>
      </c>
      <c r="E94" s="138">
        <f t="shared" si="56"/>
        <v>4.7</v>
      </c>
      <c r="F94" s="138">
        <f t="shared" si="56"/>
        <v>0</v>
      </c>
      <c r="G94" s="138">
        <f t="shared" si="56"/>
        <v>0</v>
      </c>
      <c r="H94" s="138">
        <f t="shared" si="56"/>
        <v>1.4</v>
      </c>
      <c r="I94" s="138">
        <f t="shared" si="56"/>
        <v>2.8</v>
      </c>
      <c r="J94" s="138">
        <f t="shared" si="56"/>
        <v>6.7</v>
      </c>
      <c r="K94" s="138">
        <f t="shared" si="56"/>
        <v>1.6</v>
      </c>
      <c r="L94" s="138">
        <f t="shared" si="56"/>
        <v>11.7</v>
      </c>
      <c r="M94" s="138">
        <f t="shared" si="56"/>
        <v>2.8</v>
      </c>
      <c r="N94" s="138">
        <f t="shared" si="56"/>
        <v>4.5</v>
      </c>
      <c r="O94" s="138">
        <f t="shared" si="56"/>
        <v>2.9</v>
      </c>
      <c r="P94" s="138">
        <f t="shared" si="56"/>
        <v>7.8999999999999995</v>
      </c>
      <c r="Q94" s="138">
        <f t="shared" si="56"/>
        <v>6.3999999999999995</v>
      </c>
      <c r="R94" s="138">
        <f t="shared" si="56"/>
        <v>4</v>
      </c>
      <c r="S94" s="138">
        <f t="shared" si="56"/>
        <v>0</v>
      </c>
      <c r="T94" s="138">
        <f t="shared" si="56"/>
        <v>0</v>
      </c>
      <c r="U94" s="138">
        <f t="shared" si="56"/>
        <v>0</v>
      </c>
      <c r="V94" s="138">
        <f t="shared" si="56"/>
        <v>12.2</v>
      </c>
      <c r="W94" s="138">
        <f t="shared" si="56"/>
        <v>0</v>
      </c>
      <c r="X94" s="138">
        <f t="shared" si="56"/>
        <v>0</v>
      </c>
      <c r="Y94" s="138">
        <f t="shared" si="56"/>
        <v>0</v>
      </c>
      <c r="Z94" s="138">
        <f t="shared" si="56"/>
        <v>0</v>
      </c>
      <c r="AA94" s="138">
        <f t="shared" si="56"/>
        <v>0</v>
      </c>
      <c r="AB94" s="138">
        <f t="shared" si="56"/>
        <v>0</v>
      </c>
      <c r="AC94" s="243"/>
      <c r="AE94" s="206">
        <v>21</v>
      </c>
      <c r="AF94" s="140" t="str">
        <f>IF(ISBLANK(STUD!F55)," ",STUD!F55)</f>
        <v xml:space="preserve"> </v>
      </c>
      <c r="AG94" s="184">
        <f t="shared" si="41"/>
        <v>0</v>
      </c>
      <c r="AH94" s="184">
        <f t="shared" si="46"/>
        <v>0</v>
      </c>
      <c r="AI94" s="53" t="str">
        <f t="shared" si="42"/>
        <v xml:space="preserve"> </v>
      </c>
      <c r="AJ94" s="53" t="str">
        <f>IF(AI94="","",IFERROR(IF(VLOOKUP(AI94,Programa!$V$3:$W$18,2,0)="","",VLOOKUP(AI94,Programa!$V$3:$W$18,2,0)),""))</f>
        <v/>
      </c>
      <c r="AK94" s="53" t="str">
        <f t="shared" si="43"/>
        <v xml:space="preserve"> </v>
      </c>
      <c r="AL94" s="53" t="str">
        <f>IF(AK94="","",IFERROR(IF(VLOOKUP(AK94,Programa!$V$19:$W$34,2,0)="","",VLOOKUP(AK94,Programa!$V$19:$W$34,2,0)),""))</f>
        <v/>
      </c>
      <c r="AM94" s="53" t="str">
        <f t="shared" si="44"/>
        <v xml:space="preserve"> </v>
      </c>
      <c r="AN94" s="53" t="str">
        <f>IF(AM94="","",IFERROR(IF(VLOOKUP(AM94,Programa!$V$35:$W$50,2,0)="","",VLOOKUP(AM94,Programa!$V$35:$W$50,2,0)),""))</f>
        <v/>
      </c>
    </row>
    <row r="95" spans="1:40" ht="15.75" customHeight="1" x14ac:dyDescent="0.6">
      <c r="A95" s="288">
        <f t="shared" si="49"/>
        <v>12</v>
      </c>
      <c r="B95" s="243">
        <f>STUD!F46</f>
        <v>0</v>
      </c>
      <c r="C95" s="244">
        <f>SUM(D96:AB96)</f>
        <v>37</v>
      </c>
      <c r="D95" s="135">
        <v>11</v>
      </c>
      <c r="E95" s="135">
        <v>2</v>
      </c>
      <c r="F95" s="135">
        <v>3</v>
      </c>
      <c r="G95" s="135">
        <v>2</v>
      </c>
      <c r="H95" s="135">
        <v>5</v>
      </c>
      <c r="I95" s="135">
        <v>10</v>
      </c>
      <c r="J95" s="135">
        <v>9</v>
      </c>
      <c r="K95" s="135">
        <v>12</v>
      </c>
      <c r="L95" s="135">
        <v>4</v>
      </c>
      <c r="M95" s="135">
        <v>8</v>
      </c>
      <c r="N95" s="135">
        <v>11</v>
      </c>
      <c r="O95" s="136">
        <v>8</v>
      </c>
      <c r="P95" s="135">
        <v>8</v>
      </c>
      <c r="Q95" s="135">
        <v>2</v>
      </c>
      <c r="R95" s="135">
        <v>11</v>
      </c>
      <c r="S95" s="135">
        <v>3</v>
      </c>
      <c r="T95" s="135">
        <v>8</v>
      </c>
      <c r="U95" s="135">
        <v>9</v>
      </c>
      <c r="V95" s="135">
        <v>14</v>
      </c>
      <c r="W95" s="135"/>
      <c r="X95" s="135"/>
      <c r="Y95" s="135"/>
      <c r="Z95" s="135"/>
      <c r="AA95" s="135"/>
      <c r="AB95" s="135"/>
      <c r="AC95" s="243">
        <f>SUM(D96:AB96)</f>
        <v>37</v>
      </c>
      <c r="AE95" s="207">
        <v>22</v>
      </c>
      <c r="AF95" s="140" t="str">
        <f>IF(ISBLANK(STUD!F56)," ",STUD!F56)</f>
        <v xml:space="preserve"> </v>
      </c>
      <c r="AG95" s="184">
        <f t="shared" si="41"/>
        <v>0</v>
      </c>
      <c r="AH95" s="184">
        <f t="shared" si="46"/>
        <v>0</v>
      </c>
      <c r="AI95" s="53" t="str">
        <f t="shared" si="42"/>
        <v xml:space="preserve"> </v>
      </c>
      <c r="AJ95" s="53" t="str">
        <f>IF(AI95="","",IFERROR(IF(VLOOKUP(AI95,Programa!$V$3:$W$18,2,0)="","",VLOOKUP(AI95,Programa!$V$3:$W$18,2,0)),""))</f>
        <v/>
      </c>
      <c r="AK95" s="53" t="str">
        <f t="shared" si="43"/>
        <v xml:space="preserve"> </v>
      </c>
      <c r="AL95" s="53" t="str">
        <f>IF(AK95="","",IFERROR(IF(VLOOKUP(AK95,Programa!$V$19:$W$34,2,0)="","",VLOOKUP(AK95,Programa!$V$19:$W$34,2,0)),""))</f>
        <v/>
      </c>
      <c r="AM95" s="53" t="str">
        <f t="shared" si="44"/>
        <v xml:space="preserve"> </v>
      </c>
      <c r="AN95" s="53" t="str">
        <f>IF(AM95="","",IFERROR(IF(VLOOKUP(AM95,Programa!$V$35:$W$50,2,0)="","",VLOOKUP(AM95,Programa!$V$35:$W$50,2,0)),""))</f>
        <v/>
      </c>
    </row>
    <row r="96" spans="1:40" ht="15.75" customHeight="1" x14ac:dyDescent="0.6">
      <c r="A96" s="242"/>
      <c r="B96" s="243"/>
      <c r="C96" s="245"/>
      <c r="D96" s="138">
        <f t="shared" ref="D96:AB96" si="57">IF(IFERROR(IF(VLOOKUP(D95,D$151:D$155,1,0)&gt;=1,D$150,0),D95)=D$132,D$136,IF(IFERROR(IF(VLOOKUP(D95,D$151:D$155,1,0)&gt;=1,D$150,0),D95)=D$139,D$142,IF(IFERROR(IF(VLOOKUP(D95,D$151:D$155,1,0)&gt;=1,D$150,0),D95)=D$145,D$147,0)))</f>
        <v>0</v>
      </c>
      <c r="E96" s="138">
        <f t="shared" si="57"/>
        <v>2.4</v>
      </c>
      <c r="F96" s="138">
        <f t="shared" si="57"/>
        <v>0</v>
      </c>
      <c r="G96" s="138">
        <f t="shared" si="57"/>
        <v>0</v>
      </c>
      <c r="H96" s="138">
        <f t="shared" si="57"/>
        <v>0</v>
      </c>
      <c r="I96" s="138">
        <f t="shared" si="57"/>
        <v>11.4</v>
      </c>
      <c r="J96" s="138">
        <f t="shared" si="57"/>
        <v>0</v>
      </c>
      <c r="K96" s="138">
        <f t="shared" si="57"/>
        <v>6.6999999999999993</v>
      </c>
      <c r="L96" s="138">
        <f t="shared" si="57"/>
        <v>0</v>
      </c>
      <c r="M96" s="138">
        <f t="shared" si="57"/>
        <v>0</v>
      </c>
      <c r="N96" s="138">
        <f t="shared" si="57"/>
        <v>5</v>
      </c>
      <c r="O96" s="138">
        <f t="shared" si="57"/>
        <v>0</v>
      </c>
      <c r="P96" s="138">
        <f t="shared" si="57"/>
        <v>0</v>
      </c>
      <c r="Q96" s="138">
        <f t="shared" si="57"/>
        <v>6.3999999999999995</v>
      </c>
      <c r="R96" s="138">
        <f t="shared" si="57"/>
        <v>5.0999999999999996</v>
      </c>
      <c r="S96" s="138">
        <f t="shared" si="57"/>
        <v>0</v>
      </c>
      <c r="T96" s="138">
        <f t="shared" si="57"/>
        <v>0</v>
      </c>
      <c r="U96" s="138">
        <f t="shared" si="57"/>
        <v>0</v>
      </c>
      <c r="V96" s="138">
        <f t="shared" si="57"/>
        <v>0</v>
      </c>
      <c r="W96" s="138">
        <f t="shared" si="57"/>
        <v>0</v>
      </c>
      <c r="X96" s="138">
        <f t="shared" si="57"/>
        <v>0</v>
      </c>
      <c r="Y96" s="138">
        <f t="shared" si="57"/>
        <v>0</v>
      </c>
      <c r="Z96" s="138">
        <f t="shared" si="57"/>
        <v>0</v>
      </c>
      <c r="AA96" s="138">
        <f t="shared" si="57"/>
        <v>0</v>
      </c>
      <c r="AB96" s="138">
        <f t="shared" si="57"/>
        <v>0</v>
      </c>
      <c r="AC96" s="243"/>
      <c r="AE96" s="208">
        <v>23</v>
      </c>
      <c r="AF96" s="140" t="str">
        <f>IF(ISBLANK(STUD!F57)," ",STUD!F57)</f>
        <v xml:space="preserve"> </v>
      </c>
      <c r="AG96" s="184">
        <f t="shared" si="41"/>
        <v>0</v>
      </c>
      <c r="AH96" s="184">
        <f t="shared" si="46"/>
        <v>0</v>
      </c>
      <c r="AI96" s="53" t="str">
        <f t="shared" si="42"/>
        <v xml:space="preserve"> </v>
      </c>
      <c r="AJ96" s="53" t="str">
        <f>IF(AI96="","",IFERROR(IF(VLOOKUP(AI96,Programa!$V$3:$W$18,2,0)="","",VLOOKUP(AI96,Programa!$V$3:$W$18,2,0)),""))</f>
        <v/>
      </c>
      <c r="AK96" s="53" t="str">
        <f t="shared" si="43"/>
        <v xml:space="preserve"> </v>
      </c>
      <c r="AL96" s="53" t="str">
        <f>IF(AK96="","",IFERROR(IF(VLOOKUP(AK96,Programa!$V$19:$W$34,2,0)="","",VLOOKUP(AK96,Programa!$V$19:$W$34,2,0)),""))</f>
        <v/>
      </c>
      <c r="AM96" s="53" t="str">
        <f t="shared" si="44"/>
        <v xml:space="preserve"> </v>
      </c>
      <c r="AN96" s="53" t="str">
        <f>IF(AM96="","",IFERROR(IF(VLOOKUP(AM96,Programa!$V$35:$W$50,2,0)="","",VLOOKUP(AM96,Programa!$V$35:$W$50,2,0)),""))</f>
        <v/>
      </c>
    </row>
    <row r="97" spans="1:40" ht="15.75" customHeight="1" x14ac:dyDescent="0.6">
      <c r="A97" s="288">
        <f t="shared" si="49"/>
        <v>13</v>
      </c>
      <c r="B97" s="243">
        <f>STUD!F47</f>
        <v>0</v>
      </c>
      <c r="C97" s="244">
        <f>SUM(D98:AB98)</f>
        <v>13.3</v>
      </c>
      <c r="D97" s="135">
        <v>7</v>
      </c>
      <c r="E97" s="135">
        <v>6</v>
      </c>
      <c r="F97" s="135">
        <v>8</v>
      </c>
      <c r="G97" s="135">
        <v>4</v>
      </c>
      <c r="H97" s="135">
        <v>6</v>
      </c>
      <c r="I97" s="135">
        <v>3</v>
      </c>
      <c r="J97" s="135">
        <v>7</v>
      </c>
      <c r="K97" s="135">
        <v>6</v>
      </c>
      <c r="L97" s="135">
        <v>10</v>
      </c>
      <c r="M97" s="135">
        <v>4</v>
      </c>
      <c r="N97" s="135">
        <v>5</v>
      </c>
      <c r="O97" s="135">
        <v>7</v>
      </c>
      <c r="P97" s="135">
        <v>3</v>
      </c>
      <c r="Q97" s="135">
        <v>15</v>
      </c>
      <c r="R97" s="135">
        <v>9</v>
      </c>
      <c r="S97" s="135">
        <v>13</v>
      </c>
      <c r="T97" s="135">
        <v>12</v>
      </c>
      <c r="U97" s="135">
        <v>11</v>
      </c>
      <c r="V97" s="135">
        <v>6</v>
      </c>
      <c r="W97" s="135"/>
      <c r="X97" s="135"/>
      <c r="Y97" s="135"/>
      <c r="Z97" s="135"/>
      <c r="AA97" s="135"/>
      <c r="AB97" s="135"/>
      <c r="AC97" s="243">
        <f>SUM(D98:AB98)</f>
        <v>13.3</v>
      </c>
      <c r="AE97" s="209">
        <v>24</v>
      </c>
      <c r="AF97" s="140" t="str">
        <f>IF(ISBLANK(STUD!F58)," ",STUD!F58)</f>
        <v xml:space="preserve"> </v>
      </c>
      <c r="AG97" s="184">
        <f t="shared" si="41"/>
        <v>0</v>
      </c>
      <c r="AH97" s="184">
        <f t="shared" si="46"/>
        <v>0</v>
      </c>
      <c r="AI97" s="53" t="str">
        <f t="shared" si="42"/>
        <v xml:space="preserve"> </v>
      </c>
      <c r="AJ97" s="53" t="str">
        <f>IF(AI97="","",IFERROR(IF(VLOOKUP(AI97,Programa!$V$3:$W$18,2,0)="","",VLOOKUP(AI97,Programa!$V$3:$W$18,2,0)),""))</f>
        <v/>
      </c>
      <c r="AK97" s="53" t="str">
        <f t="shared" si="43"/>
        <v xml:space="preserve"> </v>
      </c>
      <c r="AL97" s="53" t="str">
        <f>IF(AK97="","",IFERROR(IF(VLOOKUP(AK97,Programa!$V$19:$W$34,2,0)="","",VLOOKUP(AK97,Programa!$V$19:$W$34,2,0)),""))</f>
        <v/>
      </c>
      <c r="AM97" s="53" t="str">
        <f t="shared" si="44"/>
        <v xml:space="preserve"> </v>
      </c>
      <c r="AN97" s="53" t="str">
        <f>IF(AM97="","",IFERROR(IF(VLOOKUP(AM97,Programa!$V$35:$W$50,2,0)="","",VLOOKUP(AM97,Programa!$V$35:$W$50,2,0)),""))</f>
        <v/>
      </c>
    </row>
    <row r="98" spans="1:40" ht="15.75" customHeight="1" x14ac:dyDescent="0.6">
      <c r="A98" s="242"/>
      <c r="B98" s="243"/>
      <c r="C98" s="245"/>
      <c r="D98" s="138">
        <f t="shared" ref="D98:AB98" si="58">IF(IFERROR(IF(VLOOKUP(D97,D$151:D$155,1,0)&gt;=1,D$150,0),D97)=D$132,D$136,IF(IFERROR(IF(VLOOKUP(D97,D$151:D$155,1,0)&gt;=1,D$150,0),D97)=D$139,D$142,IF(IFERROR(IF(VLOOKUP(D97,D$151:D$155,1,0)&gt;=1,D$150,0),D97)=D$145,D$147,0)))</f>
        <v>0</v>
      </c>
      <c r="E98" s="138">
        <f t="shared" si="58"/>
        <v>0</v>
      </c>
      <c r="F98" s="138">
        <f t="shared" si="58"/>
        <v>8.8000000000000007</v>
      </c>
      <c r="G98" s="138">
        <f t="shared" si="58"/>
        <v>0</v>
      </c>
      <c r="H98" s="138">
        <f t="shared" si="58"/>
        <v>0</v>
      </c>
      <c r="I98" s="138">
        <f t="shared" si="58"/>
        <v>0</v>
      </c>
      <c r="J98" s="138">
        <f t="shared" si="58"/>
        <v>0</v>
      </c>
      <c r="K98" s="138">
        <f t="shared" si="58"/>
        <v>0</v>
      </c>
      <c r="L98" s="138">
        <f t="shared" si="58"/>
        <v>0</v>
      </c>
      <c r="M98" s="138">
        <f t="shared" si="58"/>
        <v>0</v>
      </c>
      <c r="N98" s="138">
        <f t="shared" si="58"/>
        <v>4.5</v>
      </c>
      <c r="O98" s="138">
        <f t="shared" si="58"/>
        <v>0</v>
      </c>
      <c r="P98" s="138">
        <f t="shared" si="58"/>
        <v>0</v>
      </c>
      <c r="Q98" s="138">
        <f t="shared" si="58"/>
        <v>0</v>
      </c>
      <c r="R98" s="138">
        <f t="shared" si="58"/>
        <v>0</v>
      </c>
      <c r="S98" s="138">
        <f t="shared" si="58"/>
        <v>0</v>
      </c>
      <c r="T98" s="138">
        <f t="shared" si="58"/>
        <v>0</v>
      </c>
      <c r="U98" s="138">
        <f t="shared" si="58"/>
        <v>0</v>
      </c>
      <c r="V98" s="138">
        <f t="shared" si="58"/>
        <v>0</v>
      </c>
      <c r="W98" s="138">
        <f t="shared" si="58"/>
        <v>0</v>
      </c>
      <c r="X98" s="138">
        <f t="shared" si="58"/>
        <v>0</v>
      </c>
      <c r="Y98" s="138">
        <f t="shared" si="58"/>
        <v>0</v>
      </c>
      <c r="Z98" s="138">
        <f t="shared" si="58"/>
        <v>0</v>
      </c>
      <c r="AA98" s="138">
        <f t="shared" si="58"/>
        <v>0</v>
      </c>
      <c r="AB98" s="138">
        <f t="shared" si="58"/>
        <v>0</v>
      </c>
      <c r="AC98" s="243"/>
      <c r="AE98" s="210">
        <v>25</v>
      </c>
      <c r="AF98" s="140" t="str">
        <f>IF(ISBLANK(STUD!F59)," ",STUD!F59)</f>
        <v xml:space="preserve"> </v>
      </c>
      <c r="AG98" s="184">
        <f t="shared" si="41"/>
        <v>0</v>
      </c>
      <c r="AH98" s="184">
        <f t="shared" si="46"/>
        <v>0</v>
      </c>
      <c r="AI98" s="53" t="str">
        <f t="shared" si="42"/>
        <v xml:space="preserve"> </v>
      </c>
      <c r="AJ98" s="53" t="str">
        <f>IF(AI98="","",IFERROR(IF(VLOOKUP(AI98,Programa!$V$3:$W$18,2,0)="","",VLOOKUP(AI98,Programa!$V$3:$W$18,2,0)),""))</f>
        <v/>
      </c>
      <c r="AK98" s="53" t="str">
        <f t="shared" si="43"/>
        <v xml:space="preserve"> </v>
      </c>
      <c r="AL98" s="53" t="str">
        <f>IF(AK98="","",IFERROR(IF(VLOOKUP(AK98,Programa!$V$19:$W$34,2,0)="","",VLOOKUP(AK98,Programa!$V$19:$W$34,2,0)),""))</f>
        <v/>
      </c>
      <c r="AM98" s="53" t="str">
        <f t="shared" si="44"/>
        <v xml:space="preserve"> </v>
      </c>
      <c r="AN98" s="53" t="str">
        <f>IF(AM98="","",IFERROR(IF(VLOOKUP(AM98,Programa!$V$35:$W$50,2,0)="","",VLOOKUP(AM98,Programa!$V$35:$W$50,2,0)),""))</f>
        <v/>
      </c>
    </row>
    <row r="99" spans="1:40" ht="15.75" customHeight="1" x14ac:dyDescent="0.6">
      <c r="A99" s="288">
        <f t="shared" si="49"/>
        <v>14</v>
      </c>
      <c r="B99" s="243">
        <f>STUD!F48</f>
        <v>0</v>
      </c>
      <c r="C99" s="244">
        <f>SUM(D100:AB100)</f>
        <v>8.8000000000000007</v>
      </c>
      <c r="D99" s="137">
        <v>3</v>
      </c>
      <c r="E99" s="137">
        <v>5</v>
      </c>
      <c r="F99" s="137">
        <v>4</v>
      </c>
      <c r="G99" s="137">
        <v>4</v>
      </c>
      <c r="H99" s="137">
        <v>7</v>
      </c>
      <c r="I99" s="137">
        <v>13</v>
      </c>
      <c r="J99" s="137">
        <v>4</v>
      </c>
      <c r="K99" s="137">
        <v>3</v>
      </c>
      <c r="L99" s="137">
        <v>1</v>
      </c>
      <c r="M99" s="137">
        <v>2</v>
      </c>
      <c r="N99" s="135">
        <v>6</v>
      </c>
      <c r="O99" s="135">
        <v>1</v>
      </c>
      <c r="P99" s="135">
        <v>3</v>
      </c>
      <c r="Q99" s="135">
        <v>10</v>
      </c>
      <c r="R99" s="135">
        <v>3</v>
      </c>
      <c r="S99" s="135">
        <v>10</v>
      </c>
      <c r="T99" s="135">
        <v>13</v>
      </c>
      <c r="U99" s="135">
        <v>13</v>
      </c>
      <c r="V99" s="135">
        <v>14</v>
      </c>
      <c r="W99" s="135"/>
      <c r="X99" s="135"/>
      <c r="Y99" s="135"/>
      <c r="Z99" s="135"/>
      <c r="AA99" s="135"/>
      <c r="AB99" s="135"/>
      <c r="AC99" s="243">
        <f>SUM(D100:AB100)</f>
        <v>8.8000000000000007</v>
      </c>
      <c r="AE99" s="211">
        <v>26</v>
      </c>
      <c r="AF99" s="140" t="str">
        <f>IF(ISBLANK(STUD!F60)," ",STUD!F60)</f>
        <v xml:space="preserve"> </v>
      </c>
      <c r="AG99" s="184">
        <f t="shared" si="41"/>
        <v>0</v>
      </c>
      <c r="AH99" s="184">
        <f t="shared" si="46"/>
        <v>0</v>
      </c>
      <c r="AI99" s="53" t="str">
        <f t="shared" si="42"/>
        <v xml:space="preserve"> </v>
      </c>
      <c r="AJ99" s="53" t="str">
        <f>IF(AI99="","",IFERROR(IF(VLOOKUP(AI99,Programa!$V$3:$W$18,2,0)="","",VLOOKUP(AI99,Programa!$V$3:$W$18,2,0)),""))</f>
        <v/>
      </c>
      <c r="AK99" s="53" t="str">
        <f t="shared" si="43"/>
        <v xml:space="preserve"> </v>
      </c>
      <c r="AL99" s="53" t="str">
        <f>IF(AK99="","",IFERROR(IF(VLOOKUP(AK99,Programa!$V$19:$W$34,2,0)="","",VLOOKUP(AK99,Programa!$V$19:$W$34,2,0)),""))</f>
        <v/>
      </c>
      <c r="AM99" s="53" t="str">
        <f t="shared" si="44"/>
        <v xml:space="preserve"> </v>
      </c>
      <c r="AN99" s="53" t="str">
        <f>IF(AM99="","",IFERROR(IF(VLOOKUP(AM99,Programa!$V$35:$W$50,2,0)="","",VLOOKUP(AM99,Programa!$V$35:$W$50,2,0)),""))</f>
        <v/>
      </c>
    </row>
    <row r="100" spans="1:40" ht="15.75" customHeight="1" x14ac:dyDescent="0.6">
      <c r="A100" s="242"/>
      <c r="B100" s="243"/>
      <c r="C100" s="245"/>
      <c r="D100" s="138">
        <f t="shared" ref="D100:AB100" si="59">IF(IFERROR(IF(VLOOKUP(D99,D$151:D$155,1,0)&gt;=1,D$150,0),D99)=D$132,D$136,IF(IFERROR(IF(VLOOKUP(D99,D$151:D$155,1,0)&gt;=1,D$150,0),D99)=D$139,D$142,IF(IFERROR(IF(VLOOKUP(D99,D$151:D$155,1,0)&gt;=1,D$150,0),D99)=D$145,D$147,0)))</f>
        <v>0</v>
      </c>
      <c r="E100" s="138">
        <f t="shared" si="59"/>
        <v>0</v>
      </c>
      <c r="F100" s="138">
        <f t="shared" si="59"/>
        <v>0</v>
      </c>
      <c r="G100" s="138">
        <f t="shared" si="59"/>
        <v>0</v>
      </c>
      <c r="H100" s="138">
        <f t="shared" si="59"/>
        <v>0</v>
      </c>
      <c r="I100" s="138">
        <f t="shared" si="59"/>
        <v>0</v>
      </c>
      <c r="J100" s="138">
        <f t="shared" si="59"/>
        <v>0</v>
      </c>
      <c r="K100" s="138">
        <f t="shared" si="59"/>
        <v>0</v>
      </c>
      <c r="L100" s="138">
        <f t="shared" si="59"/>
        <v>0</v>
      </c>
      <c r="M100" s="138">
        <f t="shared" si="59"/>
        <v>0</v>
      </c>
      <c r="N100" s="138">
        <f t="shared" si="59"/>
        <v>0</v>
      </c>
      <c r="O100" s="138">
        <f t="shared" si="59"/>
        <v>0</v>
      </c>
      <c r="P100" s="138">
        <f t="shared" si="59"/>
        <v>0</v>
      </c>
      <c r="Q100" s="138">
        <f t="shared" si="59"/>
        <v>0</v>
      </c>
      <c r="R100" s="138">
        <f t="shared" si="59"/>
        <v>0</v>
      </c>
      <c r="S100" s="138">
        <f t="shared" si="59"/>
        <v>4.7</v>
      </c>
      <c r="T100" s="138">
        <f t="shared" si="59"/>
        <v>0</v>
      </c>
      <c r="U100" s="138">
        <f t="shared" si="59"/>
        <v>4.0999999999999996</v>
      </c>
      <c r="V100" s="138">
        <f t="shared" si="59"/>
        <v>0</v>
      </c>
      <c r="W100" s="138">
        <f t="shared" si="59"/>
        <v>0</v>
      </c>
      <c r="X100" s="138">
        <f t="shared" si="59"/>
        <v>0</v>
      </c>
      <c r="Y100" s="138">
        <f t="shared" si="59"/>
        <v>0</v>
      </c>
      <c r="Z100" s="138">
        <f t="shared" si="59"/>
        <v>0</v>
      </c>
      <c r="AA100" s="138">
        <f t="shared" si="59"/>
        <v>0</v>
      </c>
      <c r="AB100" s="138">
        <f t="shared" si="59"/>
        <v>0</v>
      </c>
      <c r="AC100" s="243"/>
      <c r="AE100" s="212">
        <v>27</v>
      </c>
      <c r="AF100" s="140" t="str">
        <f>IF(ISBLANK(STUD!F61)," ",STUD!F61)</f>
        <v xml:space="preserve"> </v>
      </c>
      <c r="AG100" s="184">
        <f t="shared" si="41"/>
        <v>0</v>
      </c>
      <c r="AH100" s="184">
        <f t="shared" si="46"/>
        <v>0</v>
      </c>
      <c r="AI100" s="53" t="str">
        <f t="shared" si="42"/>
        <v xml:space="preserve"> </v>
      </c>
      <c r="AJ100" s="53" t="str">
        <f>IF(AI100="","",IFERROR(IF(VLOOKUP(AI100,Programa!$V$3:$W$18,2,0)="","",VLOOKUP(AI100,Programa!$V$3:$W$18,2,0)),""))</f>
        <v/>
      </c>
      <c r="AK100" s="53" t="str">
        <f t="shared" si="43"/>
        <v xml:space="preserve"> </v>
      </c>
      <c r="AL100" s="53" t="str">
        <f>IF(AK100="","",IFERROR(IF(VLOOKUP(AK100,Programa!$V$19:$W$34,2,0)="","",VLOOKUP(AK100,Programa!$V$19:$W$34,2,0)),""))</f>
        <v/>
      </c>
      <c r="AM100" s="53" t="str">
        <f t="shared" si="44"/>
        <v xml:space="preserve"> </v>
      </c>
      <c r="AN100" s="53" t="str">
        <f>IF(AM100="","",IFERROR(IF(VLOOKUP(AM100,Programa!$V$35:$W$50,2,0)="","",VLOOKUP(AM100,Programa!$V$35:$W$50,2,0)),""))</f>
        <v/>
      </c>
    </row>
    <row r="101" spans="1:40" ht="15.75" customHeight="1" x14ac:dyDescent="0.6">
      <c r="A101" s="288">
        <f t="shared" si="49"/>
        <v>15</v>
      </c>
      <c r="B101" s="243">
        <f>STUD!F49</f>
        <v>0</v>
      </c>
      <c r="C101" s="244">
        <f>SUM(D102:AB102)</f>
        <v>28</v>
      </c>
      <c r="D101" s="135">
        <v>6</v>
      </c>
      <c r="E101" s="135">
        <v>6</v>
      </c>
      <c r="F101" s="135">
        <v>2</v>
      </c>
      <c r="G101" s="135">
        <v>1</v>
      </c>
      <c r="H101" s="135">
        <v>2</v>
      </c>
      <c r="I101" s="135">
        <v>2</v>
      </c>
      <c r="J101" s="135">
        <v>11</v>
      </c>
      <c r="K101" s="135">
        <v>4</v>
      </c>
      <c r="L101" s="135">
        <v>6</v>
      </c>
      <c r="M101" s="135">
        <v>2</v>
      </c>
      <c r="N101" s="135">
        <v>5</v>
      </c>
      <c r="O101" s="136">
        <v>1</v>
      </c>
      <c r="P101" s="135">
        <v>8</v>
      </c>
      <c r="Q101" s="135">
        <v>3</v>
      </c>
      <c r="R101" s="135">
        <v>5</v>
      </c>
      <c r="S101" s="135">
        <v>13</v>
      </c>
      <c r="T101" s="135">
        <v>15</v>
      </c>
      <c r="U101" s="135">
        <v>3</v>
      </c>
      <c r="V101" s="135">
        <v>9</v>
      </c>
      <c r="W101" s="135"/>
      <c r="X101" s="135"/>
      <c r="Y101" s="135"/>
      <c r="Z101" s="135"/>
      <c r="AA101" s="135"/>
      <c r="AB101" s="135"/>
      <c r="AC101" s="243">
        <f>SUM(D102:AB102)</f>
        <v>28</v>
      </c>
      <c r="AE101" s="213">
        <v>28</v>
      </c>
      <c r="AF101" s="140" t="str">
        <f>IF(ISBLANK(STUD!F62)," ",STUD!F62)</f>
        <v xml:space="preserve"> </v>
      </c>
      <c r="AG101" s="184">
        <f t="shared" si="41"/>
        <v>0</v>
      </c>
      <c r="AH101" s="184">
        <f t="shared" si="46"/>
        <v>0</v>
      </c>
      <c r="AI101" s="53" t="str">
        <f t="shared" si="42"/>
        <v xml:space="preserve"> </v>
      </c>
      <c r="AJ101" s="53" t="str">
        <f>IF(AI101="","",IFERROR(IF(VLOOKUP(AI101,Programa!$V$3:$W$18,2,0)="","",VLOOKUP(AI101,Programa!$V$3:$W$18,2,0)),""))</f>
        <v/>
      </c>
      <c r="AK101" s="53" t="str">
        <f t="shared" si="43"/>
        <v xml:space="preserve"> </v>
      </c>
      <c r="AL101" s="53" t="str">
        <f>IF(AK101="","",IFERROR(IF(VLOOKUP(AK101,Programa!$V$19:$W$34,2,0)="","",VLOOKUP(AK101,Programa!$V$19:$W$34,2,0)),""))</f>
        <v/>
      </c>
      <c r="AM101" s="53" t="str">
        <f t="shared" si="44"/>
        <v xml:space="preserve"> </v>
      </c>
      <c r="AN101" s="53" t="str">
        <f>IF(AM101="","",IFERROR(IF(VLOOKUP(AM101,Programa!$V$35:$W$50,2,0)="","",VLOOKUP(AM101,Programa!$V$35:$W$50,2,0)),""))</f>
        <v/>
      </c>
    </row>
    <row r="102" spans="1:40" ht="15.75" customHeight="1" x14ac:dyDescent="0.4">
      <c r="A102" s="242"/>
      <c r="B102" s="243"/>
      <c r="C102" s="245"/>
      <c r="D102" s="138">
        <f t="shared" ref="D102:AB102" si="60">IF(IFERROR(IF(VLOOKUP(D101,D$151:D$155,1,0)&gt;=1,D$150,0),D101)=D$132,D$136,IF(IFERROR(IF(VLOOKUP(D101,D$151:D$155,1,0)&gt;=1,D$150,0),D101)=D$139,D$142,IF(IFERROR(IF(VLOOKUP(D101,D$151:D$155,1,0)&gt;=1,D$150,0),D101)=D$145,D$147,0)))</f>
        <v>0</v>
      </c>
      <c r="E102" s="138">
        <f t="shared" si="60"/>
        <v>0</v>
      </c>
      <c r="F102" s="138">
        <f t="shared" si="60"/>
        <v>7.1000000000000005</v>
      </c>
      <c r="G102" s="138">
        <f t="shared" si="60"/>
        <v>0</v>
      </c>
      <c r="H102" s="138">
        <f t="shared" si="60"/>
        <v>0</v>
      </c>
      <c r="I102" s="138">
        <f t="shared" si="60"/>
        <v>0</v>
      </c>
      <c r="J102" s="138">
        <f t="shared" si="60"/>
        <v>0</v>
      </c>
      <c r="K102" s="138">
        <f t="shared" si="60"/>
        <v>0</v>
      </c>
      <c r="L102" s="138">
        <f t="shared" si="60"/>
        <v>11.7</v>
      </c>
      <c r="M102" s="138">
        <f t="shared" si="60"/>
        <v>0</v>
      </c>
      <c r="N102" s="138">
        <f t="shared" si="60"/>
        <v>4.5</v>
      </c>
      <c r="O102" s="138">
        <f t="shared" si="60"/>
        <v>0</v>
      </c>
      <c r="P102" s="138">
        <f t="shared" si="60"/>
        <v>0</v>
      </c>
      <c r="Q102" s="138">
        <f t="shared" si="60"/>
        <v>4.7</v>
      </c>
      <c r="R102" s="138">
        <f t="shared" si="60"/>
        <v>0</v>
      </c>
      <c r="S102" s="138">
        <f t="shared" si="60"/>
        <v>0</v>
      </c>
      <c r="T102" s="138">
        <f t="shared" si="60"/>
        <v>0</v>
      </c>
      <c r="U102" s="138">
        <f t="shared" si="60"/>
        <v>0</v>
      </c>
      <c r="V102" s="138">
        <f t="shared" si="60"/>
        <v>0</v>
      </c>
      <c r="W102" s="138">
        <f t="shared" si="60"/>
        <v>0</v>
      </c>
      <c r="X102" s="138">
        <f t="shared" si="60"/>
        <v>0</v>
      </c>
      <c r="Y102" s="138">
        <f t="shared" si="60"/>
        <v>0</v>
      </c>
      <c r="Z102" s="138">
        <f t="shared" si="60"/>
        <v>0</v>
      </c>
      <c r="AA102" s="138">
        <f t="shared" si="60"/>
        <v>0</v>
      </c>
      <c r="AB102" s="138">
        <f t="shared" si="60"/>
        <v>0</v>
      </c>
      <c r="AC102" s="243"/>
      <c r="AI102" s="54"/>
      <c r="AJ102" s="54"/>
      <c r="AK102" s="54"/>
      <c r="AL102" s="54"/>
      <c r="AM102" s="54"/>
      <c r="AN102" s="54"/>
    </row>
    <row r="103" spans="1:40" ht="15.75" customHeight="1" x14ac:dyDescent="0.45">
      <c r="A103" s="288">
        <f t="shared" si="49"/>
        <v>16</v>
      </c>
      <c r="B103" s="243">
        <f>STUD!F50</f>
        <v>0</v>
      </c>
      <c r="C103" s="244">
        <f>SUM(D104:AB104)</f>
        <v>17.8</v>
      </c>
      <c r="D103" s="135">
        <v>12</v>
      </c>
      <c r="E103" s="135">
        <v>9</v>
      </c>
      <c r="F103" s="135">
        <v>8</v>
      </c>
      <c r="G103" s="135">
        <v>5</v>
      </c>
      <c r="H103" s="135">
        <v>3</v>
      </c>
      <c r="I103" s="135">
        <v>13</v>
      </c>
      <c r="J103" s="135">
        <v>7</v>
      </c>
      <c r="K103" s="135">
        <v>7</v>
      </c>
      <c r="L103" s="135">
        <v>10</v>
      </c>
      <c r="M103" s="135">
        <v>8</v>
      </c>
      <c r="N103" s="135">
        <v>7</v>
      </c>
      <c r="O103" s="135">
        <v>7</v>
      </c>
      <c r="P103" s="135">
        <v>2</v>
      </c>
      <c r="Q103" s="135">
        <v>5</v>
      </c>
      <c r="R103" s="135">
        <v>9</v>
      </c>
      <c r="S103" s="135">
        <v>1</v>
      </c>
      <c r="T103" s="135">
        <v>9</v>
      </c>
      <c r="U103" s="135">
        <v>11</v>
      </c>
      <c r="V103" s="135">
        <v>15</v>
      </c>
      <c r="W103" s="135"/>
      <c r="X103" s="135"/>
      <c r="Y103" s="135"/>
      <c r="Z103" s="135"/>
      <c r="AA103" s="135"/>
      <c r="AB103" s="135"/>
      <c r="AC103" s="243">
        <f>SUM(D104:AB104)</f>
        <v>17.8</v>
      </c>
      <c r="AE103" s="55" t="s">
        <v>51</v>
      </c>
      <c r="AF103" s="57">
        <f>COUNTA(STUD!B35:B68)</f>
        <v>34</v>
      </c>
      <c r="AG103" s="55" t="s">
        <v>16</v>
      </c>
      <c r="AH103" s="56">
        <f>(AF103-1)*5000</f>
        <v>165000</v>
      </c>
    </row>
    <row r="104" spans="1:40" ht="15.75" customHeight="1" x14ac:dyDescent="0.4">
      <c r="A104" s="242"/>
      <c r="B104" s="243"/>
      <c r="C104" s="245"/>
      <c r="D104" s="138">
        <f t="shared" ref="D104:AB104" si="61">IF(IFERROR(IF(VLOOKUP(D103,D$151:D$155,1,0)&gt;=1,D$150,0),D103)=D$132,D$136,IF(IFERROR(IF(VLOOKUP(D103,D$151:D$155,1,0)&gt;=1,D$150,0),D103)=D$139,D$142,IF(IFERROR(IF(VLOOKUP(D103,D$151:D$155,1,0)&gt;=1,D$150,0),D103)=D$145,D$147,0)))</f>
        <v>1.4</v>
      </c>
      <c r="E104" s="138">
        <f t="shared" si="61"/>
        <v>0</v>
      </c>
      <c r="F104" s="138">
        <f t="shared" si="61"/>
        <v>8.8000000000000007</v>
      </c>
      <c r="G104" s="138">
        <f t="shared" si="61"/>
        <v>3.6</v>
      </c>
      <c r="H104" s="138">
        <f t="shared" si="61"/>
        <v>0</v>
      </c>
      <c r="I104" s="138">
        <f t="shared" si="61"/>
        <v>0</v>
      </c>
      <c r="J104" s="138">
        <f t="shared" si="61"/>
        <v>0</v>
      </c>
      <c r="K104" s="138">
        <f t="shared" si="61"/>
        <v>0</v>
      </c>
      <c r="L104" s="138">
        <f t="shared" si="61"/>
        <v>0</v>
      </c>
      <c r="M104" s="138">
        <f t="shared" si="61"/>
        <v>0</v>
      </c>
      <c r="N104" s="138">
        <f t="shared" si="61"/>
        <v>0</v>
      </c>
      <c r="O104" s="138">
        <f t="shared" si="61"/>
        <v>0</v>
      </c>
      <c r="P104" s="138">
        <f t="shared" si="61"/>
        <v>0</v>
      </c>
      <c r="Q104" s="138">
        <f t="shared" si="61"/>
        <v>0</v>
      </c>
      <c r="R104" s="138">
        <f t="shared" si="61"/>
        <v>0</v>
      </c>
      <c r="S104" s="138">
        <f t="shared" si="61"/>
        <v>0</v>
      </c>
      <c r="T104" s="138">
        <f t="shared" si="61"/>
        <v>4</v>
      </c>
      <c r="U104" s="138">
        <f t="shared" si="61"/>
        <v>0</v>
      </c>
      <c r="V104" s="138">
        <f t="shared" si="61"/>
        <v>0</v>
      </c>
      <c r="W104" s="138">
        <f t="shared" si="61"/>
        <v>0</v>
      </c>
      <c r="X104" s="138">
        <f t="shared" si="61"/>
        <v>0</v>
      </c>
      <c r="Y104" s="138">
        <f t="shared" si="61"/>
        <v>0</v>
      </c>
      <c r="Z104" s="138">
        <f t="shared" si="61"/>
        <v>0</v>
      </c>
      <c r="AA104" s="138">
        <f t="shared" si="61"/>
        <v>0</v>
      </c>
      <c r="AB104" s="138">
        <f t="shared" si="61"/>
        <v>0</v>
      </c>
      <c r="AC104" s="243"/>
      <c r="AE104" s="58" t="s">
        <v>38</v>
      </c>
      <c r="AF104" s="58"/>
      <c r="AG104" s="59">
        <f>($AH$103-$AG$106)*80%</f>
        <v>118800</v>
      </c>
      <c r="AH104" s="59"/>
    </row>
    <row r="105" spans="1:40" ht="15.75" customHeight="1" x14ac:dyDescent="0.4">
      <c r="A105" s="288">
        <f t="shared" si="49"/>
        <v>17</v>
      </c>
      <c r="B105" s="243">
        <f>STUD!F51</f>
        <v>0</v>
      </c>
      <c r="C105" s="244">
        <f>SUM(D106:AB106)</f>
        <v>25</v>
      </c>
      <c r="D105" s="135"/>
      <c r="E105" s="135">
        <v>3</v>
      </c>
      <c r="F105" s="135">
        <v>5</v>
      </c>
      <c r="G105" s="135">
        <v>4</v>
      </c>
      <c r="H105" s="135">
        <v>8</v>
      </c>
      <c r="I105" s="135">
        <v>12</v>
      </c>
      <c r="J105" s="135">
        <v>2</v>
      </c>
      <c r="K105" s="135">
        <v>5</v>
      </c>
      <c r="L105" s="135">
        <v>4</v>
      </c>
      <c r="M105" s="135">
        <v>10</v>
      </c>
      <c r="N105" s="135">
        <v>9</v>
      </c>
      <c r="O105" s="135">
        <v>10</v>
      </c>
      <c r="P105" s="135">
        <v>4</v>
      </c>
      <c r="Q105" s="135">
        <v>12</v>
      </c>
      <c r="R105" s="135">
        <v>4</v>
      </c>
      <c r="S105" s="135">
        <v>1</v>
      </c>
      <c r="T105" s="135">
        <v>5</v>
      </c>
      <c r="U105" s="135">
        <v>3</v>
      </c>
      <c r="V105" s="135">
        <v>2</v>
      </c>
      <c r="W105" s="135"/>
      <c r="X105" s="135"/>
      <c r="Y105" s="135"/>
      <c r="Z105" s="135"/>
      <c r="AA105" s="135"/>
      <c r="AB105" s="135"/>
      <c r="AC105" s="243">
        <f>SUM(D106:AB106)</f>
        <v>25</v>
      </c>
      <c r="AE105" s="58" t="s">
        <v>39</v>
      </c>
      <c r="AF105" s="58"/>
      <c r="AG105" s="59">
        <f>($AH$103-$AG$106)*20%</f>
        <v>29700</v>
      </c>
      <c r="AH105" s="59"/>
    </row>
    <row r="106" spans="1:40" ht="15.75" customHeight="1" x14ac:dyDescent="0.4">
      <c r="A106" s="242"/>
      <c r="B106" s="243"/>
      <c r="C106" s="245"/>
      <c r="D106" s="138">
        <f t="shared" ref="D106:AB106" si="62">IF(IFERROR(IF(VLOOKUP(D105,D$151:D$155,1,0)&gt;=1,D$150,0),D105)=D$132,D$136,IF(IFERROR(IF(VLOOKUP(D105,D$151:D$155,1,0)&gt;=1,D$150,0),D105)=D$139,D$142,IF(IFERROR(IF(VLOOKUP(D105,D$151:D$155,1,0)&gt;=1,D$150,0),D105)=D$145,D$147,0)))</f>
        <v>0</v>
      </c>
      <c r="E106" s="138">
        <f t="shared" si="62"/>
        <v>4.7</v>
      </c>
      <c r="F106" s="138">
        <f t="shared" si="62"/>
        <v>2.2999999999999998</v>
      </c>
      <c r="G106" s="138">
        <f t="shared" si="62"/>
        <v>0</v>
      </c>
      <c r="H106" s="138">
        <f t="shared" si="62"/>
        <v>1.4</v>
      </c>
      <c r="I106" s="138">
        <f t="shared" si="62"/>
        <v>0</v>
      </c>
      <c r="J106" s="138">
        <f t="shared" si="62"/>
        <v>3.9</v>
      </c>
      <c r="K106" s="138">
        <f t="shared" si="62"/>
        <v>0</v>
      </c>
      <c r="L106" s="138">
        <f t="shared" si="62"/>
        <v>0</v>
      </c>
      <c r="M106" s="138">
        <f t="shared" si="62"/>
        <v>0</v>
      </c>
      <c r="N106" s="138">
        <f t="shared" si="62"/>
        <v>5.2</v>
      </c>
      <c r="O106" s="138">
        <f t="shared" si="62"/>
        <v>0</v>
      </c>
      <c r="P106" s="138">
        <f t="shared" si="62"/>
        <v>1.1000000000000001</v>
      </c>
      <c r="Q106" s="138">
        <f t="shared" si="62"/>
        <v>6.3999999999999995</v>
      </c>
      <c r="R106" s="138">
        <f t="shared" si="62"/>
        <v>0</v>
      </c>
      <c r="S106" s="138">
        <f t="shared" si="62"/>
        <v>0</v>
      </c>
      <c r="T106" s="138">
        <f t="shared" si="62"/>
        <v>0</v>
      </c>
      <c r="U106" s="138">
        <f t="shared" si="62"/>
        <v>0</v>
      </c>
      <c r="V106" s="138">
        <f t="shared" si="62"/>
        <v>0</v>
      </c>
      <c r="W106" s="138">
        <f t="shared" si="62"/>
        <v>0</v>
      </c>
      <c r="X106" s="138">
        <f t="shared" si="62"/>
        <v>0</v>
      </c>
      <c r="Y106" s="138">
        <f t="shared" si="62"/>
        <v>0</v>
      </c>
      <c r="Z106" s="138">
        <f t="shared" si="62"/>
        <v>0</v>
      </c>
      <c r="AA106" s="138">
        <f t="shared" si="62"/>
        <v>0</v>
      </c>
      <c r="AB106" s="138">
        <f t="shared" si="62"/>
        <v>0</v>
      </c>
      <c r="AC106" s="243"/>
      <c r="AE106" s="58" t="s">
        <v>40</v>
      </c>
      <c r="AF106" s="58"/>
      <c r="AG106" s="60">
        <f>(AH103*10%)</f>
        <v>16500</v>
      </c>
      <c r="AH106" s="60"/>
    </row>
    <row r="107" spans="1:40" ht="15.75" customHeight="1" x14ac:dyDescent="0.4">
      <c r="A107" s="288">
        <f t="shared" si="49"/>
        <v>18</v>
      </c>
      <c r="B107" s="243">
        <f>STUD!F52</f>
        <v>0</v>
      </c>
      <c r="C107" s="244">
        <f>SUM(D108:AB108)</f>
        <v>27.200000000000003</v>
      </c>
      <c r="D107" s="135"/>
      <c r="E107" s="135">
        <v>2</v>
      </c>
      <c r="F107" s="135">
        <v>6</v>
      </c>
      <c r="G107" s="135">
        <v>4</v>
      </c>
      <c r="H107" s="135">
        <v>7</v>
      </c>
      <c r="I107" s="135">
        <v>5</v>
      </c>
      <c r="J107" s="135">
        <v>4</v>
      </c>
      <c r="K107" s="135">
        <v>5</v>
      </c>
      <c r="L107" s="135">
        <v>3</v>
      </c>
      <c r="M107" s="135">
        <v>4</v>
      </c>
      <c r="N107" s="135">
        <v>5</v>
      </c>
      <c r="O107" s="136">
        <v>5</v>
      </c>
      <c r="P107" s="135">
        <v>1</v>
      </c>
      <c r="Q107" s="135">
        <v>9</v>
      </c>
      <c r="R107" s="135">
        <v>3</v>
      </c>
      <c r="S107" s="135">
        <v>5</v>
      </c>
      <c r="T107" s="135">
        <v>12</v>
      </c>
      <c r="U107" s="135">
        <v>9</v>
      </c>
      <c r="V107" s="135">
        <v>1</v>
      </c>
      <c r="W107" s="135"/>
      <c r="X107" s="135"/>
      <c r="Y107" s="135"/>
      <c r="Z107" s="135"/>
      <c r="AA107" s="135"/>
      <c r="AB107" s="135"/>
      <c r="AC107" s="243">
        <f>SUM(D108:AB108)</f>
        <v>27.200000000000003</v>
      </c>
    </row>
    <row r="108" spans="1:40" ht="15.75" customHeight="1" x14ac:dyDescent="0.4">
      <c r="A108" s="242"/>
      <c r="B108" s="243"/>
      <c r="C108" s="245"/>
      <c r="D108" s="138">
        <f t="shared" ref="D108:AB108" si="63">IF(IFERROR(IF(VLOOKUP(D107,D$151:D$155,1,0)&gt;=1,D$150,0),D107)=D$132,D$136,IF(IFERROR(IF(VLOOKUP(D107,D$151:D$155,1,0)&gt;=1,D$150,0),D107)=D$139,D$142,IF(IFERROR(IF(VLOOKUP(D107,D$151:D$155,1,0)&gt;=1,D$150,0),D107)=D$145,D$147,0)))</f>
        <v>0</v>
      </c>
      <c r="E108" s="138">
        <f t="shared" si="63"/>
        <v>2.4</v>
      </c>
      <c r="F108" s="138">
        <f t="shared" si="63"/>
        <v>0</v>
      </c>
      <c r="G108" s="138">
        <f t="shared" si="63"/>
        <v>0</v>
      </c>
      <c r="H108" s="138">
        <f t="shared" si="63"/>
        <v>0</v>
      </c>
      <c r="I108" s="138">
        <f t="shared" si="63"/>
        <v>0</v>
      </c>
      <c r="J108" s="138">
        <f t="shared" si="63"/>
        <v>0</v>
      </c>
      <c r="K108" s="138">
        <f t="shared" si="63"/>
        <v>0</v>
      </c>
      <c r="L108" s="138">
        <f t="shared" si="63"/>
        <v>5.5</v>
      </c>
      <c r="M108" s="138">
        <f t="shared" si="63"/>
        <v>0</v>
      </c>
      <c r="N108" s="138">
        <f t="shared" si="63"/>
        <v>4.5</v>
      </c>
      <c r="O108" s="138">
        <f t="shared" si="63"/>
        <v>14.8</v>
      </c>
      <c r="P108" s="138">
        <f t="shared" si="63"/>
        <v>0</v>
      </c>
      <c r="Q108" s="138">
        <f t="shared" si="63"/>
        <v>0</v>
      </c>
      <c r="R108" s="138">
        <f t="shared" si="63"/>
        <v>0</v>
      </c>
      <c r="S108" s="138">
        <f t="shared" si="63"/>
        <v>0</v>
      </c>
      <c r="T108" s="138">
        <f t="shared" si="63"/>
        <v>0</v>
      </c>
      <c r="U108" s="138">
        <f t="shared" si="63"/>
        <v>0</v>
      </c>
      <c r="V108" s="138">
        <f t="shared" si="63"/>
        <v>0</v>
      </c>
      <c r="W108" s="138">
        <f t="shared" si="63"/>
        <v>0</v>
      </c>
      <c r="X108" s="138">
        <f t="shared" si="63"/>
        <v>0</v>
      </c>
      <c r="Y108" s="138">
        <f t="shared" si="63"/>
        <v>0</v>
      </c>
      <c r="Z108" s="138">
        <f t="shared" si="63"/>
        <v>0</v>
      </c>
      <c r="AA108" s="138">
        <f t="shared" si="63"/>
        <v>0</v>
      </c>
      <c r="AB108" s="138">
        <f t="shared" si="63"/>
        <v>0</v>
      </c>
      <c r="AC108" s="243"/>
    </row>
    <row r="109" spans="1:40" ht="15.75" hidden="1" customHeight="1" x14ac:dyDescent="0.4">
      <c r="A109" s="288">
        <f t="shared" si="49"/>
        <v>19</v>
      </c>
      <c r="B109" s="243">
        <f>STUD!F53</f>
        <v>0</v>
      </c>
      <c r="C109" s="244">
        <f>SUM(D110:AB110)</f>
        <v>0</v>
      </c>
      <c r="D109" s="135"/>
      <c r="E109" s="135"/>
      <c r="F109" s="135"/>
      <c r="G109" s="135"/>
      <c r="H109" s="135"/>
      <c r="I109" s="135"/>
      <c r="J109" s="135"/>
      <c r="K109" s="135"/>
      <c r="L109" s="135"/>
      <c r="M109" s="135"/>
      <c r="N109" s="135"/>
      <c r="O109" s="136"/>
      <c r="P109" s="135"/>
      <c r="Q109" s="135"/>
      <c r="R109" s="135"/>
      <c r="S109" s="135"/>
      <c r="T109" s="135"/>
      <c r="U109" s="135"/>
      <c r="V109" s="135"/>
      <c r="W109" s="135"/>
      <c r="X109" s="135"/>
      <c r="Y109" s="135"/>
      <c r="Z109" s="135"/>
      <c r="AA109" s="135"/>
      <c r="AB109" s="135"/>
      <c r="AC109" s="243">
        <f>SUM(D110:AB110)</f>
        <v>0</v>
      </c>
    </row>
    <row r="110" spans="1:40" ht="15.75" hidden="1" customHeight="1" x14ac:dyDescent="0.4">
      <c r="A110" s="242"/>
      <c r="B110" s="243"/>
      <c r="C110" s="245"/>
      <c r="D110" s="138">
        <f t="shared" ref="D110:AB110" si="64">IF(IFERROR(IF(VLOOKUP(D109,D$151:D$155,1,0)&gt;=1,D$150,0),D109)=D$132,D$136,IF(IFERROR(IF(VLOOKUP(D109,D$151:D$155,1,0)&gt;=1,D$150,0),D109)=D$139,D$142,IF(IFERROR(IF(VLOOKUP(D109,D$151:D$155,1,0)&gt;=1,D$150,0),D109)=D$145,D$147,0)))</f>
        <v>0</v>
      </c>
      <c r="E110" s="138">
        <f t="shared" si="64"/>
        <v>0</v>
      </c>
      <c r="F110" s="138">
        <f t="shared" si="64"/>
        <v>0</v>
      </c>
      <c r="G110" s="138">
        <f t="shared" si="64"/>
        <v>0</v>
      </c>
      <c r="H110" s="138">
        <f t="shared" si="64"/>
        <v>0</v>
      </c>
      <c r="I110" s="138">
        <f t="shared" si="64"/>
        <v>0</v>
      </c>
      <c r="J110" s="138">
        <f t="shared" si="64"/>
        <v>0</v>
      </c>
      <c r="K110" s="138">
        <f t="shared" si="64"/>
        <v>0</v>
      </c>
      <c r="L110" s="138">
        <f t="shared" si="64"/>
        <v>0</v>
      </c>
      <c r="M110" s="138">
        <f t="shared" si="64"/>
        <v>0</v>
      </c>
      <c r="N110" s="138">
        <f t="shared" si="64"/>
        <v>0</v>
      </c>
      <c r="O110" s="138">
        <f t="shared" si="64"/>
        <v>0</v>
      </c>
      <c r="P110" s="138">
        <f t="shared" si="64"/>
        <v>0</v>
      </c>
      <c r="Q110" s="138">
        <f t="shared" si="64"/>
        <v>0</v>
      </c>
      <c r="R110" s="138">
        <f t="shared" si="64"/>
        <v>0</v>
      </c>
      <c r="S110" s="138">
        <f t="shared" si="64"/>
        <v>0</v>
      </c>
      <c r="T110" s="138">
        <f t="shared" si="64"/>
        <v>0</v>
      </c>
      <c r="U110" s="138">
        <f t="shared" si="64"/>
        <v>0</v>
      </c>
      <c r="V110" s="138">
        <f t="shared" si="64"/>
        <v>0</v>
      </c>
      <c r="W110" s="138">
        <f t="shared" si="64"/>
        <v>0</v>
      </c>
      <c r="X110" s="138">
        <f t="shared" si="64"/>
        <v>0</v>
      </c>
      <c r="Y110" s="138">
        <f t="shared" si="64"/>
        <v>0</v>
      </c>
      <c r="Z110" s="138">
        <f t="shared" si="64"/>
        <v>0</v>
      </c>
      <c r="AA110" s="138">
        <f t="shared" si="64"/>
        <v>0</v>
      </c>
      <c r="AB110" s="138">
        <f t="shared" si="64"/>
        <v>0</v>
      </c>
      <c r="AC110" s="243"/>
    </row>
    <row r="111" spans="1:40" ht="15.75" hidden="1" customHeight="1" x14ac:dyDescent="0.4">
      <c r="A111" s="288">
        <f t="shared" si="49"/>
        <v>20</v>
      </c>
      <c r="B111" s="243">
        <f>STUD!F54</f>
        <v>0</v>
      </c>
      <c r="C111" s="244">
        <f>SUM(D112:AB112)</f>
        <v>0</v>
      </c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6"/>
      <c r="P111" s="135"/>
      <c r="Q111" s="135"/>
      <c r="R111" s="135"/>
      <c r="S111" s="135"/>
      <c r="T111" s="135"/>
      <c r="U111" s="135"/>
      <c r="V111" s="135"/>
      <c r="W111" s="135"/>
      <c r="X111" s="135"/>
      <c r="Y111" s="135"/>
      <c r="Z111" s="135"/>
      <c r="AA111" s="135"/>
      <c r="AB111" s="135"/>
      <c r="AC111" s="243">
        <f>SUM(D112:AB112)</f>
        <v>0</v>
      </c>
    </row>
    <row r="112" spans="1:40" ht="15.75" hidden="1" customHeight="1" x14ac:dyDescent="0.4">
      <c r="A112" s="242"/>
      <c r="B112" s="243"/>
      <c r="C112" s="245"/>
      <c r="D112" s="138">
        <f t="shared" ref="D112:AB112" si="65">IF(IFERROR(IF(VLOOKUP(D111,D$151:D$155,1,0)&gt;=1,D$150,0),D111)=D$132,D$136,IF(IFERROR(IF(VLOOKUP(D111,D$151:D$155,1,0)&gt;=1,D$150,0),D111)=D$139,D$142,IF(IFERROR(IF(VLOOKUP(D111,D$151:D$155,1,0)&gt;=1,D$150,0),D111)=D$145,D$147,0)))</f>
        <v>0</v>
      </c>
      <c r="E112" s="138">
        <f t="shared" si="65"/>
        <v>0</v>
      </c>
      <c r="F112" s="138">
        <f t="shared" si="65"/>
        <v>0</v>
      </c>
      <c r="G112" s="138">
        <f t="shared" si="65"/>
        <v>0</v>
      </c>
      <c r="H112" s="138">
        <f t="shared" si="65"/>
        <v>0</v>
      </c>
      <c r="I112" s="138">
        <f t="shared" si="65"/>
        <v>0</v>
      </c>
      <c r="J112" s="138">
        <f t="shared" si="65"/>
        <v>0</v>
      </c>
      <c r="K112" s="138">
        <f t="shared" si="65"/>
        <v>0</v>
      </c>
      <c r="L112" s="138">
        <f t="shared" si="65"/>
        <v>0</v>
      </c>
      <c r="M112" s="138">
        <f t="shared" si="65"/>
        <v>0</v>
      </c>
      <c r="N112" s="138">
        <f t="shared" si="65"/>
        <v>0</v>
      </c>
      <c r="O112" s="138">
        <f t="shared" si="65"/>
        <v>0</v>
      </c>
      <c r="P112" s="138">
        <f t="shared" si="65"/>
        <v>0</v>
      </c>
      <c r="Q112" s="138">
        <f t="shared" si="65"/>
        <v>0</v>
      </c>
      <c r="R112" s="138">
        <f t="shared" si="65"/>
        <v>0</v>
      </c>
      <c r="S112" s="138">
        <f t="shared" si="65"/>
        <v>0</v>
      </c>
      <c r="T112" s="138">
        <f t="shared" si="65"/>
        <v>0</v>
      </c>
      <c r="U112" s="138">
        <f t="shared" si="65"/>
        <v>0</v>
      </c>
      <c r="V112" s="138">
        <f t="shared" si="65"/>
        <v>0</v>
      </c>
      <c r="W112" s="138">
        <f t="shared" si="65"/>
        <v>0</v>
      </c>
      <c r="X112" s="138">
        <f t="shared" si="65"/>
        <v>0</v>
      </c>
      <c r="Y112" s="138">
        <f t="shared" si="65"/>
        <v>0</v>
      </c>
      <c r="Z112" s="138">
        <f t="shared" si="65"/>
        <v>0</v>
      </c>
      <c r="AA112" s="138">
        <f t="shared" si="65"/>
        <v>0</v>
      </c>
      <c r="AB112" s="138">
        <f t="shared" si="65"/>
        <v>0</v>
      </c>
      <c r="AC112" s="243"/>
    </row>
    <row r="113" spans="1:29" ht="15.75" hidden="1" customHeight="1" x14ac:dyDescent="0.4">
      <c r="A113" s="288">
        <f t="shared" si="49"/>
        <v>21</v>
      </c>
      <c r="B113" s="243">
        <f>STUD!F55</f>
        <v>0</v>
      </c>
      <c r="C113" s="244">
        <f>SUM(D114:AB114)</f>
        <v>0</v>
      </c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5"/>
      <c r="S113" s="135"/>
      <c r="T113" s="135"/>
      <c r="U113" s="135"/>
      <c r="V113" s="135"/>
      <c r="W113" s="135"/>
      <c r="X113" s="135"/>
      <c r="Y113" s="135"/>
      <c r="Z113" s="135"/>
      <c r="AA113" s="135"/>
      <c r="AB113" s="135"/>
      <c r="AC113" s="243">
        <f>SUM(D114:AB114)</f>
        <v>0</v>
      </c>
    </row>
    <row r="114" spans="1:29" ht="15.75" hidden="1" customHeight="1" x14ac:dyDescent="0.4">
      <c r="A114" s="242"/>
      <c r="B114" s="243"/>
      <c r="C114" s="245"/>
      <c r="D114" s="138">
        <f t="shared" ref="D114:AB114" si="66">IF(IFERROR(IF(VLOOKUP(D113,D$151:D$155,1,0)&gt;=1,D$150,0),D113)=D$132,D$136,IF(IFERROR(IF(VLOOKUP(D113,D$151:D$155,1,0)&gt;=1,D$150,0),D113)=D$139,D$142,IF(IFERROR(IF(VLOOKUP(D113,D$151:D$155,1,0)&gt;=1,D$150,0),D113)=D$145,D$147,0)))</f>
        <v>0</v>
      </c>
      <c r="E114" s="138">
        <f t="shared" si="66"/>
        <v>0</v>
      </c>
      <c r="F114" s="138">
        <f t="shared" si="66"/>
        <v>0</v>
      </c>
      <c r="G114" s="138">
        <f t="shared" si="66"/>
        <v>0</v>
      </c>
      <c r="H114" s="138">
        <f t="shared" si="66"/>
        <v>0</v>
      </c>
      <c r="I114" s="138">
        <f t="shared" si="66"/>
        <v>0</v>
      </c>
      <c r="J114" s="138">
        <f t="shared" si="66"/>
        <v>0</v>
      </c>
      <c r="K114" s="138">
        <f t="shared" si="66"/>
        <v>0</v>
      </c>
      <c r="L114" s="138">
        <f t="shared" si="66"/>
        <v>0</v>
      </c>
      <c r="M114" s="138">
        <f t="shared" si="66"/>
        <v>0</v>
      </c>
      <c r="N114" s="138">
        <f t="shared" si="66"/>
        <v>0</v>
      </c>
      <c r="O114" s="138">
        <f t="shared" si="66"/>
        <v>0</v>
      </c>
      <c r="P114" s="138">
        <f t="shared" si="66"/>
        <v>0</v>
      </c>
      <c r="Q114" s="138">
        <f t="shared" si="66"/>
        <v>0</v>
      </c>
      <c r="R114" s="138">
        <f t="shared" si="66"/>
        <v>0</v>
      </c>
      <c r="S114" s="138">
        <f t="shared" si="66"/>
        <v>0</v>
      </c>
      <c r="T114" s="138">
        <f t="shared" si="66"/>
        <v>0</v>
      </c>
      <c r="U114" s="138">
        <f t="shared" si="66"/>
        <v>0</v>
      </c>
      <c r="V114" s="138">
        <f t="shared" si="66"/>
        <v>0</v>
      </c>
      <c r="W114" s="138">
        <f t="shared" si="66"/>
        <v>0</v>
      </c>
      <c r="X114" s="138">
        <f t="shared" si="66"/>
        <v>0</v>
      </c>
      <c r="Y114" s="138">
        <f t="shared" si="66"/>
        <v>0</v>
      </c>
      <c r="Z114" s="138">
        <f t="shared" si="66"/>
        <v>0</v>
      </c>
      <c r="AA114" s="138">
        <f t="shared" si="66"/>
        <v>0</v>
      </c>
      <c r="AB114" s="138">
        <f t="shared" si="66"/>
        <v>0</v>
      </c>
      <c r="AC114" s="243"/>
    </row>
    <row r="115" spans="1:29" ht="15.75" hidden="1" customHeight="1" x14ac:dyDescent="0.4">
      <c r="A115" s="288">
        <f t="shared" si="49"/>
        <v>22</v>
      </c>
      <c r="B115" s="243">
        <f>STUD!F56</f>
        <v>0</v>
      </c>
      <c r="C115" s="244">
        <f>SUM(D116:AB116)</f>
        <v>0</v>
      </c>
      <c r="D115" s="135"/>
      <c r="E115" s="135"/>
      <c r="F115" s="135"/>
      <c r="G115" s="135"/>
      <c r="H115" s="135"/>
      <c r="I115" s="135"/>
      <c r="J115" s="135"/>
      <c r="K115" s="135"/>
      <c r="L115" s="135"/>
      <c r="M115" s="135"/>
      <c r="N115" s="135"/>
      <c r="O115" s="135"/>
      <c r="P115" s="135"/>
      <c r="Q115" s="135"/>
      <c r="R115" s="135"/>
      <c r="S115" s="135"/>
      <c r="T115" s="135"/>
      <c r="U115" s="135"/>
      <c r="V115" s="135"/>
      <c r="W115" s="135"/>
      <c r="X115" s="135"/>
      <c r="Y115" s="135"/>
      <c r="Z115" s="135"/>
      <c r="AA115" s="135"/>
      <c r="AB115" s="135"/>
      <c r="AC115" s="243">
        <f>SUM(D116:AB116)</f>
        <v>0</v>
      </c>
    </row>
    <row r="116" spans="1:29" ht="15.75" hidden="1" customHeight="1" x14ac:dyDescent="0.4">
      <c r="A116" s="242"/>
      <c r="B116" s="243"/>
      <c r="C116" s="245"/>
      <c r="D116" s="138">
        <f t="shared" ref="D116:AB116" si="67">IF(IFERROR(IF(VLOOKUP(D115,D$151:D$155,1,0)&gt;=1,D$150,0),D115)=D$132,D$136,IF(IFERROR(IF(VLOOKUP(D115,D$151:D$155,1,0)&gt;=1,D$150,0),D115)=D$139,D$142,IF(IFERROR(IF(VLOOKUP(D115,D$151:D$155,1,0)&gt;=1,D$150,0),D115)=D$145,D$147,0)))</f>
        <v>0</v>
      </c>
      <c r="E116" s="138">
        <f t="shared" si="67"/>
        <v>0</v>
      </c>
      <c r="F116" s="138">
        <f t="shared" si="67"/>
        <v>0</v>
      </c>
      <c r="G116" s="138">
        <f t="shared" si="67"/>
        <v>0</v>
      </c>
      <c r="H116" s="138">
        <f t="shared" si="67"/>
        <v>0</v>
      </c>
      <c r="I116" s="138">
        <f t="shared" si="67"/>
        <v>0</v>
      </c>
      <c r="J116" s="138">
        <f t="shared" si="67"/>
        <v>0</v>
      </c>
      <c r="K116" s="138">
        <f t="shared" si="67"/>
        <v>0</v>
      </c>
      <c r="L116" s="138">
        <f t="shared" si="67"/>
        <v>0</v>
      </c>
      <c r="M116" s="138">
        <f t="shared" si="67"/>
        <v>0</v>
      </c>
      <c r="N116" s="138">
        <f t="shared" si="67"/>
        <v>0</v>
      </c>
      <c r="O116" s="138">
        <f t="shared" si="67"/>
        <v>0</v>
      </c>
      <c r="P116" s="138">
        <f t="shared" si="67"/>
        <v>0</v>
      </c>
      <c r="Q116" s="138">
        <f t="shared" si="67"/>
        <v>0</v>
      </c>
      <c r="R116" s="138">
        <f t="shared" si="67"/>
        <v>0</v>
      </c>
      <c r="S116" s="138">
        <f t="shared" si="67"/>
        <v>0</v>
      </c>
      <c r="T116" s="138">
        <f t="shared" si="67"/>
        <v>0</v>
      </c>
      <c r="U116" s="138">
        <f t="shared" si="67"/>
        <v>0</v>
      </c>
      <c r="V116" s="138">
        <f t="shared" si="67"/>
        <v>0</v>
      </c>
      <c r="W116" s="138">
        <f t="shared" si="67"/>
        <v>0</v>
      </c>
      <c r="X116" s="138">
        <f t="shared" si="67"/>
        <v>0</v>
      </c>
      <c r="Y116" s="138">
        <f t="shared" si="67"/>
        <v>0</v>
      </c>
      <c r="Z116" s="138">
        <f t="shared" si="67"/>
        <v>0</v>
      </c>
      <c r="AA116" s="138">
        <f t="shared" si="67"/>
        <v>0</v>
      </c>
      <c r="AB116" s="138">
        <f t="shared" si="67"/>
        <v>0</v>
      </c>
      <c r="AC116" s="243"/>
    </row>
    <row r="117" spans="1:29" ht="15.75" hidden="1" customHeight="1" x14ac:dyDescent="0.4">
      <c r="A117" s="288">
        <f t="shared" si="49"/>
        <v>23</v>
      </c>
      <c r="B117" s="243">
        <f>STUD!F57</f>
        <v>0</v>
      </c>
      <c r="C117" s="244">
        <f>SUM(D118:AB118)</f>
        <v>0</v>
      </c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4"/>
      <c r="Z117" s="124"/>
      <c r="AA117" s="124"/>
      <c r="AB117" s="124"/>
      <c r="AC117" s="243">
        <f>SUM(D118:AB118)</f>
        <v>0</v>
      </c>
    </row>
    <row r="118" spans="1:29" ht="15.75" hidden="1" customHeight="1" x14ac:dyDescent="0.4">
      <c r="A118" s="242"/>
      <c r="B118" s="243"/>
      <c r="C118" s="245"/>
      <c r="D118" s="127">
        <f t="shared" ref="D118:AB118" si="68">IF(IFERROR(IF(VLOOKUP(D117,D$151:D$155,1,0)&gt;=1,D$150,0),D117)=D$132,D$136,IF(IFERROR(IF(VLOOKUP(D117,D$151:D$155,1,0)&gt;=1,D$150,0),D117)=D$139,D$142,IF(IFERROR(IF(VLOOKUP(D117,D$151:D$155,1,0)&gt;=1,D$150,0),D117)=D$145,D$147,0)))</f>
        <v>0</v>
      </c>
      <c r="E118" s="127">
        <f t="shared" si="68"/>
        <v>0</v>
      </c>
      <c r="F118" s="127">
        <f t="shared" si="68"/>
        <v>0</v>
      </c>
      <c r="G118" s="127">
        <f t="shared" si="68"/>
        <v>0</v>
      </c>
      <c r="H118" s="127">
        <f t="shared" si="68"/>
        <v>0</v>
      </c>
      <c r="I118" s="127">
        <f t="shared" si="68"/>
        <v>0</v>
      </c>
      <c r="J118" s="127">
        <f t="shared" si="68"/>
        <v>0</v>
      </c>
      <c r="K118" s="127">
        <f t="shared" si="68"/>
        <v>0</v>
      </c>
      <c r="L118" s="127">
        <f t="shared" si="68"/>
        <v>0</v>
      </c>
      <c r="M118" s="127">
        <f t="shared" si="68"/>
        <v>0</v>
      </c>
      <c r="N118" s="127">
        <f t="shared" si="68"/>
        <v>0</v>
      </c>
      <c r="O118" s="127">
        <f t="shared" si="68"/>
        <v>0</v>
      </c>
      <c r="P118" s="127">
        <f t="shared" si="68"/>
        <v>0</v>
      </c>
      <c r="Q118" s="127">
        <f t="shared" si="68"/>
        <v>0</v>
      </c>
      <c r="R118" s="127">
        <f t="shared" si="68"/>
        <v>0</v>
      </c>
      <c r="S118" s="127">
        <f t="shared" si="68"/>
        <v>0</v>
      </c>
      <c r="T118" s="127">
        <f t="shared" si="68"/>
        <v>0</v>
      </c>
      <c r="U118" s="127">
        <f t="shared" si="68"/>
        <v>0</v>
      </c>
      <c r="V118" s="127">
        <f t="shared" si="68"/>
        <v>0</v>
      </c>
      <c r="W118" s="127">
        <f t="shared" si="68"/>
        <v>0</v>
      </c>
      <c r="X118" s="127">
        <f t="shared" si="68"/>
        <v>0</v>
      </c>
      <c r="Y118" s="127">
        <f t="shared" si="68"/>
        <v>0</v>
      </c>
      <c r="Z118" s="127">
        <f t="shared" si="68"/>
        <v>0</v>
      </c>
      <c r="AA118" s="127">
        <f t="shared" si="68"/>
        <v>0</v>
      </c>
      <c r="AB118" s="127">
        <f t="shared" si="68"/>
        <v>0</v>
      </c>
      <c r="AC118" s="243"/>
    </row>
    <row r="119" spans="1:29" ht="15.75" hidden="1" customHeight="1" x14ac:dyDescent="0.4">
      <c r="A119" s="288">
        <f t="shared" si="49"/>
        <v>24</v>
      </c>
      <c r="B119" s="243">
        <f>STUD!F58</f>
        <v>0</v>
      </c>
      <c r="C119" s="244">
        <f>SUM(D120:AB120)</f>
        <v>0</v>
      </c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4"/>
      <c r="Z119" s="124"/>
      <c r="AA119" s="124"/>
      <c r="AB119" s="124"/>
      <c r="AC119" s="243">
        <f>SUM(D120:AB120)</f>
        <v>0</v>
      </c>
    </row>
    <row r="120" spans="1:29" ht="15.75" hidden="1" customHeight="1" x14ac:dyDescent="0.4">
      <c r="A120" s="242"/>
      <c r="B120" s="243"/>
      <c r="C120" s="245"/>
      <c r="D120" s="127">
        <f t="shared" ref="D120:AB120" si="69">IF(IFERROR(IF(VLOOKUP(D119,D$151:D$155,1,0)&gt;=1,D$150,0),D119)=D$132,D$136,IF(IFERROR(IF(VLOOKUP(D119,D$151:D$155,1,0)&gt;=1,D$150,0),D119)=D$139,D$142,IF(IFERROR(IF(VLOOKUP(D119,D$151:D$155,1,0)&gt;=1,D$150,0),D119)=D$145,D$147,0)))</f>
        <v>0</v>
      </c>
      <c r="E120" s="127">
        <f t="shared" si="69"/>
        <v>0</v>
      </c>
      <c r="F120" s="127">
        <f t="shared" si="69"/>
        <v>0</v>
      </c>
      <c r="G120" s="127">
        <f t="shared" si="69"/>
        <v>0</v>
      </c>
      <c r="H120" s="127">
        <f t="shared" si="69"/>
        <v>0</v>
      </c>
      <c r="I120" s="127">
        <f t="shared" si="69"/>
        <v>0</v>
      </c>
      <c r="J120" s="127">
        <f t="shared" si="69"/>
        <v>0</v>
      </c>
      <c r="K120" s="127">
        <f t="shared" si="69"/>
        <v>0</v>
      </c>
      <c r="L120" s="127">
        <f t="shared" si="69"/>
        <v>0</v>
      </c>
      <c r="M120" s="127">
        <f t="shared" si="69"/>
        <v>0</v>
      </c>
      <c r="N120" s="127">
        <f t="shared" si="69"/>
        <v>0</v>
      </c>
      <c r="O120" s="127">
        <f t="shared" si="69"/>
        <v>0</v>
      </c>
      <c r="P120" s="127">
        <f t="shared" si="69"/>
        <v>0</v>
      </c>
      <c r="Q120" s="127">
        <f t="shared" si="69"/>
        <v>0</v>
      </c>
      <c r="R120" s="127">
        <f t="shared" si="69"/>
        <v>0</v>
      </c>
      <c r="S120" s="127">
        <f t="shared" si="69"/>
        <v>0</v>
      </c>
      <c r="T120" s="127">
        <f t="shared" si="69"/>
        <v>0</v>
      </c>
      <c r="U120" s="127">
        <f t="shared" si="69"/>
        <v>0</v>
      </c>
      <c r="V120" s="127">
        <f t="shared" si="69"/>
        <v>0</v>
      </c>
      <c r="W120" s="127">
        <f t="shared" si="69"/>
        <v>0</v>
      </c>
      <c r="X120" s="127">
        <f t="shared" si="69"/>
        <v>0</v>
      </c>
      <c r="Y120" s="127">
        <f t="shared" si="69"/>
        <v>0</v>
      </c>
      <c r="Z120" s="127">
        <f t="shared" si="69"/>
        <v>0</v>
      </c>
      <c r="AA120" s="127">
        <f t="shared" si="69"/>
        <v>0</v>
      </c>
      <c r="AB120" s="127">
        <f t="shared" si="69"/>
        <v>0</v>
      </c>
      <c r="AC120" s="243"/>
    </row>
    <row r="121" spans="1:29" ht="15.75" hidden="1" customHeight="1" x14ac:dyDescent="0.4">
      <c r="A121" s="288">
        <f t="shared" si="49"/>
        <v>25</v>
      </c>
      <c r="B121" s="243">
        <f>STUD!F59</f>
        <v>0</v>
      </c>
      <c r="C121" s="244">
        <f>SUM(D122:AB122)</f>
        <v>0</v>
      </c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4"/>
      <c r="Z121" s="124"/>
      <c r="AA121" s="124"/>
      <c r="AB121" s="124"/>
      <c r="AC121" s="243">
        <f>SUM(D122:AB122)</f>
        <v>0</v>
      </c>
    </row>
    <row r="122" spans="1:29" ht="15.75" hidden="1" customHeight="1" x14ac:dyDescent="0.4">
      <c r="A122" s="242"/>
      <c r="B122" s="243"/>
      <c r="C122" s="245"/>
      <c r="D122" s="127">
        <f t="shared" ref="D122:AB122" si="70">IF(IFERROR(IF(VLOOKUP(D121,D$151:D$155,1,0)&gt;=1,D$150,0),D121)=D$132,D$136,IF(IFERROR(IF(VLOOKUP(D121,D$151:D$155,1,0)&gt;=1,D$150,0),D121)=D$139,D$142,IF(IFERROR(IF(VLOOKUP(D121,D$151:D$155,1,0)&gt;=1,D$150,0),D121)=D$145,D$147,0)))</f>
        <v>0</v>
      </c>
      <c r="E122" s="127">
        <f t="shared" si="70"/>
        <v>0</v>
      </c>
      <c r="F122" s="127">
        <f t="shared" si="70"/>
        <v>0</v>
      </c>
      <c r="G122" s="127">
        <f t="shared" si="70"/>
        <v>0</v>
      </c>
      <c r="H122" s="127">
        <f t="shared" si="70"/>
        <v>0</v>
      </c>
      <c r="I122" s="127">
        <f t="shared" si="70"/>
        <v>0</v>
      </c>
      <c r="J122" s="127">
        <f t="shared" si="70"/>
        <v>0</v>
      </c>
      <c r="K122" s="127">
        <f t="shared" si="70"/>
        <v>0</v>
      </c>
      <c r="L122" s="127">
        <f t="shared" si="70"/>
        <v>0</v>
      </c>
      <c r="M122" s="127">
        <f t="shared" si="70"/>
        <v>0</v>
      </c>
      <c r="N122" s="127">
        <f t="shared" si="70"/>
        <v>0</v>
      </c>
      <c r="O122" s="127">
        <f t="shared" si="70"/>
        <v>0</v>
      </c>
      <c r="P122" s="127">
        <f t="shared" si="70"/>
        <v>0</v>
      </c>
      <c r="Q122" s="127">
        <f t="shared" si="70"/>
        <v>0</v>
      </c>
      <c r="R122" s="127">
        <f t="shared" si="70"/>
        <v>0</v>
      </c>
      <c r="S122" s="127">
        <f t="shared" si="70"/>
        <v>0</v>
      </c>
      <c r="T122" s="127">
        <f t="shared" si="70"/>
        <v>0</v>
      </c>
      <c r="U122" s="127">
        <f t="shared" si="70"/>
        <v>0</v>
      </c>
      <c r="V122" s="127">
        <f t="shared" si="70"/>
        <v>0</v>
      </c>
      <c r="W122" s="127">
        <f t="shared" si="70"/>
        <v>0</v>
      </c>
      <c r="X122" s="127">
        <f t="shared" si="70"/>
        <v>0</v>
      </c>
      <c r="Y122" s="127">
        <f t="shared" si="70"/>
        <v>0</v>
      </c>
      <c r="Z122" s="127">
        <f t="shared" si="70"/>
        <v>0</v>
      </c>
      <c r="AA122" s="127">
        <f t="shared" si="70"/>
        <v>0</v>
      </c>
      <c r="AB122" s="127">
        <f t="shared" si="70"/>
        <v>0</v>
      </c>
      <c r="AC122" s="243"/>
    </row>
    <row r="123" spans="1:29" ht="15.75" hidden="1" customHeight="1" x14ac:dyDescent="0.4">
      <c r="A123" s="288">
        <f t="shared" si="49"/>
        <v>26</v>
      </c>
      <c r="B123" s="243">
        <f>STUD!F60</f>
        <v>0</v>
      </c>
      <c r="C123" s="244">
        <f>SUM(D124:AB124)</f>
        <v>0</v>
      </c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4"/>
      <c r="Y123" s="124"/>
      <c r="Z123" s="124"/>
      <c r="AA123" s="124"/>
      <c r="AB123" s="124"/>
      <c r="AC123" s="243">
        <f>SUM(D124:AB124)</f>
        <v>0</v>
      </c>
    </row>
    <row r="124" spans="1:29" ht="19.5" hidden="1" x14ac:dyDescent="0.4">
      <c r="A124" s="242"/>
      <c r="B124" s="243"/>
      <c r="C124" s="245"/>
      <c r="D124" s="127">
        <f t="shared" ref="D124:AB124" si="71">IF(IFERROR(IF(VLOOKUP(D123,D$151:D$155,1,0)&gt;=1,D$150,0),D123)=D$132,D$136,IF(IFERROR(IF(VLOOKUP(D123,D$151:D$155,1,0)&gt;=1,D$150,0),D123)=D$139,D$142,IF(IFERROR(IF(VLOOKUP(D123,D$151:D$155,1,0)&gt;=1,D$150,0),D123)=D$145,D$147,0)))</f>
        <v>0</v>
      </c>
      <c r="E124" s="127">
        <f t="shared" si="71"/>
        <v>0</v>
      </c>
      <c r="F124" s="127">
        <f t="shared" si="71"/>
        <v>0</v>
      </c>
      <c r="G124" s="127">
        <f t="shared" si="71"/>
        <v>0</v>
      </c>
      <c r="H124" s="127">
        <f t="shared" si="71"/>
        <v>0</v>
      </c>
      <c r="I124" s="127">
        <f t="shared" si="71"/>
        <v>0</v>
      </c>
      <c r="J124" s="127">
        <f t="shared" si="71"/>
        <v>0</v>
      </c>
      <c r="K124" s="127">
        <f t="shared" si="71"/>
        <v>0</v>
      </c>
      <c r="L124" s="127">
        <f t="shared" si="71"/>
        <v>0</v>
      </c>
      <c r="M124" s="127">
        <f t="shared" si="71"/>
        <v>0</v>
      </c>
      <c r="N124" s="127">
        <f t="shared" si="71"/>
        <v>0</v>
      </c>
      <c r="O124" s="127">
        <f t="shared" si="71"/>
        <v>0</v>
      </c>
      <c r="P124" s="127">
        <f t="shared" si="71"/>
        <v>0</v>
      </c>
      <c r="Q124" s="127">
        <f t="shared" si="71"/>
        <v>0</v>
      </c>
      <c r="R124" s="127">
        <f t="shared" si="71"/>
        <v>0</v>
      </c>
      <c r="S124" s="127">
        <f t="shared" si="71"/>
        <v>0</v>
      </c>
      <c r="T124" s="127">
        <f t="shared" si="71"/>
        <v>0</v>
      </c>
      <c r="U124" s="127">
        <f t="shared" si="71"/>
        <v>0</v>
      </c>
      <c r="V124" s="127">
        <f t="shared" si="71"/>
        <v>0</v>
      </c>
      <c r="W124" s="127">
        <f t="shared" si="71"/>
        <v>0</v>
      </c>
      <c r="X124" s="127">
        <f t="shared" si="71"/>
        <v>0</v>
      </c>
      <c r="Y124" s="127">
        <f t="shared" si="71"/>
        <v>0</v>
      </c>
      <c r="Z124" s="127">
        <f t="shared" si="71"/>
        <v>0</v>
      </c>
      <c r="AA124" s="127">
        <f t="shared" si="71"/>
        <v>0</v>
      </c>
      <c r="AB124" s="127">
        <f t="shared" si="71"/>
        <v>0</v>
      </c>
      <c r="AC124" s="243"/>
    </row>
    <row r="125" spans="1:29" ht="15.75" hidden="1" x14ac:dyDescent="0.4">
      <c r="A125" s="289">
        <f t="shared" si="49"/>
        <v>27</v>
      </c>
      <c r="B125" s="243">
        <f>STUD!F61</f>
        <v>0</v>
      </c>
      <c r="C125" s="283">
        <f>SUM(D126:AB126)</f>
        <v>0</v>
      </c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125"/>
      <c r="V125" s="125"/>
      <c r="W125" s="125"/>
      <c r="X125" s="126"/>
      <c r="Y125" s="126"/>
      <c r="Z125" s="126"/>
      <c r="AA125" s="126"/>
      <c r="AB125" s="126"/>
      <c r="AC125" s="263">
        <f>SUM(D126:AB126)</f>
        <v>0</v>
      </c>
    </row>
    <row r="126" spans="1:29" ht="19.5" hidden="1" x14ac:dyDescent="0.4">
      <c r="A126" s="290"/>
      <c r="B126" s="243"/>
      <c r="C126" s="284"/>
      <c r="D126" s="127">
        <f t="shared" ref="D126:AB126" si="72">IF(IFERROR(IF(VLOOKUP(D125,D$151:D$155,1,0)&gt;=1,D$150,0),D125)=D$132,D$136,IF(IFERROR(IF(VLOOKUP(D125,D$151:D$155,1,0)&gt;=1,D$150,0),D125)=D$139,D$142,IF(IFERROR(IF(VLOOKUP(D125,D$151:D$155,1,0)&gt;=1,D$150,0),D125)=D$145,D$147,0)))</f>
        <v>0</v>
      </c>
      <c r="E126" s="127">
        <f t="shared" si="72"/>
        <v>0</v>
      </c>
      <c r="F126" s="127">
        <f t="shared" si="72"/>
        <v>0</v>
      </c>
      <c r="G126" s="127">
        <f t="shared" si="72"/>
        <v>0</v>
      </c>
      <c r="H126" s="127">
        <f t="shared" si="72"/>
        <v>0</v>
      </c>
      <c r="I126" s="127">
        <f t="shared" si="72"/>
        <v>0</v>
      </c>
      <c r="J126" s="127">
        <f t="shared" si="72"/>
        <v>0</v>
      </c>
      <c r="K126" s="127">
        <f t="shared" si="72"/>
        <v>0</v>
      </c>
      <c r="L126" s="127">
        <f t="shared" si="72"/>
        <v>0</v>
      </c>
      <c r="M126" s="127">
        <f t="shared" si="72"/>
        <v>0</v>
      </c>
      <c r="N126" s="127">
        <f t="shared" si="72"/>
        <v>0</v>
      </c>
      <c r="O126" s="127">
        <f t="shared" si="72"/>
        <v>0</v>
      </c>
      <c r="P126" s="127">
        <f t="shared" si="72"/>
        <v>0</v>
      </c>
      <c r="Q126" s="127">
        <f t="shared" si="72"/>
        <v>0</v>
      </c>
      <c r="R126" s="127">
        <f t="shared" si="72"/>
        <v>0</v>
      </c>
      <c r="S126" s="127">
        <f t="shared" si="72"/>
        <v>0</v>
      </c>
      <c r="T126" s="127">
        <f t="shared" si="72"/>
        <v>0</v>
      </c>
      <c r="U126" s="127">
        <f t="shared" si="72"/>
        <v>0</v>
      </c>
      <c r="V126" s="127">
        <f t="shared" si="72"/>
        <v>0</v>
      </c>
      <c r="W126" s="127">
        <f t="shared" si="72"/>
        <v>0</v>
      </c>
      <c r="X126" s="127">
        <f t="shared" si="72"/>
        <v>0</v>
      </c>
      <c r="Y126" s="127">
        <f t="shared" si="72"/>
        <v>0</v>
      </c>
      <c r="Z126" s="127">
        <f t="shared" si="72"/>
        <v>0</v>
      </c>
      <c r="AA126" s="127">
        <f t="shared" si="72"/>
        <v>0</v>
      </c>
      <c r="AB126" s="127">
        <f t="shared" si="72"/>
        <v>0</v>
      </c>
      <c r="AC126" s="263"/>
    </row>
    <row r="127" spans="1:29" ht="15.75" hidden="1" x14ac:dyDescent="0.4">
      <c r="A127" s="289">
        <f t="shared" si="49"/>
        <v>28</v>
      </c>
      <c r="B127" s="243">
        <f>STUD!F62</f>
        <v>0</v>
      </c>
      <c r="C127" s="283">
        <f>SUM(D128:AB128)</f>
        <v>0</v>
      </c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125"/>
      <c r="V127" s="125"/>
      <c r="W127" s="125"/>
      <c r="X127" s="126"/>
      <c r="Y127" s="126"/>
      <c r="Z127" s="126"/>
      <c r="AA127" s="126"/>
      <c r="AB127" s="126"/>
      <c r="AC127" s="263">
        <f>SUM(D128:AB128)</f>
        <v>0</v>
      </c>
    </row>
    <row r="128" spans="1:29" ht="19.5" hidden="1" x14ac:dyDescent="0.4">
      <c r="A128" s="290"/>
      <c r="B128" s="243"/>
      <c r="C128" s="284"/>
      <c r="D128" s="127">
        <f t="shared" ref="D128:AB128" si="73">IF(IFERROR(IF(VLOOKUP(D127,D$151:D$155,1,0)&gt;=1,D$150,0),D127)=D$132,D$136,IF(IFERROR(IF(VLOOKUP(D127,D$151:D$155,1,0)&gt;=1,D$150,0),D127)=D$139,D$142,IF(IFERROR(IF(VLOOKUP(D127,D$151:D$155,1,0)&gt;=1,D$150,0),D127)=D$145,D$147,0)))</f>
        <v>0</v>
      </c>
      <c r="E128" s="127">
        <f t="shared" si="73"/>
        <v>0</v>
      </c>
      <c r="F128" s="127">
        <f t="shared" si="73"/>
        <v>0</v>
      </c>
      <c r="G128" s="127">
        <f t="shared" si="73"/>
        <v>0</v>
      </c>
      <c r="H128" s="127">
        <f t="shared" si="73"/>
        <v>0</v>
      </c>
      <c r="I128" s="127">
        <f t="shared" si="73"/>
        <v>0</v>
      </c>
      <c r="J128" s="127">
        <f t="shared" si="73"/>
        <v>0</v>
      </c>
      <c r="K128" s="127">
        <f t="shared" si="73"/>
        <v>0</v>
      </c>
      <c r="L128" s="127">
        <f t="shared" si="73"/>
        <v>0</v>
      </c>
      <c r="M128" s="127">
        <f t="shared" si="73"/>
        <v>0</v>
      </c>
      <c r="N128" s="127">
        <f t="shared" si="73"/>
        <v>0</v>
      </c>
      <c r="O128" s="127">
        <f t="shared" si="73"/>
        <v>0</v>
      </c>
      <c r="P128" s="127">
        <f t="shared" si="73"/>
        <v>0</v>
      </c>
      <c r="Q128" s="127">
        <f t="shared" si="73"/>
        <v>0</v>
      </c>
      <c r="R128" s="127">
        <f t="shared" si="73"/>
        <v>0</v>
      </c>
      <c r="S128" s="127">
        <f t="shared" si="73"/>
        <v>0</v>
      </c>
      <c r="T128" s="127">
        <f t="shared" si="73"/>
        <v>0</v>
      </c>
      <c r="U128" s="127">
        <f t="shared" si="73"/>
        <v>0</v>
      </c>
      <c r="V128" s="127">
        <f t="shared" si="73"/>
        <v>0</v>
      </c>
      <c r="W128" s="127">
        <f t="shared" si="73"/>
        <v>0</v>
      </c>
      <c r="X128" s="127">
        <f t="shared" si="73"/>
        <v>0</v>
      </c>
      <c r="Y128" s="127">
        <f t="shared" si="73"/>
        <v>0</v>
      </c>
      <c r="Z128" s="127">
        <f t="shared" si="73"/>
        <v>0</v>
      </c>
      <c r="AA128" s="127">
        <f t="shared" si="73"/>
        <v>0</v>
      </c>
      <c r="AB128" s="127">
        <f t="shared" si="73"/>
        <v>0</v>
      </c>
      <c r="AC128" s="263"/>
    </row>
    <row r="129" spans="1:29" hidden="1" x14ac:dyDescent="0.4">
      <c r="A129" s="13"/>
      <c r="B129" s="10"/>
      <c r="C129" s="10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0"/>
    </row>
    <row r="130" spans="1:29" ht="13.5" thickBot="1" x14ac:dyDescent="0.45">
      <c r="A130" s="3"/>
    </row>
    <row r="131" spans="1:29" ht="19.899999999999999" thickBot="1" x14ac:dyDescent="0.65">
      <c r="A131" s="3"/>
      <c r="C131" s="17" t="s">
        <v>21</v>
      </c>
      <c r="D131" s="18">
        <v>1</v>
      </c>
      <c r="E131" s="18">
        <v>2</v>
      </c>
      <c r="F131" s="18">
        <v>3</v>
      </c>
      <c r="G131" s="18">
        <v>4</v>
      </c>
      <c r="H131" s="18">
        <v>5</v>
      </c>
      <c r="I131" s="18">
        <v>6</v>
      </c>
      <c r="J131" s="18">
        <v>7</v>
      </c>
      <c r="K131" s="18">
        <v>8</v>
      </c>
      <c r="L131" s="18">
        <v>9</v>
      </c>
      <c r="M131" s="18">
        <v>10</v>
      </c>
      <c r="N131" s="18">
        <v>11</v>
      </c>
      <c r="O131" s="18">
        <v>12</v>
      </c>
      <c r="P131" s="18">
        <v>13</v>
      </c>
      <c r="Q131" s="18">
        <v>14</v>
      </c>
      <c r="R131" s="18">
        <v>15</v>
      </c>
      <c r="S131" s="18">
        <v>16</v>
      </c>
      <c r="T131" s="18">
        <v>17</v>
      </c>
      <c r="U131" s="18">
        <v>18</v>
      </c>
      <c r="V131" s="18">
        <v>19</v>
      </c>
      <c r="W131" s="18">
        <v>20</v>
      </c>
      <c r="X131" s="18">
        <v>21</v>
      </c>
      <c r="Y131" s="18">
        <v>22</v>
      </c>
      <c r="Z131" s="18">
        <v>23</v>
      </c>
      <c r="AA131" s="4">
        <v>24</v>
      </c>
      <c r="AB131" s="4">
        <v>25</v>
      </c>
    </row>
    <row r="132" spans="1:29" ht="19.5" x14ac:dyDescent="0.6">
      <c r="A132" s="3"/>
      <c r="C132" s="19" t="s">
        <v>22</v>
      </c>
      <c r="D132" s="20">
        <v>5</v>
      </c>
      <c r="E132" s="20">
        <v>3</v>
      </c>
      <c r="F132" s="20">
        <v>2</v>
      </c>
      <c r="G132" s="20">
        <v>5</v>
      </c>
      <c r="H132" s="20">
        <v>4</v>
      </c>
      <c r="I132" s="20">
        <v>10</v>
      </c>
      <c r="J132" s="20">
        <v>10</v>
      </c>
      <c r="K132" s="20">
        <v>2</v>
      </c>
      <c r="L132" s="20">
        <v>6</v>
      </c>
      <c r="M132" s="41">
        <v>6</v>
      </c>
      <c r="N132" s="41">
        <v>9</v>
      </c>
      <c r="O132" s="41">
        <v>5</v>
      </c>
      <c r="P132" s="20">
        <v>5</v>
      </c>
      <c r="Q132" s="20">
        <v>12</v>
      </c>
      <c r="R132" s="20">
        <v>12</v>
      </c>
      <c r="S132" s="41">
        <v>4</v>
      </c>
      <c r="T132" s="41">
        <v>4</v>
      </c>
      <c r="U132" s="41">
        <v>7</v>
      </c>
      <c r="V132" s="20">
        <v>10</v>
      </c>
      <c r="W132" s="20"/>
      <c r="X132" s="41"/>
      <c r="Y132" s="5"/>
      <c r="Z132" s="5"/>
      <c r="AA132" s="5"/>
      <c r="AB132" s="5"/>
    </row>
    <row r="133" spans="1:29" ht="19.5" x14ac:dyDescent="0.6">
      <c r="A133" s="3"/>
      <c r="C133" s="22" t="s">
        <v>23</v>
      </c>
      <c r="D133" s="37">
        <v>1.9</v>
      </c>
      <c r="E133" s="37">
        <v>2.2000000000000002</v>
      </c>
      <c r="F133" s="37">
        <v>2.6</v>
      </c>
      <c r="G133" s="37">
        <v>3.6</v>
      </c>
      <c r="H133" s="37">
        <v>7</v>
      </c>
      <c r="I133" s="37">
        <v>6.3</v>
      </c>
      <c r="J133" s="37">
        <v>3.3</v>
      </c>
      <c r="K133" s="37">
        <v>37.9</v>
      </c>
      <c r="L133" s="37">
        <v>6.4</v>
      </c>
      <c r="M133" s="42">
        <v>5.2</v>
      </c>
      <c r="N133" s="43">
        <v>2.1</v>
      </c>
      <c r="O133" s="43">
        <v>9.4</v>
      </c>
      <c r="P133" s="37">
        <v>5</v>
      </c>
      <c r="Q133" s="37">
        <v>2.8</v>
      </c>
      <c r="R133" s="37">
        <v>1.7</v>
      </c>
      <c r="S133" s="43">
        <v>24.8</v>
      </c>
      <c r="T133" s="43">
        <v>2.8</v>
      </c>
      <c r="U133" s="43">
        <v>27.5</v>
      </c>
      <c r="V133" s="37">
        <v>47.6</v>
      </c>
      <c r="W133" s="37"/>
      <c r="X133" s="43"/>
      <c r="Y133" s="6"/>
      <c r="Z133" s="6"/>
      <c r="AA133" s="6"/>
      <c r="AB133" s="6"/>
    </row>
    <row r="134" spans="1:29" ht="19.5" x14ac:dyDescent="0.6">
      <c r="A134" s="3"/>
      <c r="C134" s="22" t="s">
        <v>24</v>
      </c>
      <c r="D134" s="37">
        <v>1.3</v>
      </c>
      <c r="E134" s="37">
        <v>1.4</v>
      </c>
      <c r="F134" s="37">
        <v>2.2999999999999998</v>
      </c>
      <c r="G134" s="37"/>
      <c r="H134" s="37">
        <v>3.2</v>
      </c>
      <c r="I134" s="37">
        <v>3</v>
      </c>
      <c r="J134" s="37">
        <v>1.7</v>
      </c>
      <c r="K134" s="37">
        <v>18.100000000000001</v>
      </c>
      <c r="L134" s="37">
        <v>2.8</v>
      </c>
      <c r="M134" s="43">
        <v>2</v>
      </c>
      <c r="N134" s="43">
        <v>1.5</v>
      </c>
      <c r="O134" s="43">
        <v>3.4</v>
      </c>
      <c r="P134" s="37">
        <v>1.6</v>
      </c>
      <c r="Q134" s="37">
        <v>1.8</v>
      </c>
      <c r="R134" s="37">
        <v>1.3</v>
      </c>
      <c r="S134" s="43">
        <v>9.6999999999999993</v>
      </c>
      <c r="T134" s="43">
        <v>2.4</v>
      </c>
      <c r="U134" s="43">
        <v>10.7</v>
      </c>
      <c r="V134" s="37">
        <v>21.6</v>
      </c>
      <c r="W134" s="37"/>
      <c r="X134" s="43"/>
      <c r="Y134" s="6"/>
      <c r="Z134" s="6"/>
      <c r="AA134" s="6"/>
      <c r="AB134" s="6"/>
    </row>
    <row r="135" spans="1:29" ht="19.5" x14ac:dyDescent="0.6">
      <c r="A135" s="3"/>
      <c r="C135" s="22" t="s">
        <v>25</v>
      </c>
      <c r="D135" s="37">
        <v>1.1000000000000001</v>
      </c>
      <c r="E135" s="37">
        <v>1.1000000000000001</v>
      </c>
      <c r="F135" s="37">
        <v>2.2000000000000002</v>
      </c>
      <c r="G135" s="37"/>
      <c r="H135" s="37">
        <v>1.8</v>
      </c>
      <c r="I135" s="37">
        <v>2.1</v>
      </c>
      <c r="J135" s="37">
        <v>1.7</v>
      </c>
      <c r="K135" s="37">
        <v>5</v>
      </c>
      <c r="L135" s="37">
        <v>2.5</v>
      </c>
      <c r="M135" s="43">
        <v>1.3</v>
      </c>
      <c r="N135" s="43">
        <v>1.6</v>
      </c>
      <c r="O135" s="43">
        <v>2</v>
      </c>
      <c r="P135" s="37">
        <v>1.3</v>
      </c>
      <c r="Q135" s="37">
        <v>1.8</v>
      </c>
      <c r="R135" s="37">
        <v>1</v>
      </c>
      <c r="S135" s="43">
        <v>8</v>
      </c>
      <c r="T135" s="43">
        <v>1.7</v>
      </c>
      <c r="U135" s="43">
        <v>6.5</v>
      </c>
      <c r="V135" s="37">
        <v>11.8</v>
      </c>
      <c r="W135" s="37"/>
      <c r="X135" s="43"/>
      <c r="Y135" s="6"/>
      <c r="Z135" s="6"/>
      <c r="AA135" s="6"/>
      <c r="AB135" s="6"/>
    </row>
    <row r="136" spans="1:29" ht="19.899999999999999" thickBot="1" x14ac:dyDescent="0.65">
      <c r="A136" s="3"/>
      <c r="C136" s="24" t="s">
        <v>26</v>
      </c>
      <c r="D136" s="40">
        <f>IF(D130="U",D137*2,D137)</f>
        <v>4.3000000000000007</v>
      </c>
      <c r="E136" s="40">
        <f t="shared" ref="E136:AC136" si="74">IF(E130="U",E137*2,E137)</f>
        <v>4.7</v>
      </c>
      <c r="F136" s="40">
        <f t="shared" si="74"/>
        <v>7.1000000000000005</v>
      </c>
      <c r="G136" s="40">
        <f t="shared" si="74"/>
        <v>3.6</v>
      </c>
      <c r="H136" s="40">
        <f t="shared" si="74"/>
        <v>12</v>
      </c>
      <c r="I136" s="40">
        <f t="shared" si="74"/>
        <v>11.4</v>
      </c>
      <c r="J136" s="40">
        <f t="shared" si="74"/>
        <v>6.7</v>
      </c>
      <c r="K136" s="40">
        <f t="shared" si="74"/>
        <v>61</v>
      </c>
      <c r="L136" s="40">
        <f t="shared" si="74"/>
        <v>11.7</v>
      </c>
      <c r="M136" s="40">
        <f t="shared" si="74"/>
        <v>8.5</v>
      </c>
      <c r="N136" s="40">
        <f t="shared" si="74"/>
        <v>5.2</v>
      </c>
      <c r="O136" s="40">
        <f t="shared" si="74"/>
        <v>14.8</v>
      </c>
      <c r="P136" s="40">
        <f t="shared" si="74"/>
        <v>7.8999999999999995</v>
      </c>
      <c r="Q136" s="40">
        <f t="shared" si="74"/>
        <v>6.3999999999999995</v>
      </c>
      <c r="R136" s="40">
        <f t="shared" si="74"/>
        <v>4</v>
      </c>
      <c r="S136" s="40">
        <f t="shared" si="74"/>
        <v>42.5</v>
      </c>
      <c r="T136" s="40">
        <f t="shared" si="74"/>
        <v>6.8999999999999995</v>
      </c>
      <c r="U136" s="40">
        <f t="shared" si="74"/>
        <v>44.7</v>
      </c>
      <c r="V136" s="40">
        <f t="shared" si="74"/>
        <v>81</v>
      </c>
      <c r="W136" s="40">
        <f t="shared" si="74"/>
        <v>0</v>
      </c>
      <c r="X136" s="40">
        <f t="shared" si="74"/>
        <v>0</v>
      </c>
      <c r="Y136" s="40">
        <f t="shared" si="74"/>
        <v>0</v>
      </c>
      <c r="Z136" s="40">
        <f t="shared" si="74"/>
        <v>0</v>
      </c>
      <c r="AA136" s="40">
        <f t="shared" si="74"/>
        <v>0</v>
      </c>
      <c r="AB136" s="40">
        <f t="shared" si="74"/>
        <v>0</v>
      </c>
      <c r="AC136" s="40">
        <f t="shared" si="74"/>
        <v>0</v>
      </c>
    </row>
    <row r="137" spans="1:29" ht="19.5" x14ac:dyDescent="0.6">
      <c r="A137" s="3"/>
      <c r="C137" s="26"/>
      <c r="D137" s="27">
        <f>SUM(D133:D135)</f>
        <v>4.3000000000000007</v>
      </c>
      <c r="E137" s="27">
        <f t="shared" ref="E137:AC137" si="75">SUM(E133:E135)</f>
        <v>4.7</v>
      </c>
      <c r="F137" s="27">
        <f t="shared" si="75"/>
        <v>7.1000000000000005</v>
      </c>
      <c r="G137" s="27">
        <f t="shared" si="75"/>
        <v>3.6</v>
      </c>
      <c r="H137" s="27">
        <f t="shared" si="75"/>
        <v>12</v>
      </c>
      <c r="I137" s="27">
        <f t="shared" si="75"/>
        <v>11.4</v>
      </c>
      <c r="J137" s="27">
        <f t="shared" si="75"/>
        <v>6.7</v>
      </c>
      <c r="K137" s="27">
        <f t="shared" si="75"/>
        <v>61</v>
      </c>
      <c r="L137" s="27">
        <f t="shared" si="75"/>
        <v>11.7</v>
      </c>
      <c r="M137" s="27">
        <f t="shared" si="75"/>
        <v>8.5</v>
      </c>
      <c r="N137" s="27">
        <f t="shared" si="75"/>
        <v>5.2</v>
      </c>
      <c r="O137" s="27">
        <f t="shared" si="75"/>
        <v>14.8</v>
      </c>
      <c r="P137" s="27">
        <f t="shared" si="75"/>
        <v>7.8999999999999995</v>
      </c>
      <c r="Q137" s="27">
        <f t="shared" si="75"/>
        <v>6.3999999999999995</v>
      </c>
      <c r="R137" s="27">
        <f t="shared" si="75"/>
        <v>4</v>
      </c>
      <c r="S137" s="27">
        <f t="shared" si="75"/>
        <v>42.5</v>
      </c>
      <c r="T137" s="27">
        <f t="shared" si="75"/>
        <v>6.8999999999999995</v>
      </c>
      <c r="U137" s="27">
        <f t="shared" si="75"/>
        <v>44.7</v>
      </c>
      <c r="V137" s="27">
        <f t="shared" si="75"/>
        <v>81</v>
      </c>
      <c r="W137" s="27">
        <f t="shared" si="75"/>
        <v>0</v>
      </c>
      <c r="X137" s="27">
        <f t="shared" si="75"/>
        <v>0</v>
      </c>
      <c r="Y137" s="27">
        <f t="shared" si="75"/>
        <v>0</v>
      </c>
      <c r="Z137" s="27">
        <f t="shared" si="75"/>
        <v>0</v>
      </c>
      <c r="AA137" s="27">
        <f t="shared" si="75"/>
        <v>0</v>
      </c>
      <c r="AB137" s="27">
        <f t="shared" si="75"/>
        <v>0</v>
      </c>
      <c r="AC137" s="27">
        <f t="shared" si="75"/>
        <v>0</v>
      </c>
    </row>
    <row r="138" spans="1:29" ht="19.899999999999999" thickBot="1" x14ac:dyDescent="0.65">
      <c r="A138" s="3"/>
      <c r="C138" s="28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8"/>
    </row>
    <row r="139" spans="1:29" ht="19.5" x14ac:dyDescent="0.6">
      <c r="A139" s="3"/>
      <c r="C139" s="30" t="s">
        <v>27</v>
      </c>
      <c r="D139" s="20">
        <v>8</v>
      </c>
      <c r="E139" s="20">
        <v>4</v>
      </c>
      <c r="F139" s="20">
        <v>8</v>
      </c>
      <c r="G139" s="20">
        <v>4</v>
      </c>
      <c r="H139" s="20">
        <v>10</v>
      </c>
      <c r="I139" s="20">
        <v>7</v>
      </c>
      <c r="J139" s="20">
        <v>2</v>
      </c>
      <c r="K139" s="20">
        <v>12</v>
      </c>
      <c r="L139" s="20">
        <v>3</v>
      </c>
      <c r="M139" s="41">
        <v>3</v>
      </c>
      <c r="N139" s="41">
        <v>5</v>
      </c>
      <c r="O139" s="41">
        <v>9</v>
      </c>
      <c r="P139" s="20">
        <v>7</v>
      </c>
      <c r="Q139" s="20">
        <v>3</v>
      </c>
      <c r="R139" s="20">
        <v>11</v>
      </c>
      <c r="S139" s="41">
        <v>12</v>
      </c>
      <c r="T139" s="41">
        <v>9</v>
      </c>
      <c r="U139" s="41">
        <v>15</v>
      </c>
      <c r="V139" s="20">
        <v>4</v>
      </c>
      <c r="W139" s="20"/>
      <c r="X139" s="21"/>
      <c r="Y139" s="5"/>
      <c r="Z139" s="5"/>
      <c r="AA139" s="5"/>
      <c r="AB139" s="5"/>
    </row>
    <row r="140" spans="1:29" ht="19.5" x14ac:dyDescent="0.6">
      <c r="A140" s="3"/>
      <c r="C140" s="22" t="s">
        <v>24</v>
      </c>
      <c r="D140" s="37">
        <v>2.2000000000000002</v>
      </c>
      <c r="E140" s="37">
        <v>2.8</v>
      </c>
      <c r="F140" s="37">
        <v>5.7</v>
      </c>
      <c r="G140" s="37"/>
      <c r="H140" s="37">
        <v>3.4</v>
      </c>
      <c r="I140" s="37">
        <v>5.6</v>
      </c>
      <c r="J140" s="37">
        <v>2.2999999999999998</v>
      </c>
      <c r="K140" s="37">
        <v>3.9</v>
      </c>
      <c r="L140" s="37">
        <v>2.8</v>
      </c>
      <c r="M140" s="43">
        <v>1.5</v>
      </c>
      <c r="N140" s="43">
        <v>2.2000000000000002</v>
      </c>
      <c r="O140" s="43">
        <v>1.7</v>
      </c>
      <c r="P140" s="37">
        <v>1.6</v>
      </c>
      <c r="Q140" s="37">
        <v>2.5</v>
      </c>
      <c r="R140" s="37">
        <v>3.4</v>
      </c>
      <c r="S140" s="43">
        <v>2.9</v>
      </c>
      <c r="T140" s="43">
        <v>2.5</v>
      </c>
      <c r="U140" s="43">
        <v>3</v>
      </c>
      <c r="V140" s="37">
        <v>7.2</v>
      </c>
      <c r="W140" s="37"/>
      <c r="X140" s="38"/>
      <c r="Y140" s="6"/>
      <c r="Z140" s="6"/>
      <c r="AA140" s="6"/>
      <c r="AB140" s="6"/>
    </row>
    <row r="141" spans="1:29" ht="19.5" x14ac:dyDescent="0.6">
      <c r="A141" s="3"/>
      <c r="C141" s="22" t="s">
        <v>25</v>
      </c>
      <c r="D141" s="37">
        <v>1.2</v>
      </c>
      <c r="E141" s="37">
        <v>1.7</v>
      </c>
      <c r="F141" s="37">
        <v>3.1</v>
      </c>
      <c r="G141" s="37"/>
      <c r="H141" s="37">
        <v>2.2999999999999998</v>
      </c>
      <c r="I141" s="37">
        <v>4.9000000000000004</v>
      </c>
      <c r="J141" s="37">
        <v>1.6</v>
      </c>
      <c r="K141" s="37">
        <v>2.8</v>
      </c>
      <c r="L141" s="37">
        <v>2.7</v>
      </c>
      <c r="M141" s="43">
        <v>1.3</v>
      </c>
      <c r="N141" s="43">
        <v>2.2999999999999998</v>
      </c>
      <c r="O141" s="43">
        <v>1.2</v>
      </c>
      <c r="P141" s="37">
        <v>1</v>
      </c>
      <c r="Q141" s="37">
        <v>2.2000000000000002</v>
      </c>
      <c r="R141" s="37">
        <v>1.7</v>
      </c>
      <c r="S141" s="43">
        <v>2.2000000000000002</v>
      </c>
      <c r="T141" s="43">
        <v>1.5</v>
      </c>
      <c r="U141" s="43">
        <v>1.9</v>
      </c>
      <c r="V141" s="37">
        <v>5</v>
      </c>
      <c r="W141" s="37"/>
      <c r="X141" s="38"/>
      <c r="Y141" s="6"/>
      <c r="Z141" s="6"/>
      <c r="AA141" s="6"/>
      <c r="AB141" s="6"/>
    </row>
    <row r="142" spans="1:29" ht="19.899999999999999" thickBot="1" x14ac:dyDescent="0.65">
      <c r="A142" s="3"/>
      <c r="C142" s="24" t="s">
        <v>28</v>
      </c>
      <c r="D142" s="40">
        <f>IF(D130="U",D143*2,D143)</f>
        <v>3.4000000000000004</v>
      </c>
      <c r="E142" s="40">
        <f t="shared" ref="E142:Z142" si="76">IF(E130="U",E143*2,E143)</f>
        <v>4.5</v>
      </c>
      <c r="F142" s="40">
        <f t="shared" si="76"/>
        <v>8.8000000000000007</v>
      </c>
      <c r="G142" s="40">
        <f t="shared" si="76"/>
        <v>0</v>
      </c>
      <c r="H142" s="40">
        <f t="shared" si="76"/>
        <v>5.6999999999999993</v>
      </c>
      <c r="I142" s="40">
        <f t="shared" si="76"/>
        <v>10.5</v>
      </c>
      <c r="J142" s="40">
        <f t="shared" si="76"/>
        <v>3.9</v>
      </c>
      <c r="K142" s="40">
        <f t="shared" si="76"/>
        <v>6.6999999999999993</v>
      </c>
      <c r="L142" s="40">
        <f t="shared" si="76"/>
        <v>5.5</v>
      </c>
      <c r="M142" s="40">
        <f t="shared" si="76"/>
        <v>2.8</v>
      </c>
      <c r="N142" s="40">
        <f t="shared" si="76"/>
        <v>4.5</v>
      </c>
      <c r="O142" s="40">
        <f t="shared" si="76"/>
        <v>2.9</v>
      </c>
      <c r="P142" s="40">
        <f t="shared" si="76"/>
        <v>2.6</v>
      </c>
      <c r="Q142" s="40">
        <f t="shared" si="76"/>
        <v>4.7</v>
      </c>
      <c r="R142" s="40">
        <f t="shared" si="76"/>
        <v>5.0999999999999996</v>
      </c>
      <c r="S142" s="40">
        <f t="shared" si="76"/>
        <v>5.0999999999999996</v>
      </c>
      <c r="T142" s="40">
        <f t="shared" si="76"/>
        <v>4</v>
      </c>
      <c r="U142" s="40">
        <f t="shared" si="76"/>
        <v>4.9000000000000004</v>
      </c>
      <c r="V142" s="40">
        <f t="shared" si="76"/>
        <v>12.2</v>
      </c>
      <c r="W142" s="40">
        <f t="shared" si="76"/>
        <v>0</v>
      </c>
      <c r="X142" s="40">
        <f t="shared" si="76"/>
        <v>0</v>
      </c>
      <c r="Y142" s="40">
        <f t="shared" si="76"/>
        <v>0</v>
      </c>
      <c r="Z142" s="40">
        <f t="shared" si="76"/>
        <v>0</v>
      </c>
      <c r="AA142" s="7">
        <f>+SUM(AA140:AA141)</f>
        <v>0</v>
      </c>
      <c r="AB142" s="7">
        <f>+SUM(AB140:AB141)</f>
        <v>0</v>
      </c>
    </row>
    <row r="143" spans="1:29" ht="19.5" x14ac:dyDescent="0.6">
      <c r="A143" s="3"/>
      <c r="C143" s="26"/>
      <c r="D143" s="27">
        <f>SUM(D140:D141)</f>
        <v>3.4000000000000004</v>
      </c>
      <c r="E143" s="27">
        <f t="shared" ref="E143:Z143" si="77">SUM(E140:E141)</f>
        <v>4.5</v>
      </c>
      <c r="F143" s="27">
        <f t="shared" si="77"/>
        <v>8.8000000000000007</v>
      </c>
      <c r="G143" s="27">
        <f t="shared" si="77"/>
        <v>0</v>
      </c>
      <c r="H143" s="27">
        <f t="shared" si="77"/>
        <v>5.6999999999999993</v>
      </c>
      <c r="I143" s="27">
        <f t="shared" si="77"/>
        <v>10.5</v>
      </c>
      <c r="J143" s="27">
        <f t="shared" si="77"/>
        <v>3.9</v>
      </c>
      <c r="K143" s="27">
        <f t="shared" si="77"/>
        <v>6.6999999999999993</v>
      </c>
      <c r="L143" s="27">
        <f t="shared" si="77"/>
        <v>5.5</v>
      </c>
      <c r="M143" s="27">
        <f t="shared" si="77"/>
        <v>2.8</v>
      </c>
      <c r="N143" s="27">
        <f t="shared" si="77"/>
        <v>4.5</v>
      </c>
      <c r="O143" s="27">
        <f t="shared" si="77"/>
        <v>2.9</v>
      </c>
      <c r="P143" s="27">
        <f t="shared" si="77"/>
        <v>2.6</v>
      </c>
      <c r="Q143" s="27">
        <f t="shared" si="77"/>
        <v>4.7</v>
      </c>
      <c r="R143" s="27">
        <f t="shared" si="77"/>
        <v>5.0999999999999996</v>
      </c>
      <c r="S143" s="27">
        <f t="shared" si="77"/>
        <v>5.0999999999999996</v>
      </c>
      <c r="T143" s="27">
        <f t="shared" si="77"/>
        <v>4</v>
      </c>
      <c r="U143" s="27">
        <f t="shared" si="77"/>
        <v>4.9000000000000004</v>
      </c>
      <c r="V143" s="27">
        <f t="shared" si="77"/>
        <v>12.2</v>
      </c>
      <c r="W143" s="27">
        <f t="shared" si="77"/>
        <v>0</v>
      </c>
      <c r="X143" s="27">
        <f t="shared" si="77"/>
        <v>0</v>
      </c>
      <c r="Y143" s="27">
        <f t="shared" si="77"/>
        <v>0</v>
      </c>
      <c r="Z143" s="27">
        <f t="shared" si="77"/>
        <v>0</v>
      </c>
      <c r="AA143" s="12"/>
      <c r="AB143" s="12"/>
    </row>
    <row r="144" spans="1:29" ht="19.899999999999999" thickBot="1" x14ac:dyDescent="0.65">
      <c r="A144" s="3"/>
      <c r="C144" s="28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8"/>
    </row>
    <row r="145" spans="1:28" ht="19.5" x14ac:dyDescent="0.6">
      <c r="A145" s="3"/>
      <c r="C145" s="30" t="s">
        <v>29</v>
      </c>
      <c r="D145" s="20">
        <v>12</v>
      </c>
      <c r="E145" s="20">
        <v>2</v>
      </c>
      <c r="F145" s="20">
        <v>5</v>
      </c>
      <c r="G145" s="20">
        <v>3</v>
      </c>
      <c r="H145" s="20">
        <v>8</v>
      </c>
      <c r="I145" s="20">
        <v>4</v>
      </c>
      <c r="J145" s="20">
        <v>12</v>
      </c>
      <c r="K145" s="20">
        <v>11</v>
      </c>
      <c r="L145" s="20">
        <v>2</v>
      </c>
      <c r="M145" s="41">
        <v>9</v>
      </c>
      <c r="N145" s="20">
        <v>11</v>
      </c>
      <c r="O145" s="20">
        <v>3</v>
      </c>
      <c r="P145" s="20">
        <v>4</v>
      </c>
      <c r="Q145" s="20">
        <v>4</v>
      </c>
      <c r="R145" s="20">
        <v>2</v>
      </c>
      <c r="S145" s="41">
        <v>10</v>
      </c>
      <c r="T145" s="41">
        <v>11</v>
      </c>
      <c r="U145" s="41">
        <v>13</v>
      </c>
      <c r="V145" s="20">
        <v>13</v>
      </c>
      <c r="W145" s="20"/>
      <c r="X145" s="21"/>
      <c r="Y145" s="5"/>
      <c r="Z145" s="5"/>
      <c r="AA145" s="5"/>
      <c r="AB145" s="5"/>
    </row>
    <row r="146" spans="1:28" ht="19.5" x14ac:dyDescent="0.6">
      <c r="A146" s="3"/>
      <c r="C146" s="22" t="s">
        <v>25</v>
      </c>
      <c r="D146" s="39">
        <v>1.4</v>
      </c>
      <c r="E146" s="39">
        <v>2.4</v>
      </c>
      <c r="F146" s="39">
        <v>2.2999999999999998</v>
      </c>
      <c r="G146" s="39"/>
      <c r="H146" s="39">
        <v>1.4</v>
      </c>
      <c r="I146" s="39">
        <v>2.8</v>
      </c>
      <c r="J146" s="39">
        <v>2.4</v>
      </c>
      <c r="K146" s="39">
        <v>1.6</v>
      </c>
      <c r="L146" s="39">
        <v>6.3</v>
      </c>
      <c r="M146" s="44">
        <v>1.4</v>
      </c>
      <c r="N146" s="39">
        <v>5</v>
      </c>
      <c r="O146" s="39">
        <v>1.3</v>
      </c>
      <c r="P146" s="39">
        <v>1.1000000000000001</v>
      </c>
      <c r="Q146" s="39">
        <v>5</v>
      </c>
      <c r="R146" s="39">
        <v>2.2000000000000002</v>
      </c>
      <c r="S146" s="44">
        <v>4.7</v>
      </c>
      <c r="T146" s="44">
        <v>10.7</v>
      </c>
      <c r="U146" s="44">
        <v>4.0999999999999996</v>
      </c>
      <c r="V146" s="39">
        <v>9</v>
      </c>
      <c r="W146" s="39"/>
      <c r="X146" s="38"/>
      <c r="Y146" s="6"/>
      <c r="Z146" s="6"/>
      <c r="AA146" s="6"/>
      <c r="AB146" s="6"/>
    </row>
    <row r="147" spans="1:28" ht="19.899999999999999" thickBot="1" x14ac:dyDescent="0.65">
      <c r="A147" s="3"/>
      <c r="C147" s="24" t="s">
        <v>30</v>
      </c>
      <c r="D147" s="40">
        <f>IF(D130="U",D148*2,D148)</f>
        <v>1.4</v>
      </c>
      <c r="E147" s="40">
        <f t="shared" ref="E147:Z147" si="78">IF(E130="U",E148*2,E148)</f>
        <v>2.4</v>
      </c>
      <c r="F147" s="40">
        <f t="shared" si="78"/>
        <v>2.2999999999999998</v>
      </c>
      <c r="G147" s="40">
        <f t="shared" si="78"/>
        <v>0</v>
      </c>
      <c r="H147" s="40">
        <f t="shared" si="78"/>
        <v>1.4</v>
      </c>
      <c r="I147" s="40">
        <f t="shared" si="78"/>
        <v>2.8</v>
      </c>
      <c r="J147" s="40">
        <f t="shared" si="78"/>
        <v>2.4</v>
      </c>
      <c r="K147" s="40">
        <f t="shared" si="78"/>
        <v>1.6</v>
      </c>
      <c r="L147" s="40">
        <f t="shared" si="78"/>
        <v>6.3</v>
      </c>
      <c r="M147" s="40">
        <f t="shared" si="78"/>
        <v>1.4</v>
      </c>
      <c r="N147" s="40">
        <f t="shared" si="78"/>
        <v>5</v>
      </c>
      <c r="O147" s="40">
        <f t="shared" si="78"/>
        <v>1.3</v>
      </c>
      <c r="P147" s="40">
        <f t="shared" si="78"/>
        <v>1.1000000000000001</v>
      </c>
      <c r="Q147" s="40">
        <f t="shared" si="78"/>
        <v>5</v>
      </c>
      <c r="R147" s="40">
        <f t="shared" si="78"/>
        <v>2.2000000000000002</v>
      </c>
      <c r="S147" s="40">
        <f t="shared" si="78"/>
        <v>4.7</v>
      </c>
      <c r="T147" s="40">
        <f t="shared" si="78"/>
        <v>10.7</v>
      </c>
      <c r="U147" s="40">
        <f t="shared" si="78"/>
        <v>4.0999999999999996</v>
      </c>
      <c r="V147" s="40">
        <f t="shared" si="78"/>
        <v>9</v>
      </c>
      <c r="W147" s="40">
        <f t="shared" si="78"/>
        <v>0</v>
      </c>
      <c r="X147" s="40">
        <f t="shared" si="78"/>
        <v>0</v>
      </c>
      <c r="Y147" s="40">
        <f t="shared" si="78"/>
        <v>0</v>
      </c>
      <c r="Z147" s="40">
        <f t="shared" si="78"/>
        <v>0</v>
      </c>
      <c r="AA147" s="7">
        <f>+SUM(AA146)</f>
        <v>0</v>
      </c>
      <c r="AB147" s="7">
        <f>+SUM(AB146)</f>
        <v>0</v>
      </c>
    </row>
    <row r="148" spans="1:28" ht="19.5" x14ac:dyDescent="0.6">
      <c r="A148" s="3"/>
      <c r="C148" s="26"/>
      <c r="D148" s="27">
        <f>D146</f>
        <v>1.4</v>
      </c>
      <c r="E148" s="27">
        <f t="shared" ref="E148:Z148" si="79">E146</f>
        <v>2.4</v>
      </c>
      <c r="F148" s="27">
        <f t="shared" si="79"/>
        <v>2.2999999999999998</v>
      </c>
      <c r="G148" s="27">
        <f t="shared" si="79"/>
        <v>0</v>
      </c>
      <c r="H148" s="27">
        <f t="shared" si="79"/>
        <v>1.4</v>
      </c>
      <c r="I148" s="27">
        <f t="shared" si="79"/>
        <v>2.8</v>
      </c>
      <c r="J148" s="27">
        <f t="shared" si="79"/>
        <v>2.4</v>
      </c>
      <c r="K148" s="27">
        <f t="shared" si="79"/>
        <v>1.6</v>
      </c>
      <c r="L148" s="27">
        <f t="shared" si="79"/>
        <v>6.3</v>
      </c>
      <c r="M148" s="27">
        <f t="shared" si="79"/>
        <v>1.4</v>
      </c>
      <c r="N148" s="27">
        <f t="shared" si="79"/>
        <v>5</v>
      </c>
      <c r="O148" s="27">
        <f t="shared" si="79"/>
        <v>1.3</v>
      </c>
      <c r="P148" s="27">
        <f t="shared" si="79"/>
        <v>1.1000000000000001</v>
      </c>
      <c r="Q148" s="27">
        <f t="shared" si="79"/>
        <v>5</v>
      </c>
      <c r="R148" s="27">
        <f t="shared" si="79"/>
        <v>2.2000000000000002</v>
      </c>
      <c r="S148" s="27">
        <f t="shared" si="79"/>
        <v>4.7</v>
      </c>
      <c r="T148" s="27">
        <f t="shared" si="79"/>
        <v>10.7</v>
      </c>
      <c r="U148" s="27">
        <f t="shared" si="79"/>
        <v>4.0999999999999996</v>
      </c>
      <c r="V148" s="27">
        <f t="shared" si="79"/>
        <v>9</v>
      </c>
      <c r="W148" s="27">
        <f t="shared" si="79"/>
        <v>0</v>
      </c>
      <c r="X148" s="27">
        <f t="shared" si="79"/>
        <v>0</v>
      </c>
      <c r="Y148" s="27">
        <f t="shared" si="79"/>
        <v>0</v>
      </c>
      <c r="Z148" s="27">
        <f t="shared" si="79"/>
        <v>0</v>
      </c>
      <c r="AA148" s="12"/>
      <c r="AB148" s="12"/>
    </row>
    <row r="149" spans="1:28" ht="19.899999999999999" thickBot="1" x14ac:dyDescent="0.65">
      <c r="A149" s="3"/>
      <c r="C149" s="28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8"/>
    </row>
    <row r="150" spans="1:28" ht="19.5" x14ac:dyDescent="0.6">
      <c r="A150" s="3"/>
      <c r="C150" s="31" t="s">
        <v>31</v>
      </c>
      <c r="D150" s="32">
        <v>5</v>
      </c>
      <c r="E150" s="32">
        <v>3</v>
      </c>
      <c r="F150" s="32">
        <v>2</v>
      </c>
      <c r="G150" s="32">
        <v>4</v>
      </c>
      <c r="H150" s="32">
        <v>8</v>
      </c>
      <c r="I150" s="32">
        <v>14</v>
      </c>
      <c r="J150" s="32">
        <v>9</v>
      </c>
      <c r="K150" s="32">
        <v>11</v>
      </c>
      <c r="L150" s="32">
        <v>5</v>
      </c>
      <c r="M150" s="32">
        <v>3</v>
      </c>
      <c r="N150" s="32">
        <v>9</v>
      </c>
      <c r="O150" s="32">
        <v>9</v>
      </c>
      <c r="P150" s="32">
        <v>4</v>
      </c>
      <c r="Q150" s="32">
        <v>12</v>
      </c>
      <c r="R150" s="32">
        <v>12</v>
      </c>
      <c r="S150" s="32">
        <v>14</v>
      </c>
      <c r="T150" s="32">
        <v>4</v>
      </c>
      <c r="U150" s="32">
        <v>1</v>
      </c>
      <c r="V150" s="32">
        <v>5</v>
      </c>
      <c r="W150" s="32"/>
      <c r="X150" s="33"/>
      <c r="Y150" s="5"/>
      <c r="Z150" s="5"/>
      <c r="AA150" s="5"/>
      <c r="AB150" s="5"/>
    </row>
    <row r="151" spans="1:28" ht="19.5" x14ac:dyDescent="0.6">
      <c r="A151" s="3"/>
      <c r="C151" s="34" t="s">
        <v>32</v>
      </c>
      <c r="D151" s="35"/>
      <c r="E151" s="35"/>
      <c r="F151" s="35"/>
      <c r="G151" s="35"/>
      <c r="H151" s="35"/>
      <c r="I151" s="35">
        <v>2</v>
      </c>
      <c r="J151" s="35">
        <v>1</v>
      </c>
      <c r="K151" s="35"/>
      <c r="L151" s="35">
        <v>8</v>
      </c>
      <c r="M151" s="35">
        <v>5</v>
      </c>
      <c r="N151" s="35"/>
      <c r="O151" s="35"/>
      <c r="P151" s="35"/>
      <c r="Q151" s="35">
        <v>2</v>
      </c>
      <c r="R151" s="35"/>
      <c r="S151" s="35"/>
      <c r="T151" s="35">
        <v>1</v>
      </c>
      <c r="U151" s="35">
        <v>9</v>
      </c>
      <c r="V151" s="35"/>
      <c r="W151" s="35"/>
      <c r="X151" s="23"/>
      <c r="Y151" s="6"/>
      <c r="Z151" s="6"/>
      <c r="AA151" s="6"/>
      <c r="AB151" s="6"/>
    </row>
    <row r="152" spans="1:28" ht="19.5" x14ac:dyDescent="0.6">
      <c r="A152" s="3"/>
      <c r="C152" s="34" t="s">
        <v>33</v>
      </c>
      <c r="D152" s="36"/>
      <c r="E152" s="36"/>
      <c r="F152" s="36"/>
      <c r="G152" s="36"/>
      <c r="H152" s="36"/>
      <c r="I152" s="36"/>
      <c r="J152" s="36">
        <v>3</v>
      </c>
      <c r="K152" s="36"/>
      <c r="L152" s="36"/>
      <c r="M152" s="36"/>
      <c r="N152" s="36"/>
      <c r="O152" s="36"/>
      <c r="P152" s="36"/>
      <c r="Q152" s="25">
        <v>8</v>
      </c>
      <c r="R152" s="36"/>
      <c r="S152" s="23"/>
      <c r="T152" s="36"/>
      <c r="U152" s="36"/>
      <c r="V152" s="36"/>
      <c r="W152" s="36"/>
      <c r="X152" s="23"/>
      <c r="Y152" s="6"/>
      <c r="Z152" s="6"/>
      <c r="AA152" s="6"/>
      <c r="AB152" s="6"/>
    </row>
    <row r="153" spans="1:28" ht="19.5" x14ac:dyDescent="0.6">
      <c r="A153" s="3"/>
      <c r="C153" s="34" t="s">
        <v>34</v>
      </c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8"/>
      <c r="Z153" s="8"/>
      <c r="AA153" s="8"/>
      <c r="AB153" s="8"/>
    </row>
    <row r="154" spans="1:28" ht="19.5" x14ac:dyDescent="0.6">
      <c r="A154" s="3"/>
      <c r="C154" s="34" t="s">
        <v>35</v>
      </c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8"/>
      <c r="Z154" s="8"/>
      <c r="AA154" s="8"/>
      <c r="AB154" s="8"/>
    </row>
    <row r="155" spans="1:28" ht="19.5" x14ac:dyDescent="0.6">
      <c r="A155" s="3"/>
      <c r="C155" s="34" t="s">
        <v>36</v>
      </c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8"/>
      <c r="Z155" s="8"/>
      <c r="AA155" s="8"/>
      <c r="AB155" s="8"/>
    </row>
    <row r="156" spans="1:28" x14ac:dyDescent="0.4">
      <c r="A156" s="3"/>
    </row>
  </sheetData>
  <sortState xmlns:xlrd2="http://schemas.microsoft.com/office/spreadsheetml/2017/richdata2" ref="AQ4:AW31">
    <sortCondition descending="1" ref="AW3"/>
    <sortCondition descending="1" ref="AQ3"/>
  </sortState>
  <mergeCells count="245">
    <mergeCell ref="A125:A126"/>
    <mergeCell ref="B125:B126"/>
    <mergeCell ref="C125:C126"/>
    <mergeCell ref="AC125:AC126"/>
    <mergeCell ref="A127:A128"/>
    <mergeCell ref="B127:B128"/>
    <mergeCell ref="C127:C128"/>
    <mergeCell ref="AC127:AC128"/>
    <mergeCell ref="A121:A122"/>
    <mergeCell ref="B121:B122"/>
    <mergeCell ref="C121:C122"/>
    <mergeCell ref="AC121:AC122"/>
    <mergeCell ref="A123:A124"/>
    <mergeCell ref="B123:B124"/>
    <mergeCell ref="C123:C124"/>
    <mergeCell ref="AC123:AC124"/>
    <mergeCell ref="A117:A118"/>
    <mergeCell ref="B117:B118"/>
    <mergeCell ref="C117:C118"/>
    <mergeCell ref="AC117:AC118"/>
    <mergeCell ref="A119:A120"/>
    <mergeCell ref="B119:B120"/>
    <mergeCell ref="C119:C120"/>
    <mergeCell ref="AC119:AC120"/>
    <mergeCell ref="A113:A114"/>
    <mergeCell ref="B113:B114"/>
    <mergeCell ref="C113:C114"/>
    <mergeCell ref="AC113:AC114"/>
    <mergeCell ref="A115:A116"/>
    <mergeCell ref="B115:B116"/>
    <mergeCell ref="C115:C116"/>
    <mergeCell ref="AC115:AC116"/>
    <mergeCell ref="A109:A110"/>
    <mergeCell ref="B109:B110"/>
    <mergeCell ref="C109:C110"/>
    <mergeCell ref="AC109:AC110"/>
    <mergeCell ref="A111:A112"/>
    <mergeCell ref="B111:B112"/>
    <mergeCell ref="C111:C112"/>
    <mergeCell ref="AC111:AC112"/>
    <mergeCell ref="A105:A106"/>
    <mergeCell ref="B105:B106"/>
    <mergeCell ref="C105:C106"/>
    <mergeCell ref="AC105:AC106"/>
    <mergeCell ref="A107:A108"/>
    <mergeCell ref="B107:B108"/>
    <mergeCell ref="C107:C108"/>
    <mergeCell ref="AC107:AC108"/>
    <mergeCell ref="A101:A102"/>
    <mergeCell ref="B101:B102"/>
    <mergeCell ref="C101:C102"/>
    <mergeCell ref="AC101:AC102"/>
    <mergeCell ref="A103:A104"/>
    <mergeCell ref="B103:B104"/>
    <mergeCell ref="C103:C104"/>
    <mergeCell ref="AC103:AC104"/>
    <mergeCell ref="A97:A98"/>
    <mergeCell ref="B97:B98"/>
    <mergeCell ref="C97:C98"/>
    <mergeCell ref="AC97:AC98"/>
    <mergeCell ref="A99:A100"/>
    <mergeCell ref="B99:B100"/>
    <mergeCell ref="C99:C100"/>
    <mergeCell ref="AC99:AC100"/>
    <mergeCell ref="A93:A94"/>
    <mergeCell ref="B93:B94"/>
    <mergeCell ref="C93:C94"/>
    <mergeCell ref="AC93:AC94"/>
    <mergeCell ref="A95:A96"/>
    <mergeCell ref="B95:B96"/>
    <mergeCell ref="C95:C96"/>
    <mergeCell ref="AC95:AC96"/>
    <mergeCell ref="A89:A90"/>
    <mergeCell ref="B89:B90"/>
    <mergeCell ref="C89:C90"/>
    <mergeCell ref="AC89:AC90"/>
    <mergeCell ref="A91:A92"/>
    <mergeCell ref="B91:B92"/>
    <mergeCell ref="C91:C92"/>
    <mergeCell ref="AC91:AC92"/>
    <mergeCell ref="A85:A86"/>
    <mergeCell ref="B85:B86"/>
    <mergeCell ref="C85:C86"/>
    <mergeCell ref="AC85:AC86"/>
    <mergeCell ref="A87:A88"/>
    <mergeCell ref="B87:B88"/>
    <mergeCell ref="C87:C88"/>
    <mergeCell ref="AC87:AC88"/>
    <mergeCell ref="A81:A82"/>
    <mergeCell ref="B81:B82"/>
    <mergeCell ref="C81:C82"/>
    <mergeCell ref="AC81:AC82"/>
    <mergeCell ref="A83:A84"/>
    <mergeCell ref="B83:B84"/>
    <mergeCell ref="C83:C84"/>
    <mergeCell ref="AC83:AC84"/>
    <mergeCell ref="A77:A78"/>
    <mergeCell ref="B77:B78"/>
    <mergeCell ref="C77:C78"/>
    <mergeCell ref="AC77:AC78"/>
    <mergeCell ref="A79:A80"/>
    <mergeCell ref="B79:B80"/>
    <mergeCell ref="C79:C80"/>
    <mergeCell ref="AC79:AC80"/>
    <mergeCell ref="A73:A74"/>
    <mergeCell ref="B73:B74"/>
    <mergeCell ref="C73:C74"/>
    <mergeCell ref="AC73:AC74"/>
    <mergeCell ref="A75:A76"/>
    <mergeCell ref="B75:B76"/>
    <mergeCell ref="C75:C76"/>
    <mergeCell ref="AC75:AC76"/>
    <mergeCell ref="A67:A68"/>
    <mergeCell ref="B67:B68"/>
    <mergeCell ref="C67:C68"/>
    <mergeCell ref="AC67:AC68"/>
    <mergeCell ref="A69:AC71"/>
    <mergeCell ref="AE72:AH72"/>
    <mergeCell ref="A63:A64"/>
    <mergeCell ref="B63:B64"/>
    <mergeCell ref="C63:C64"/>
    <mergeCell ref="AC63:AC64"/>
    <mergeCell ref="A65:A66"/>
    <mergeCell ref="B65:B66"/>
    <mergeCell ref="C65:C66"/>
    <mergeCell ref="AC65:AC66"/>
    <mergeCell ref="A59:A60"/>
    <mergeCell ref="B59:B60"/>
    <mergeCell ref="C59:C60"/>
    <mergeCell ref="AC59:AC60"/>
    <mergeCell ref="A61:A62"/>
    <mergeCell ref="B61:B62"/>
    <mergeCell ref="C61:C62"/>
    <mergeCell ref="AC61:AC62"/>
    <mergeCell ref="A55:A56"/>
    <mergeCell ref="B55:B56"/>
    <mergeCell ref="C55:C56"/>
    <mergeCell ref="AC55:AC56"/>
    <mergeCell ref="A57:A58"/>
    <mergeCell ref="B57:B58"/>
    <mergeCell ref="C57:C58"/>
    <mergeCell ref="AC57:AC58"/>
    <mergeCell ref="A51:A52"/>
    <mergeCell ref="B51:B52"/>
    <mergeCell ref="C51:C52"/>
    <mergeCell ref="AC51:AC52"/>
    <mergeCell ref="A53:A54"/>
    <mergeCell ref="B53:B54"/>
    <mergeCell ref="C53:C54"/>
    <mergeCell ref="AC53:AC54"/>
    <mergeCell ref="A47:A48"/>
    <mergeCell ref="B47:B48"/>
    <mergeCell ref="C47:C48"/>
    <mergeCell ref="AC47:AC48"/>
    <mergeCell ref="A49:A50"/>
    <mergeCell ref="B49:B50"/>
    <mergeCell ref="C49:C50"/>
    <mergeCell ref="AC49:AC50"/>
    <mergeCell ref="A43:A44"/>
    <mergeCell ref="B43:B44"/>
    <mergeCell ref="C43:C44"/>
    <mergeCell ref="AC43:AC44"/>
    <mergeCell ref="A45:A46"/>
    <mergeCell ref="B45:B46"/>
    <mergeCell ref="C45:C46"/>
    <mergeCell ref="AC45:AC46"/>
    <mergeCell ref="A39:A40"/>
    <mergeCell ref="B39:B40"/>
    <mergeCell ref="C39:C40"/>
    <mergeCell ref="AC39:AC40"/>
    <mergeCell ref="A41:A42"/>
    <mergeCell ref="B41:B42"/>
    <mergeCell ref="C41:C42"/>
    <mergeCell ref="AC41:AC42"/>
    <mergeCell ref="A35:A36"/>
    <mergeCell ref="B35:B36"/>
    <mergeCell ref="C35:C36"/>
    <mergeCell ref="AC35:AC36"/>
    <mergeCell ref="A37:A38"/>
    <mergeCell ref="B37:B38"/>
    <mergeCell ref="C37:C38"/>
    <mergeCell ref="AC37:AC38"/>
    <mergeCell ref="A31:A32"/>
    <mergeCell ref="B31:B32"/>
    <mergeCell ref="C31:C32"/>
    <mergeCell ref="AC31:AC32"/>
    <mergeCell ref="A33:A34"/>
    <mergeCell ref="B33:B34"/>
    <mergeCell ref="C33:C34"/>
    <mergeCell ref="AC33:AC34"/>
    <mergeCell ref="A27:A28"/>
    <mergeCell ref="B27:B28"/>
    <mergeCell ref="C27:C28"/>
    <mergeCell ref="AC27:AC28"/>
    <mergeCell ref="A29:A30"/>
    <mergeCell ref="B29:B30"/>
    <mergeCell ref="C29:C30"/>
    <mergeCell ref="AC29:AC30"/>
    <mergeCell ref="A23:A24"/>
    <mergeCell ref="B23:B24"/>
    <mergeCell ref="C23:C24"/>
    <mergeCell ref="AC23:AC24"/>
    <mergeCell ref="A25:A26"/>
    <mergeCell ref="B25:B26"/>
    <mergeCell ref="C25:C26"/>
    <mergeCell ref="AC25:AC26"/>
    <mergeCell ref="A19:A20"/>
    <mergeCell ref="B19:B20"/>
    <mergeCell ref="C19:C20"/>
    <mergeCell ref="AC19:AC20"/>
    <mergeCell ref="A21:A22"/>
    <mergeCell ref="B21:B22"/>
    <mergeCell ref="C21:C22"/>
    <mergeCell ref="AC21:AC22"/>
    <mergeCell ref="A15:A16"/>
    <mergeCell ref="B15:B16"/>
    <mergeCell ref="C15:C16"/>
    <mergeCell ref="AC15:AC16"/>
    <mergeCell ref="A17:A18"/>
    <mergeCell ref="B17:B18"/>
    <mergeCell ref="C17:C18"/>
    <mergeCell ref="AC17:AC18"/>
    <mergeCell ref="A13:A14"/>
    <mergeCell ref="B13:B14"/>
    <mergeCell ref="C13:C14"/>
    <mergeCell ref="AC13:AC14"/>
    <mergeCell ref="A7:A8"/>
    <mergeCell ref="B7:B8"/>
    <mergeCell ref="C7:C8"/>
    <mergeCell ref="AC7:AC8"/>
    <mergeCell ref="A9:A10"/>
    <mergeCell ref="B9:B10"/>
    <mergeCell ref="C9:C10"/>
    <mergeCell ref="AC9:AC10"/>
    <mergeCell ref="A1:AC3"/>
    <mergeCell ref="AE2:AH2"/>
    <mergeCell ref="AP2:AX2"/>
    <mergeCell ref="A5:A6"/>
    <mergeCell ref="B5:B6"/>
    <mergeCell ref="C5:C6"/>
    <mergeCell ref="AC5:AC6"/>
    <mergeCell ref="A11:A12"/>
    <mergeCell ref="B11:B12"/>
    <mergeCell ref="C11:C12"/>
    <mergeCell ref="AC11:AC12"/>
  </mergeCells>
  <conditionalFormatting sqref="D6:AB6 D8:AB8 D10:AB10 D12:AB12 D14:AB14 D16:AB16 D18:AB18 D20:AB20 D22:AB22 D24:AB24 D26:AB26 D28:AB28 D30:AB30 D32:AB32 D34:AB34 D36:AB36 D38:AB38 D40:AB40 D42:AB42 D44:AB44 D46:AB46 D48:AB48 D50:AB50 D52:AB52 D58:AB58 D60:AB60 D62:AB62 D64:AB64 D66:AB66 D68:AB68 D74:AB74 D76:AB76 D78:AB78 D80:AB80 D82:AB82 D84:AB84 D86:AB86 D88:AB88 D90:AB90 D92:AB92 D94:AB94 D96:AB96 D98:AB98 D100:AB100 D102:AB102 D104:AB104 D106:AB106 D108:AB108 D110:AB110 D112:AB112 D114:AB114 D116:AB116 D118:AB118 D120:AB120 D122:AB122 D124:AB124 D126:AB126 D128:AB129">
    <cfRule type="cellIs" dxfId="14" priority="5" operator="greaterThan">
      <formula>0</formula>
    </cfRule>
  </conditionalFormatting>
  <conditionalFormatting sqref="AF4:AH31 AQ4:AX31">
    <cfRule type="expression" dxfId="13" priority="3">
      <formula>AND(ROW()&gt;=4,ROW()&lt;=5)</formula>
    </cfRule>
    <cfRule type="expression" dxfId="12" priority="4">
      <formula>TRUE</formula>
    </cfRule>
  </conditionalFormatting>
  <conditionalFormatting sqref="AF74:AH101">
    <cfRule type="expression" dxfId="11" priority="1">
      <formula>AND(ROW()&gt;=74,ROW()&lt;=75)</formula>
    </cfRule>
    <cfRule type="expression" dxfId="10" priority="2">
      <formula>TRUE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Ordenar_Tres_TablasVier">
                <anchor moveWithCells="1" sizeWithCells="1">
                  <from>
                    <xdr:col>20</xdr:col>
                    <xdr:colOff>342900</xdr:colOff>
                    <xdr:row>0</xdr:row>
                    <xdr:rowOff>123825</xdr:rowOff>
                  </from>
                  <to>
                    <xdr:col>22</xdr:col>
                    <xdr:colOff>276225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Limpiar_Por_Rangos">
                <anchor moveWithCells="1" sizeWithCells="1">
                  <from>
                    <xdr:col>17</xdr:col>
                    <xdr:colOff>523875</xdr:colOff>
                    <xdr:row>0</xdr:row>
                    <xdr:rowOff>114300</xdr:rowOff>
                  </from>
                  <to>
                    <xdr:col>19</xdr:col>
                    <xdr:colOff>409575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Y156"/>
  <sheetViews>
    <sheetView showGridLines="0" topLeftCell="A81" zoomScaleNormal="100" workbookViewId="0">
      <selection activeCell="I14" sqref="I14"/>
    </sheetView>
  </sheetViews>
  <sheetFormatPr baseColWidth="10" defaultColWidth="14.3984375" defaultRowHeight="13.15" x14ac:dyDescent="0.4"/>
  <cols>
    <col min="1" max="1" width="4.59765625" style="1" bestFit="1" customWidth="1"/>
    <col min="2" max="2" width="36.59765625" style="2" bestFit="1" customWidth="1"/>
    <col min="3" max="3" width="13.73046875" style="2" bestFit="1" customWidth="1"/>
    <col min="4" max="4" width="7.86328125" style="2" bestFit="1" customWidth="1"/>
    <col min="5" max="6" width="6.3984375" style="2" bestFit="1" customWidth="1"/>
    <col min="7" max="7" width="7" style="2" bestFit="1" customWidth="1"/>
    <col min="8" max="11" width="6.3984375" style="2" bestFit="1" customWidth="1"/>
    <col min="12" max="13" width="7.86328125" style="2" bestFit="1" customWidth="1"/>
    <col min="14" max="17" width="6.3984375" style="2" bestFit="1" customWidth="1"/>
    <col min="18" max="19" width="7.86328125" style="2" bestFit="1" customWidth="1"/>
    <col min="20" max="20" width="6.3984375" style="2" bestFit="1" customWidth="1"/>
    <col min="21" max="24" width="7.86328125" style="2" bestFit="1" customWidth="1"/>
    <col min="25" max="25" width="6.73046875" style="2" customWidth="1"/>
    <col min="26" max="28" width="4.86328125" style="2" customWidth="1"/>
    <col min="29" max="29" width="9.73046875" style="2" customWidth="1"/>
    <col min="30" max="30" width="3.265625" style="2" customWidth="1"/>
    <col min="31" max="31" width="10.1328125" style="2" customWidth="1"/>
    <col min="32" max="32" width="36.59765625" style="2" bestFit="1" customWidth="1"/>
    <col min="33" max="33" width="11.73046875" style="2" bestFit="1" customWidth="1"/>
    <col min="34" max="34" width="9" style="2" bestFit="1" customWidth="1"/>
    <col min="35" max="36" width="14.3984375" style="2"/>
    <col min="37" max="37" width="16.265625" style="2" bestFit="1" customWidth="1"/>
    <col min="38" max="38" width="14.3984375" style="2"/>
    <col min="39" max="39" width="16.265625" style="2" bestFit="1" customWidth="1"/>
    <col min="40" max="40" width="18.59765625" style="2" bestFit="1" customWidth="1"/>
    <col min="41" max="42" width="14.3984375" style="2"/>
    <col min="43" max="43" width="30.1328125" style="2" bestFit="1" customWidth="1"/>
    <col min="44" max="16384" width="14.3984375" style="2"/>
  </cols>
  <sheetData>
    <row r="1" spans="1:51" s="46" customFormat="1" ht="11.25" customHeight="1" x14ac:dyDescent="0.4">
      <c r="A1" s="267" t="s">
        <v>17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</row>
    <row r="2" spans="1:51" ht="22.5" customHeight="1" x14ac:dyDescent="0.5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E2" s="264" t="s">
        <v>54</v>
      </c>
      <c r="AF2" s="265"/>
      <c r="AG2" s="265"/>
      <c r="AH2" s="266"/>
      <c r="AI2" s="52">
        <v>10</v>
      </c>
      <c r="AJ2" s="52"/>
      <c r="AK2" s="52">
        <v>10</v>
      </c>
      <c r="AL2" s="52"/>
      <c r="AM2" s="52">
        <v>11</v>
      </c>
      <c r="AN2" s="52"/>
      <c r="AP2" s="264" t="s">
        <v>55</v>
      </c>
      <c r="AQ2" s="265"/>
      <c r="AR2" s="265"/>
      <c r="AS2" s="265"/>
      <c r="AT2" s="265"/>
      <c r="AU2" s="265"/>
      <c r="AV2" s="265"/>
      <c r="AW2" s="265"/>
      <c r="AX2" s="265"/>
      <c r="AY2" s="266"/>
    </row>
    <row r="3" spans="1:51" ht="19.5" x14ac:dyDescent="0.5">
      <c r="A3" s="268"/>
      <c r="B3" s="268"/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E3" s="141" t="s">
        <v>37</v>
      </c>
      <c r="AF3" s="142" t="s">
        <v>14</v>
      </c>
      <c r="AG3" s="143" t="s">
        <v>15</v>
      </c>
      <c r="AH3" s="143" t="s">
        <v>52</v>
      </c>
      <c r="AI3" s="51" t="str">
        <f>"Prono Carrera "&amp;AI2</f>
        <v>Prono Carrera 10</v>
      </c>
      <c r="AJ3" s="51" t="s">
        <v>42</v>
      </c>
      <c r="AK3" s="51" t="str">
        <f>"Prono Carrera "&amp;AK2</f>
        <v>Prono Carrera 10</v>
      </c>
      <c r="AL3" s="51" t="s">
        <v>42</v>
      </c>
      <c r="AM3" s="51" t="str">
        <f>"Prono Carrera "&amp;AM2</f>
        <v>Prono Carrera 11</v>
      </c>
      <c r="AN3" s="51" t="s">
        <v>42</v>
      </c>
      <c r="AP3" s="141" t="s">
        <v>37</v>
      </c>
      <c r="AQ3" s="142" t="s">
        <v>14</v>
      </c>
      <c r="AR3" s="143" t="s">
        <v>44</v>
      </c>
      <c r="AS3" s="143" t="s">
        <v>45</v>
      </c>
      <c r="AT3" s="143" t="s">
        <v>46</v>
      </c>
      <c r="AU3" s="143" t="s">
        <v>47</v>
      </c>
      <c r="AV3" s="143" t="s">
        <v>48</v>
      </c>
      <c r="AW3" s="143" t="s">
        <v>49</v>
      </c>
      <c r="AX3" s="143" t="s">
        <v>15</v>
      </c>
      <c r="AY3" s="143" t="s">
        <v>52</v>
      </c>
    </row>
    <row r="4" spans="1:51" ht="15" customHeight="1" x14ac:dyDescent="0.4">
      <c r="A4" s="115" t="s">
        <v>0</v>
      </c>
      <c r="B4" s="115" t="s">
        <v>14</v>
      </c>
      <c r="C4" s="115" t="s">
        <v>18</v>
      </c>
      <c r="D4" s="115">
        <v>1</v>
      </c>
      <c r="E4" s="115">
        <v>2</v>
      </c>
      <c r="F4" s="115">
        <v>3</v>
      </c>
      <c r="G4" s="115">
        <v>4</v>
      </c>
      <c r="H4" s="115">
        <v>5</v>
      </c>
      <c r="I4" s="115">
        <v>6</v>
      </c>
      <c r="J4" s="115">
        <v>7</v>
      </c>
      <c r="K4" s="115">
        <v>8</v>
      </c>
      <c r="L4" s="115">
        <v>9</v>
      </c>
      <c r="M4" s="115">
        <v>10</v>
      </c>
      <c r="N4" s="115">
        <v>11</v>
      </c>
      <c r="O4" s="115">
        <v>12</v>
      </c>
      <c r="P4" s="115">
        <v>13</v>
      </c>
      <c r="Q4" s="115">
        <v>14</v>
      </c>
      <c r="R4" s="115">
        <v>15</v>
      </c>
      <c r="S4" s="115">
        <v>16</v>
      </c>
      <c r="T4" s="115">
        <v>17</v>
      </c>
      <c r="U4" s="115">
        <v>18</v>
      </c>
      <c r="V4" s="115">
        <v>19</v>
      </c>
      <c r="W4" s="115">
        <v>20</v>
      </c>
      <c r="X4" s="115">
        <v>21</v>
      </c>
      <c r="Y4" s="115">
        <v>22</v>
      </c>
      <c r="Z4" s="115">
        <v>23</v>
      </c>
      <c r="AA4" s="115">
        <v>24</v>
      </c>
      <c r="AB4" s="115">
        <v>25</v>
      </c>
      <c r="AC4" s="115" t="s">
        <v>19</v>
      </c>
      <c r="AE4" s="144">
        <v>1</v>
      </c>
      <c r="AF4" s="145" t="str">
        <f>IF(ISBLANK(STUD!B7)," ",STUD!B7)</f>
        <v>ALF</v>
      </c>
      <c r="AG4" s="145">
        <f t="shared" ref="AG4:AG20" si="0">IFERROR(VLOOKUP(AF4,$B$5:$C$68,2,0),0)</f>
        <v>0</v>
      </c>
      <c r="AH4" s="145"/>
      <c r="AI4" s="88">
        <f t="shared" ref="AI4:AI31" si="1">IFERROR(
   VLOOKUP(AF4, $B$5:$Y$68, CHOOSE($AI$2, 3, 4, 5, 6, 7, 8, 9, 10, 11, 12, 13, 14, 15, 16, 17, 18, 19, 20, 21, 22, 23, 24, 25, 26, 27, 28, 29), 0),
   " "
)</f>
        <v>0</v>
      </c>
      <c r="AJ4" s="53" t="str">
        <f>IF(AI4="","",IFERROR(IF(VLOOKUP(AI4,Programa!$AA$3:$AB$18,2,0)="","",VLOOKUP(AI4,Programa!$AA$3:$AB$18,2,0)),""))</f>
        <v/>
      </c>
      <c r="AK4" s="53">
        <f t="shared" ref="AK4:AK31" si="2">IFERROR(
   VLOOKUP(AF4, $B$5:$Y$68, CHOOSE($AK$2, 3, 4, 5, 6, 7, 8, 9, 10, 11, 12, 13, 14, 15, 16, 17, 18, 19, 20, 21, 22, 23, 24, 25, 26, 27, 28, 29), 0),
   " "
)</f>
        <v>0</v>
      </c>
      <c r="AL4" s="53" t="str">
        <f>IF(AK4="","",IFERROR(IF(VLOOKUP(AK4,Programa!$AA$19:$AB$34,2,0)="","",VLOOKUP(AK4,Programa!$AA$19:$AB$34,2,0)),""))</f>
        <v/>
      </c>
      <c r="AM4" s="53">
        <f t="shared" ref="AM4:AM31" si="3">IFERROR(
   VLOOKUP(AF4, $B$5:$Y$68, CHOOSE($AM$2, 3, 4, 5, 6, 7, 8, 9, 10, 11, 12, 13, 14, 15, 16, 17, 18, 19, 20, 21, 22, 23, 24, 25, 26, 27, 28, 29), 0),
   " "
)</f>
        <v>0</v>
      </c>
      <c r="AN4" s="53" t="str">
        <f>IF(AM4="","",IFERROR(IF(VLOOKUP(AM4,Programa!$AA$35:$AB$50,2,0)="","",VLOOKUP(AM4,Programa!$AA$35:$AB$50,2,0)),""))</f>
        <v/>
      </c>
      <c r="AP4" s="144">
        <v>1</v>
      </c>
      <c r="AQ4" s="145" t="str">
        <f>IF(ISBLANK(STUD!B2)," ",STUD!B2)</f>
        <v>SOSAMAFIA</v>
      </c>
      <c r="AR4" s="185">
        <f>IFERROR(VLOOKUP(AQ4,Lunes!$AF$4:$AG$31,2,0),0)</f>
        <v>4</v>
      </c>
      <c r="AS4" s="185">
        <f>IFERROR(VLOOKUP(AQ4,Martes!$AF$4:$AH$31,2,0),0)</f>
        <v>14.9</v>
      </c>
      <c r="AT4" s="185">
        <f>IFERROR(VLOOKUP(AQ4,Miercoles!$AF$4:$AG$31,2,0),0)</f>
        <v>39.200000000000003</v>
      </c>
      <c r="AU4" s="185">
        <f>IFERROR(VLOOKUP(AQ4,Jueves!$AF$4:$AG$26,2,0),0)</f>
        <v>46.4</v>
      </c>
      <c r="AV4" s="185">
        <f>IFERROR(VLOOKUP(AQ4,Viernes!$AF$4:$AG$31,2,0),0)</f>
        <v>19.899999999999999</v>
      </c>
      <c r="AW4" s="185">
        <f t="shared" ref="AW4:AW20" si="4">IFERROR(VLOOKUP(AQ4,$B$5:$C$68,2,0),0)</f>
        <v>0</v>
      </c>
      <c r="AX4" s="185">
        <f t="shared" ref="AX4:AX20" si="5">SUM(AR4:AW4)</f>
        <v>124.4</v>
      </c>
      <c r="AY4" s="185"/>
    </row>
    <row r="5" spans="1:51" ht="15.75" customHeight="1" x14ac:dyDescent="0.4">
      <c r="A5" s="252">
        <v>1</v>
      </c>
      <c r="B5" s="253" t="str">
        <f>+STUD!B2</f>
        <v>SOSAMAFIA</v>
      </c>
      <c r="C5" s="244">
        <f>SUM(D6:AB6)</f>
        <v>0</v>
      </c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243">
        <f>SUM(D6:AB6)</f>
        <v>0</v>
      </c>
      <c r="AE5" s="155">
        <v>2</v>
      </c>
      <c r="AF5" s="145" t="str">
        <f>IF(ISBLANK(STUD!B2)," ",STUD!B2)</f>
        <v>SOSAMAFIA</v>
      </c>
      <c r="AG5" s="145">
        <f t="shared" si="0"/>
        <v>0</v>
      </c>
      <c r="AH5" s="145">
        <f t="shared" ref="AH5:AH31" si="6">$AG$4-AG5</f>
        <v>0</v>
      </c>
      <c r="AI5" s="88">
        <f t="shared" si="1"/>
        <v>0</v>
      </c>
      <c r="AJ5" s="53" t="str">
        <f>IF(AI5="","",IFERROR(IF(VLOOKUP(AI5,Programa!$AA$3:$AB$18,2,0)="","",VLOOKUP(AI5,Programa!$AA$3:$AB$18,2,0)),""))</f>
        <v/>
      </c>
      <c r="AK5" s="53">
        <f t="shared" si="2"/>
        <v>0</v>
      </c>
      <c r="AL5" s="53" t="str">
        <f>IF(AK5="","",IFERROR(IF(VLOOKUP(AK5,Programa!$AA$19:$AB$34,2,0)="","",VLOOKUP(AK5,Programa!$AA$19:$AB$34,2,0)),""))</f>
        <v/>
      </c>
      <c r="AM5" s="53">
        <f t="shared" si="3"/>
        <v>0</v>
      </c>
      <c r="AN5" s="53" t="str">
        <f>IF(AM5="","",IFERROR(IF(VLOOKUP(AM5,Programa!$AA$35:$AB$50,2,0)="","",VLOOKUP(AM5,Programa!$AA$35:$AB$50,2,0)),""))</f>
        <v/>
      </c>
      <c r="AP5" s="155">
        <v>2</v>
      </c>
      <c r="AQ5" s="145" t="str">
        <f>IF(ISBLANK(STUD!B7)," ",STUD!B7)</f>
        <v>ALF</v>
      </c>
      <c r="AR5" s="185">
        <f>IFERROR(VLOOKUP(AQ5,Lunes!$AF$4:$AG$31,2,0),0)</f>
        <v>4</v>
      </c>
      <c r="AS5" s="185">
        <f>IFERROR(VLOOKUP(AQ5,Martes!$AF$4:$AH$31,2,0),0)</f>
        <v>26</v>
      </c>
      <c r="AT5" s="185">
        <f>IFERROR(VLOOKUP(AQ5,Miercoles!$AF$4:$AG$31,2,0),0)</f>
        <v>5.4</v>
      </c>
      <c r="AU5" s="185">
        <f>IFERROR(VLOOKUP(AQ5,Jueves!$AF$4:$AG$26,2,0),0)</f>
        <v>54.599999999999994</v>
      </c>
      <c r="AV5" s="185">
        <f>IFERROR(VLOOKUP(AQ5,Viernes!$AF$4:$AG$31,2,0),0)</f>
        <v>27.199999999999996</v>
      </c>
      <c r="AW5" s="185">
        <f t="shared" si="4"/>
        <v>0</v>
      </c>
      <c r="AX5" s="185">
        <f t="shared" si="5"/>
        <v>117.19999999999999</v>
      </c>
      <c r="AY5" s="185">
        <f>$AX$4-AX5</f>
        <v>7.2000000000000171</v>
      </c>
    </row>
    <row r="6" spans="1:51" ht="15" customHeight="1" x14ac:dyDescent="0.4">
      <c r="A6" s="242"/>
      <c r="B6" s="253"/>
      <c r="C6" s="245"/>
      <c r="D6" s="138">
        <f t="shared" ref="D6:AB6" si="7">IF(IFERROR(IF(VLOOKUP(D5,D$151:D$155,1,0)&gt;=1,D$150,0),D5)=D$132,D$136,IF(IFERROR(IF(VLOOKUP(D5,D$151:D$155,1,0)&gt;=1,D$150,0),D5)=D$139,D$142,IF(IFERROR(IF(VLOOKUP(D5,D$151:D$155,1,0)&gt;=1,D$150,0),D5)=D$145,D$147,0)))</f>
        <v>0</v>
      </c>
      <c r="E6" s="138">
        <f t="shared" si="7"/>
        <v>0</v>
      </c>
      <c r="F6" s="138">
        <f t="shared" si="7"/>
        <v>0</v>
      </c>
      <c r="G6" s="138">
        <f t="shared" si="7"/>
        <v>0</v>
      </c>
      <c r="H6" s="138">
        <f t="shared" si="7"/>
        <v>0</v>
      </c>
      <c r="I6" s="138">
        <f t="shared" si="7"/>
        <v>0</v>
      </c>
      <c r="J6" s="138">
        <f t="shared" si="7"/>
        <v>0</v>
      </c>
      <c r="K6" s="138">
        <f t="shared" si="7"/>
        <v>0</v>
      </c>
      <c r="L6" s="138">
        <f t="shared" si="7"/>
        <v>0</v>
      </c>
      <c r="M6" s="138">
        <f t="shared" si="7"/>
        <v>0</v>
      </c>
      <c r="N6" s="138">
        <f t="shared" si="7"/>
        <v>0</v>
      </c>
      <c r="O6" s="138">
        <f t="shared" si="7"/>
        <v>0</v>
      </c>
      <c r="P6" s="138">
        <f t="shared" si="7"/>
        <v>0</v>
      </c>
      <c r="Q6" s="138">
        <f t="shared" si="7"/>
        <v>0</v>
      </c>
      <c r="R6" s="138">
        <f t="shared" si="7"/>
        <v>0</v>
      </c>
      <c r="S6" s="138">
        <f t="shared" si="7"/>
        <v>0</v>
      </c>
      <c r="T6" s="138">
        <f t="shared" si="7"/>
        <v>0</v>
      </c>
      <c r="U6" s="138">
        <f t="shared" si="7"/>
        <v>0</v>
      </c>
      <c r="V6" s="138">
        <f t="shared" si="7"/>
        <v>0</v>
      </c>
      <c r="W6" s="138">
        <f t="shared" si="7"/>
        <v>0</v>
      </c>
      <c r="X6" s="138">
        <f t="shared" si="7"/>
        <v>0</v>
      </c>
      <c r="Y6" s="138">
        <f t="shared" si="7"/>
        <v>0</v>
      </c>
      <c r="Z6" s="138">
        <f t="shared" si="7"/>
        <v>0</v>
      </c>
      <c r="AA6" s="138">
        <f t="shared" si="7"/>
        <v>0</v>
      </c>
      <c r="AB6" s="138">
        <f t="shared" si="7"/>
        <v>0</v>
      </c>
      <c r="AC6" s="243"/>
      <c r="AE6" s="152">
        <v>3</v>
      </c>
      <c r="AF6" s="145" t="str">
        <f>IF(ISBLANK(STUD!B4)," ",STUD!B4)</f>
        <v>PAP</v>
      </c>
      <c r="AG6" s="145">
        <f t="shared" si="0"/>
        <v>0</v>
      </c>
      <c r="AH6" s="145">
        <f t="shared" si="6"/>
        <v>0</v>
      </c>
      <c r="AI6" s="88">
        <f t="shared" si="1"/>
        <v>0</v>
      </c>
      <c r="AJ6" s="53" t="str">
        <f>IF(AI6="","",IFERROR(IF(VLOOKUP(AI6,Programa!$AA$3:$AB$18,2,0)="","",VLOOKUP(AI6,Programa!$AA$3:$AB$18,2,0)),""))</f>
        <v/>
      </c>
      <c r="AK6" s="53">
        <f t="shared" si="2"/>
        <v>0</v>
      </c>
      <c r="AL6" s="53" t="str">
        <f>IF(AK6="","",IFERROR(IF(VLOOKUP(AK6,Programa!$AA$19:$AB$34,2,0)="","",VLOOKUP(AK6,Programa!$AA$19:$AB$34,2,0)),""))</f>
        <v/>
      </c>
      <c r="AM6" s="53">
        <f t="shared" si="3"/>
        <v>0</v>
      </c>
      <c r="AN6" s="53" t="str">
        <f>IF(AM6="","",IFERROR(IF(VLOOKUP(AM6,Programa!$AA$35:$AB$50,2,0)="","",VLOOKUP(AM6,Programa!$AA$35:$AB$50,2,0)),""))</f>
        <v/>
      </c>
      <c r="AP6" s="152">
        <v>3</v>
      </c>
      <c r="AQ6" s="145" t="str">
        <f>IF(ISBLANK(STUD!B4)," ",STUD!B4)</f>
        <v>PAP</v>
      </c>
      <c r="AR6" s="185">
        <f>IFERROR(VLOOKUP(AQ6,Lunes!$AF$4:$AG$31,2,0),0)</f>
        <v>0</v>
      </c>
      <c r="AS6" s="185">
        <f>IFERROR(VLOOKUP(AQ6,Martes!$AF$4:$AH$31,2,0),0)</f>
        <v>26.8</v>
      </c>
      <c r="AT6" s="185">
        <f>IFERROR(VLOOKUP(AQ6,Miercoles!$AF$4:$AG$31,2,0),0)</f>
        <v>79.199999999999989</v>
      </c>
      <c r="AU6" s="185">
        <f>IFERROR(VLOOKUP(AQ6,Jueves!$AF$4:$AG$26,2,0),0)</f>
        <v>26.200000000000003</v>
      </c>
      <c r="AV6" s="185">
        <f>IFERROR(VLOOKUP(AQ6,Viernes!$AF$4:$AG$31,2,0),0)</f>
        <v>48.3</v>
      </c>
      <c r="AW6" s="185">
        <f t="shared" si="4"/>
        <v>0</v>
      </c>
      <c r="AX6" s="185">
        <f t="shared" si="5"/>
        <v>180.5</v>
      </c>
      <c r="AY6" s="185">
        <f t="shared" ref="AY6:AY31" si="8">$AX$4-AX6</f>
        <v>-56.099999999999994</v>
      </c>
    </row>
    <row r="7" spans="1:51" ht="15.75" customHeight="1" x14ac:dyDescent="0.4">
      <c r="A7" s="252">
        <f>+A5+1</f>
        <v>2</v>
      </c>
      <c r="B7" s="253" t="str">
        <f>+STUD!B3</f>
        <v>EL JOYERO</v>
      </c>
      <c r="C7" s="244">
        <f>SUM(D8:AB8)</f>
        <v>0</v>
      </c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12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243">
        <f>SUM(D8:AB8)</f>
        <v>0</v>
      </c>
      <c r="AE7" s="148">
        <v>4</v>
      </c>
      <c r="AF7" s="145" t="str">
        <f>IF(ISBLANK(STUD!B5)," ",STUD!B5)</f>
        <v>KUME</v>
      </c>
      <c r="AG7" s="145">
        <f t="shared" si="0"/>
        <v>0</v>
      </c>
      <c r="AH7" s="147">
        <f t="shared" si="6"/>
        <v>0</v>
      </c>
      <c r="AI7" s="88">
        <f t="shared" si="1"/>
        <v>0</v>
      </c>
      <c r="AJ7" s="53" t="str">
        <f>IF(AI7="","",IFERROR(IF(VLOOKUP(AI7,Programa!$AA$3:$AB$18,2,0)="","",VLOOKUP(AI7,Programa!$AA$3:$AB$18,2,0)),""))</f>
        <v/>
      </c>
      <c r="AK7" s="53">
        <f t="shared" si="2"/>
        <v>0</v>
      </c>
      <c r="AL7" s="53" t="str">
        <f>IF(AK7="","",IFERROR(IF(VLOOKUP(AK7,Programa!$AA$19:$AB$34,2,0)="","",VLOOKUP(AK7,Programa!$AA$19:$AB$34,2,0)),""))</f>
        <v/>
      </c>
      <c r="AM7" s="53">
        <f t="shared" si="3"/>
        <v>0</v>
      </c>
      <c r="AN7" s="53" t="str">
        <f>IF(AM7="","",IFERROR(IF(VLOOKUP(AM7,Programa!$AA$35:$AB$50,2,0)="","",VLOOKUP(AM7,Programa!$AA$35:$AB$50,2,0)),""))</f>
        <v/>
      </c>
      <c r="AP7" s="148">
        <v>4</v>
      </c>
      <c r="AQ7" s="145" t="str">
        <f>IF(ISBLANK(STUD!B5)," ",STUD!B5)</f>
        <v>KUME</v>
      </c>
      <c r="AR7" s="185">
        <f>IFERROR(VLOOKUP(AQ7,Lunes!$AF$4:$AG$31,2,0),0)</f>
        <v>9.7000000000000011</v>
      </c>
      <c r="AS7" s="185">
        <f>IFERROR(VLOOKUP(AQ7,Martes!$AF$4:$AH$31,2,0),0)</f>
        <v>38.200000000000003</v>
      </c>
      <c r="AT7" s="185">
        <f>IFERROR(VLOOKUP(AQ7,Miercoles!$AF$4:$AG$31,2,0),0)</f>
        <v>5.9</v>
      </c>
      <c r="AU7" s="185">
        <f>IFERROR(VLOOKUP(AQ7,Jueves!$AF$4:$AG$26,2,0),0)</f>
        <v>49.099999999999994</v>
      </c>
      <c r="AV7" s="185">
        <f>IFERROR(VLOOKUP(AQ7,Viernes!$AF$4:$AG$31,2,0),0)</f>
        <v>27.3</v>
      </c>
      <c r="AW7" s="185">
        <f t="shared" si="4"/>
        <v>0</v>
      </c>
      <c r="AX7" s="185">
        <f t="shared" si="5"/>
        <v>130.20000000000002</v>
      </c>
      <c r="AY7" s="185">
        <f t="shared" si="8"/>
        <v>-5.8000000000000114</v>
      </c>
    </row>
    <row r="8" spans="1:51" ht="15" customHeight="1" x14ac:dyDescent="0.4">
      <c r="A8" s="242"/>
      <c r="B8" s="253"/>
      <c r="C8" s="245"/>
      <c r="D8" s="138">
        <f t="shared" ref="D8:AB8" si="9">IF(IFERROR(IF(VLOOKUP(D7,D$151:D$155,1,0)&gt;=1,D$150,0),D7)=D$132,D$136,IF(IFERROR(IF(VLOOKUP(D7,D$151:D$155,1,0)&gt;=1,D$150,0),D7)=D$139,D$142,IF(IFERROR(IF(VLOOKUP(D7,D$151:D$155,1,0)&gt;=1,D$150,0),D7)=D$145,D$147,0)))</f>
        <v>0</v>
      </c>
      <c r="E8" s="138">
        <f t="shared" si="9"/>
        <v>0</v>
      </c>
      <c r="F8" s="138">
        <f t="shared" si="9"/>
        <v>0</v>
      </c>
      <c r="G8" s="138">
        <f t="shared" si="9"/>
        <v>0</v>
      </c>
      <c r="H8" s="138">
        <f t="shared" si="9"/>
        <v>0</v>
      </c>
      <c r="I8" s="138">
        <f t="shared" si="9"/>
        <v>0</v>
      </c>
      <c r="J8" s="138">
        <f t="shared" si="9"/>
        <v>0</v>
      </c>
      <c r="K8" s="138">
        <f t="shared" si="9"/>
        <v>0</v>
      </c>
      <c r="L8" s="138">
        <f t="shared" si="9"/>
        <v>0</v>
      </c>
      <c r="M8" s="138">
        <f t="shared" si="9"/>
        <v>0</v>
      </c>
      <c r="N8" s="138">
        <f t="shared" si="9"/>
        <v>0</v>
      </c>
      <c r="O8" s="138">
        <f t="shared" si="9"/>
        <v>0</v>
      </c>
      <c r="P8" s="138">
        <f t="shared" si="9"/>
        <v>0</v>
      </c>
      <c r="Q8" s="138">
        <f t="shared" si="9"/>
        <v>0</v>
      </c>
      <c r="R8" s="138">
        <f t="shared" si="9"/>
        <v>0</v>
      </c>
      <c r="S8" s="138">
        <f t="shared" si="9"/>
        <v>0</v>
      </c>
      <c r="T8" s="138">
        <f t="shared" si="9"/>
        <v>0</v>
      </c>
      <c r="U8" s="138">
        <f t="shared" si="9"/>
        <v>0</v>
      </c>
      <c r="V8" s="138">
        <f t="shared" si="9"/>
        <v>0</v>
      </c>
      <c r="W8" s="138">
        <f t="shared" si="9"/>
        <v>0</v>
      </c>
      <c r="X8" s="138">
        <f t="shared" si="9"/>
        <v>0</v>
      </c>
      <c r="Y8" s="138">
        <f t="shared" si="9"/>
        <v>0</v>
      </c>
      <c r="Z8" s="138">
        <f t="shared" si="9"/>
        <v>0</v>
      </c>
      <c r="AA8" s="138">
        <f t="shared" si="9"/>
        <v>0</v>
      </c>
      <c r="AB8" s="138">
        <f t="shared" si="9"/>
        <v>0</v>
      </c>
      <c r="AC8" s="243"/>
      <c r="AE8" s="146">
        <v>5</v>
      </c>
      <c r="AF8" s="145" t="str">
        <f>IF(ISBLANK(STUD!B6)," ",STUD!B6)</f>
        <v>TRES COPAS</v>
      </c>
      <c r="AG8" s="145">
        <f t="shared" si="0"/>
        <v>0</v>
      </c>
      <c r="AH8" s="147">
        <f t="shared" si="6"/>
        <v>0</v>
      </c>
      <c r="AI8" s="88">
        <f t="shared" si="1"/>
        <v>0</v>
      </c>
      <c r="AJ8" s="53" t="str">
        <f>IF(AI8="","",IFERROR(IF(VLOOKUP(AI8,Programa!$AA$3:$AB$18,2,0)="","",VLOOKUP(AI8,Programa!$AA$3:$AB$18,2,0)),""))</f>
        <v/>
      </c>
      <c r="AK8" s="53">
        <f t="shared" si="2"/>
        <v>0</v>
      </c>
      <c r="AL8" s="53" t="str">
        <f>IF(AK8="","",IFERROR(IF(VLOOKUP(AK8,Programa!$AA$19:$AB$34,2,0)="","",VLOOKUP(AK8,Programa!$AA$19:$AB$34,2,0)),""))</f>
        <v/>
      </c>
      <c r="AM8" s="53">
        <f t="shared" si="3"/>
        <v>0</v>
      </c>
      <c r="AN8" s="53" t="str">
        <f>IF(AM8="","",IFERROR(IF(VLOOKUP(AM8,Programa!$AA$35:$AB$50,2,0)="","",VLOOKUP(AM8,Programa!$AA$35:$AB$50,2,0)),""))</f>
        <v/>
      </c>
      <c r="AP8" s="146">
        <v>5</v>
      </c>
      <c r="AQ8" s="145" t="str">
        <f>IF(ISBLANK(STUD!B9)," ",STUD!B9)</f>
        <v>SERVIFRENOS</v>
      </c>
      <c r="AR8" s="185">
        <f>IFERROR(VLOOKUP(AQ8,Lunes!$AF$4:$AG$31,2,0),0)</f>
        <v>13.700000000000001</v>
      </c>
      <c r="AS8" s="185">
        <f>IFERROR(VLOOKUP(AQ8,Martes!$AF$4:$AH$31,2,0),0)</f>
        <v>35.900000000000006</v>
      </c>
      <c r="AT8" s="185">
        <f>IFERROR(VLOOKUP(AQ8,Miercoles!$AF$4:$AG$31,2,0),0)</f>
        <v>34.699999999999996</v>
      </c>
      <c r="AU8" s="185">
        <f>IFERROR(VLOOKUP(AQ8,Jueves!$AF$4:$AG$26,2,0),0)</f>
        <v>55.100000000000009</v>
      </c>
      <c r="AV8" s="185">
        <f>IFERROR(VLOOKUP(AQ8,Viernes!$AF$4:$AG$31,2,0),0)</f>
        <v>73.899999999999991</v>
      </c>
      <c r="AW8" s="185">
        <f t="shared" si="4"/>
        <v>0</v>
      </c>
      <c r="AX8" s="185">
        <f t="shared" si="5"/>
        <v>213.3</v>
      </c>
      <c r="AY8" s="185">
        <f t="shared" si="8"/>
        <v>-88.9</v>
      </c>
    </row>
    <row r="9" spans="1:51" ht="15.75" customHeight="1" x14ac:dyDescent="0.4">
      <c r="A9" s="252">
        <f>+A7+1</f>
        <v>3</v>
      </c>
      <c r="B9" s="253" t="str">
        <f>+STUD!B4</f>
        <v>PAP</v>
      </c>
      <c r="C9" s="244">
        <f>SUM(D10:AB10)</f>
        <v>0</v>
      </c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12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243">
        <f>SUM(D10:AB10)</f>
        <v>0</v>
      </c>
      <c r="AE9" s="156">
        <v>6</v>
      </c>
      <c r="AF9" s="145" t="str">
        <f>IF(ISBLANK(STUD!B8)," ",STUD!B8)</f>
        <v>MIS SOBRINOS</v>
      </c>
      <c r="AG9" s="145">
        <f t="shared" si="0"/>
        <v>0</v>
      </c>
      <c r="AH9" s="147">
        <f t="shared" si="6"/>
        <v>0</v>
      </c>
      <c r="AI9" s="88">
        <f t="shared" si="1"/>
        <v>0</v>
      </c>
      <c r="AJ9" s="53" t="str">
        <f>IF(AI9="","",IFERROR(IF(VLOOKUP(AI9,Programa!$AA$3:$AB$18,2,0)="","",VLOOKUP(AI9,Programa!$AA$3:$AB$18,2,0)),""))</f>
        <v/>
      </c>
      <c r="AK9" s="53">
        <f t="shared" si="2"/>
        <v>0</v>
      </c>
      <c r="AL9" s="53" t="str">
        <f>IF(AK9="","",IFERROR(IF(VLOOKUP(AK9,Programa!$AA$19:$AB$34,2,0)="","",VLOOKUP(AK9,Programa!$AA$19:$AB$34,2,0)),""))</f>
        <v/>
      </c>
      <c r="AM9" s="53">
        <f t="shared" si="3"/>
        <v>0</v>
      </c>
      <c r="AN9" s="53" t="str">
        <f>IF(AM9="","",IFERROR(IF(VLOOKUP(AM9,Programa!$AA$35:$AB$50,2,0)="","",VLOOKUP(AM9,Programa!$AA$35:$AB$50,2,0)),""))</f>
        <v/>
      </c>
      <c r="AP9" s="156">
        <v>6</v>
      </c>
      <c r="AQ9" s="145" t="str">
        <f>IF(ISBLANK(STUD!B3)," ",STUD!B3)</f>
        <v>EL JOYERO</v>
      </c>
      <c r="AR9" s="185">
        <f>IFERROR(VLOOKUP(AQ9,Lunes!$AF$4:$AG$31,2,0),0)</f>
        <v>4</v>
      </c>
      <c r="AS9" s="185">
        <f>IFERROR(VLOOKUP(AQ9,Martes!$AF$4:$AH$31,2,0),0)</f>
        <v>25.4</v>
      </c>
      <c r="AT9" s="185">
        <f>IFERROR(VLOOKUP(AQ9,Miercoles!$AF$4:$AG$31,2,0),0)</f>
        <v>18.799999999999997</v>
      </c>
      <c r="AU9" s="185">
        <f>IFERROR(VLOOKUP(AQ9,Jueves!$AF$4:$AG$26,2,0),0)</f>
        <v>32.5</v>
      </c>
      <c r="AV9" s="185">
        <f>IFERROR(VLOOKUP(AQ9,Viernes!$AF$4:$AG$31,2,0),0)</f>
        <v>59.7</v>
      </c>
      <c r="AW9" s="185">
        <f t="shared" si="4"/>
        <v>0</v>
      </c>
      <c r="AX9" s="185">
        <f t="shared" si="5"/>
        <v>140.39999999999998</v>
      </c>
      <c r="AY9" s="185">
        <f t="shared" si="8"/>
        <v>-15.999999999999972</v>
      </c>
    </row>
    <row r="10" spans="1:51" ht="15" customHeight="1" x14ac:dyDescent="0.4">
      <c r="A10" s="242"/>
      <c r="B10" s="253"/>
      <c r="C10" s="245"/>
      <c r="D10" s="138">
        <f t="shared" ref="D10:AB10" si="10">IF(IFERROR(IF(VLOOKUP(D9,D$151:D$155,1,0)&gt;=1,D$150,0),D9)=D$132,D$136,IF(IFERROR(IF(VLOOKUP(D9,D$151:D$155,1,0)&gt;=1,D$150,0),D9)=D$139,D$142,IF(IFERROR(IF(VLOOKUP(D9,D$151:D$155,1,0)&gt;=1,D$150,0),D9)=D$145,D$147,0)))</f>
        <v>0</v>
      </c>
      <c r="E10" s="138">
        <f t="shared" si="10"/>
        <v>0</v>
      </c>
      <c r="F10" s="138">
        <f t="shared" si="10"/>
        <v>0</v>
      </c>
      <c r="G10" s="138">
        <f t="shared" si="10"/>
        <v>0</v>
      </c>
      <c r="H10" s="138">
        <f t="shared" si="10"/>
        <v>0</v>
      </c>
      <c r="I10" s="138">
        <f t="shared" si="10"/>
        <v>0</v>
      </c>
      <c r="J10" s="138">
        <f t="shared" si="10"/>
        <v>0</v>
      </c>
      <c r="K10" s="138">
        <f t="shared" si="10"/>
        <v>0</v>
      </c>
      <c r="L10" s="138">
        <f t="shared" si="10"/>
        <v>0</v>
      </c>
      <c r="M10" s="138">
        <f t="shared" si="10"/>
        <v>0</v>
      </c>
      <c r="N10" s="138">
        <f t="shared" si="10"/>
        <v>0</v>
      </c>
      <c r="O10" s="138">
        <f t="shared" si="10"/>
        <v>0</v>
      </c>
      <c r="P10" s="138">
        <f t="shared" si="10"/>
        <v>0</v>
      </c>
      <c r="Q10" s="138">
        <f t="shared" si="10"/>
        <v>0</v>
      </c>
      <c r="R10" s="138">
        <f t="shared" si="10"/>
        <v>0</v>
      </c>
      <c r="S10" s="138">
        <f t="shared" si="10"/>
        <v>0</v>
      </c>
      <c r="T10" s="138">
        <f t="shared" si="10"/>
        <v>0</v>
      </c>
      <c r="U10" s="138">
        <f t="shared" si="10"/>
        <v>0</v>
      </c>
      <c r="V10" s="138">
        <f t="shared" si="10"/>
        <v>0</v>
      </c>
      <c r="W10" s="138">
        <f t="shared" si="10"/>
        <v>0</v>
      </c>
      <c r="X10" s="138">
        <f t="shared" si="10"/>
        <v>0</v>
      </c>
      <c r="Y10" s="138">
        <f t="shared" si="10"/>
        <v>0</v>
      </c>
      <c r="Z10" s="138">
        <f t="shared" si="10"/>
        <v>0</v>
      </c>
      <c r="AA10" s="138">
        <f t="shared" si="10"/>
        <v>0</v>
      </c>
      <c r="AB10" s="138">
        <f t="shared" si="10"/>
        <v>0</v>
      </c>
      <c r="AC10" s="243"/>
      <c r="AE10" s="150">
        <v>7</v>
      </c>
      <c r="AF10" s="145" t="str">
        <f>IF(ISBLANK(STUD!B9)," ",STUD!B9)</f>
        <v>SERVIFRENOS</v>
      </c>
      <c r="AG10" s="145">
        <f t="shared" si="0"/>
        <v>0</v>
      </c>
      <c r="AH10" s="147">
        <f t="shared" si="6"/>
        <v>0</v>
      </c>
      <c r="AI10" s="88">
        <f t="shared" si="1"/>
        <v>0</v>
      </c>
      <c r="AJ10" s="53" t="str">
        <f>IF(AI10="","",IFERROR(IF(VLOOKUP(AI10,Programa!$AA$3:$AB$18,2,0)="","",VLOOKUP(AI10,Programa!$AA$3:$AB$18,2,0)),""))</f>
        <v/>
      </c>
      <c r="AK10" s="53">
        <f t="shared" si="2"/>
        <v>0</v>
      </c>
      <c r="AL10" s="53" t="str">
        <f>IF(AK10="","",IFERROR(IF(VLOOKUP(AK10,Programa!$AA$19:$AB$34,2,0)="","",VLOOKUP(AK10,Programa!$AA$19:$AB$34,2,0)),""))</f>
        <v/>
      </c>
      <c r="AM10" s="53">
        <f t="shared" si="3"/>
        <v>0</v>
      </c>
      <c r="AN10" s="53" t="str">
        <f>IF(AM10="","",IFERROR(IF(VLOOKUP(AM10,Programa!$AA$35:$AB$50,2,0)="","",VLOOKUP(AM10,Programa!$AA$35:$AB$50,2,0)),""))</f>
        <v/>
      </c>
      <c r="AP10" s="150">
        <v>7</v>
      </c>
      <c r="AQ10" s="145" t="str">
        <f>IF(ISBLANK(STUD!B8)," ",STUD!B8)</f>
        <v>MIS SOBRINOS</v>
      </c>
      <c r="AR10" s="185">
        <f>IFERROR(VLOOKUP(AQ10,Lunes!$AF$4:$AG$31,2,0),0)</f>
        <v>7.9</v>
      </c>
      <c r="AS10" s="185">
        <f>IFERROR(VLOOKUP(AQ10,Martes!$AF$4:$AH$31,2,0),0)</f>
        <v>11.5</v>
      </c>
      <c r="AT10" s="185">
        <f>IFERROR(VLOOKUP(AQ10,Miercoles!$AF$4:$AG$31,2,0),0)</f>
        <v>32.9</v>
      </c>
      <c r="AU10" s="185">
        <f>IFERROR(VLOOKUP(AQ10,Jueves!$AF$4:$AG$26,2,0),0)</f>
        <v>39.599999999999994</v>
      </c>
      <c r="AV10" s="185">
        <f>IFERROR(VLOOKUP(AQ10,Viernes!$AF$4:$AG$31,2,0),0)</f>
        <v>25</v>
      </c>
      <c r="AW10" s="185">
        <f t="shared" si="4"/>
        <v>0</v>
      </c>
      <c r="AX10" s="185">
        <f t="shared" si="5"/>
        <v>116.89999999999999</v>
      </c>
      <c r="AY10" s="185">
        <f t="shared" si="8"/>
        <v>7.5000000000000142</v>
      </c>
    </row>
    <row r="11" spans="1:51" ht="15.75" customHeight="1" x14ac:dyDescent="0.4">
      <c r="A11" s="252">
        <f>+A9+1</f>
        <v>4</v>
      </c>
      <c r="B11" s="253" t="str">
        <f>+STUD!B5</f>
        <v>KUME</v>
      </c>
      <c r="C11" s="244">
        <f>SUM(D12:AB12)</f>
        <v>0</v>
      </c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243">
        <f>SUM(D12:AB12)</f>
        <v>0</v>
      </c>
      <c r="AE11" s="151">
        <v>8</v>
      </c>
      <c r="AF11" s="145" t="str">
        <f>IF(ISBLANK(STUD!B3)," ",STUD!B3)</f>
        <v>EL JOYERO</v>
      </c>
      <c r="AG11" s="145">
        <f t="shared" si="0"/>
        <v>0</v>
      </c>
      <c r="AH11" s="147">
        <f t="shared" si="6"/>
        <v>0</v>
      </c>
      <c r="AI11" s="88">
        <f t="shared" si="1"/>
        <v>0</v>
      </c>
      <c r="AJ11" s="53" t="str">
        <f>IF(AI11="","",IFERROR(IF(VLOOKUP(AI11,Programa!$AA$3:$AB$18,2,0)="","",VLOOKUP(AI11,Programa!$AA$3:$AB$18,2,0)),""))</f>
        <v/>
      </c>
      <c r="AK11" s="53">
        <f t="shared" si="2"/>
        <v>0</v>
      </c>
      <c r="AL11" s="53" t="str">
        <f>IF(AK11="","",IFERROR(IF(VLOOKUP(AK11,Programa!$AA$19:$AB$34,2,0)="","",VLOOKUP(AK11,Programa!$AA$19:$AB$34,2,0)),""))</f>
        <v/>
      </c>
      <c r="AM11" s="53">
        <f t="shared" si="3"/>
        <v>0</v>
      </c>
      <c r="AN11" s="53" t="str">
        <f>IF(AM11="","",IFERROR(IF(VLOOKUP(AM11,Programa!$AA$35:$AB$50,2,0)="","",VLOOKUP(AM11,Programa!$AA$35:$AB$50,2,0)),""))</f>
        <v/>
      </c>
      <c r="AP11" s="151">
        <v>8</v>
      </c>
      <c r="AQ11" s="145" t="str">
        <f>IF(ISBLANK(STUD!B6)," ",STUD!B6)</f>
        <v>TRES COPAS</v>
      </c>
      <c r="AR11" s="185">
        <f>IFERROR(VLOOKUP(AQ11,Lunes!$AF$4:$AG$31,2,0),0)</f>
        <v>1.1000000000000001</v>
      </c>
      <c r="AS11" s="185">
        <f>IFERROR(VLOOKUP(AQ11,Martes!$AF$4:$AH$31,2,0),0)</f>
        <v>27</v>
      </c>
      <c r="AT11" s="185">
        <f>IFERROR(VLOOKUP(AQ11,Miercoles!$AF$4:$AG$31,2,0),0)</f>
        <v>30</v>
      </c>
      <c r="AU11" s="185">
        <f>IFERROR(VLOOKUP(AQ11,Jueves!$AF$4:$AG$26,2,0),0)</f>
        <v>54.599999999999994</v>
      </c>
      <c r="AV11" s="185">
        <f>IFERROR(VLOOKUP(AQ11,Viernes!$AF$4:$AG$31,2,0),0)</f>
        <v>27.199999999999996</v>
      </c>
      <c r="AW11" s="185">
        <f t="shared" si="4"/>
        <v>0</v>
      </c>
      <c r="AX11" s="185">
        <f t="shared" si="5"/>
        <v>139.89999999999998</v>
      </c>
      <c r="AY11" s="185">
        <f t="shared" si="8"/>
        <v>-15.499999999999972</v>
      </c>
    </row>
    <row r="12" spans="1:51" ht="15" customHeight="1" x14ac:dyDescent="0.4">
      <c r="A12" s="242"/>
      <c r="B12" s="253"/>
      <c r="C12" s="245"/>
      <c r="D12" s="138">
        <f t="shared" ref="D12:AB12" si="11">IF(IFERROR(IF(VLOOKUP(D11,D$151:D$155,1,0)&gt;=1,D$150,0),D11)=D$132,D$136,IF(IFERROR(IF(VLOOKUP(D11,D$151:D$155,1,0)&gt;=1,D$150,0),D11)=D$139,D$142,IF(IFERROR(IF(VLOOKUP(D11,D$151:D$155,1,0)&gt;=1,D$150,0),D11)=D$145,D$147,0)))</f>
        <v>0</v>
      </c>
      <c r="E12" s="138">
        <f t="shared" si="11"/>
        <v>0</v>
      </c>
      <c r="F12" s="138">
        <f t="shared" si="11"/>
        <v>0</v>
      </c>
      <c r="G12" s="138">
        <f t="shared" si="11"/>
        <v>0</v>
      </c>
      <c r="H12" s="138">
        <f t="shared" si="11"/>
        <v>0</v>
      </c>
      <c r="I12" s="138">
        <f t="shared" si="11"/>
        <v>0</v>
      </c>
      <c r="J12" s="138">
        <f t="shared" si="11"/>
        <v>0</v>
      </c>
      <c r="K12" s="138">
        <f t="shared" si="11"/>
        <v>0</v>
      </c>
      <c r="L12" s="138">
        <f t="shared" si="11"/>
        <v>0</v>
      </c>
      <c r="M12" s="138">
        <f t="shared" si="11"/>
        <v>0</v>
      </c>
      <c r="N12" s="138">
        <f t="shared" si="11"/>
        <v>0</v>
      </c>
      <c r="O12" s="138">
        <f t="shared" si="11"/>
        <v>0</v>
      </c>
      <c r="P12" s="138">
        <f t="shared" si="11"/>
        <v>0</v>
      </c>
      <c r="Q12" s="138">
        <f t="shared" si="11"/>
        <v>0</v>
      </c>
      <c r="R12" s="138">
        <f t="shared" si="11"/>
        <v>0</v>
      </c>
      <c r="S12" s="138">
        <f t="shared" si="11"/>
        <v>0</v>
      </c>
      <c r="T12" s="138">
        <f t="shared" si="11"/>
        <v>0</v>
      </c>
      <c r="U12" s="138">
        <f t="shared" si="11"/>
        <v>0</v>
      </c>
      <c r="V12" s="138">
        <f t="shared" si="11"/>
        <v>0</v>
      </c>
      <c r="W12" s="138">
        <f t="shared" si="11"/>
        <v>0</v>
      </c>
      <c r="X12" s="138">
        <f t="shared" si="11"/>
        <v>0</v>
      </c>
      <c r="Y12" s="138">
        <f t="shared" si="11"/>
        <v>0</v>
      </c>
      <c r="Z12" s="138">
        <f t="shared" si="11"/>
        <v>0</v>
      </c>
      <c r="AA12" s="138">
        <f t="shared" si="11"/>
        <v>0</v>
      </c>
      <c r="AB12" s="138">
        <f t="shared" si="11"/>
        <v>0</v>
      </c>
      <c r="AC12" s="243"/>
      <c r="AE12" s="154">
        <v>9</v>
      </c>
      <c r="AF12" s="91" t="str">
        <f>IF(ISBLANK(STUD!B13)," ",STUD!B13)</f>
        <v xml:space="preserve"> </v>
      </c>
      <c r="AG12" s="91">
        <f t="shared" si="0"/>
        <v>0</v>
      </c>
      <c r="AH12" s="147">
        <f t="shared" si="6"/>
        <v>0</v>
      </c>
      <c r="AI12" s="88" t="str">
        <f t="shared" si="1"/>
        <v xml:space="preserve"> </v>
      </c>
      <c r="AJ12" s="53" t="str">
        <f>IF(AI12="","",IFERROR(IF(VLOOKUP(AI12,Programa!$AA$3:$AB$18,2,0)="","",VLOOKUP(AI12,Programa!$AA$3:$AB$18,2,0)),""))</f>
        <v/>
      </c>
      <c r="AK12" s="53" t="str">
        <f t="shared" si="2"/>
        <v xml:space="preserve"> </v>
      </c>
      <c r="AL12" s="53" t="str">
        <f>IF(AK12="","",IFERROR(IF(VLOOKUP(AK12,Programa!$AA$19:$AB$34,2,0)="","",VLOOKUP(AK12,Programa!$AA$19:$AB$34,2,0)),""))</f>
        <v/>
      </c>
      <c r="AM12" s="53" t="str">
        <f t="shared" si="3"/>
        <v xml:space="preserve"> </v>
      </c>
      <c r="AN12" s="53" t="str">
        <f>IF(AM12="","",IFERROR(IF(VLOOKUP(AM12,Programa!$AA$35:$AB$50,2,0)="","",VLOOKUP(AM12,Programa!$AA$35:$AB$50,2,0)),""))</f>
        <v/>
      </c>
      <c r="AP12" s="154">
        <v>9</v>
      </c>
      <c r="AQ12" s="145" t="str">
        <f>IF(ISBLANK(STUD!B12)," ",STUD!B12)</f>
        <v xml:space="preserve"> </v>
      </c>
      <c r="AR12" s="185">
        <f>IFERROR(VLOOKUP(AQ12,Lunes!$AF$4:$AG$31,2,0),0)</f>
        <v>0</v>
      </c>
      <c r="AS12" s="185">
        <f>IFERROR(VLOOKUP(AQ12,Martes!$AF$4:$AH$31,2,0),0)</f>
        <v>0</v>
      </c>
      <c r="AT12" s="185">
        <f>IFERROR(VLOOKUP(AQ12,Miercoles!$AF$4:$AG$31,2,0),0)</f>
        <v>0</v>
      </c>
      <c r="AU12" s="185">
        <f>IFERROR(VLOOKUP(AQ12,Jueves!$AF$4:$AG$26,2,0),0)</f>
        <v>0</v>
      </c>
      <c r="AV12" s="185">
        <f>IFERROR(VLOOKUP(AQ12,Viernes!$AF$4:$AG$31,2,0),0)</f>
        <v>0</v>
      </c>
      <c r="AW12" s="185">
        <f t="shared" si="4"/>
        <v>0</v>
      </c>
      <c r="AX12" s="185">
        <f t="shared" si="5"/>
        <v>0</v>
      </c>
      <c r="AY12" s="185">
        <f t="shared" si="8"/>
        <v>124.4</v>
      </c>
    </row>
    <row r="13" spans="1:51" ht="15.75" customHeight="1" x14ac:dyDescent="0.4">
      <c r="A13" s="252">
        <f>+A11+1</f>
        <v>5</v>
      </c>
      <c r="B13" s="253" t="str">
        <f>+STUD!B6</f>
        <v>TRES COPAS</v>
      </c>
      <c r="C13" s="244">
        <f>SUM(D14:AB14)</f>
        <v>0</v>
      </c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12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243">
        <f>SUM(D14:AB14)</f>
        <v>0</v>
      </c>
      <c r="AE13" s="149">
        <v>10</v>
      </c>
      <c r="AF13" s="145" t="str">
        <f>IF(ISBLANK(STUD!B12)," ",STUD!B12)</f>
        <v xml:space="preserve"> </v>
      </c>
      <c r="AG13" s="145">
        <f t="shared" si="0"/>
        <v>0</v>
      </c>
      <c r="AH13" s="147">
        <f t="shared" si="6"/>
        <v>0</v>
      </c>
      <c r="AI13" s="88" t="str">
        <f t="shared" si="1"/>
        <v xml:space="preserve"> </v>
      </c>
      <c r="AJ13" s="53" t="str">
        <f>IF(AI13="","",IFERROR(IF(VLOOKUP(AI13,Programa!$AA$3:$AB$18,2,0)="","",VLOOKUP(AI13,Programa!$AA$3:$AB$18,2,0)),""))</f>
        <v/>
      </c>
      <c r="AK13" s="53" t="str">
        <f t="shared" si="2"/>
        <v xml:space="preserve"> </v>
      </c>
      <c r="AL13" s="53" t="str">
        <f>IF(AK13="","",IFERROR(IF(VLOOKUP(AK13,Programa!$AA$19:$AB$34,2,0)="","",VLOOKUP(AK13,Programa!$AA$19:$AB$34,2,0)),""))</f>
        <v/>
      </c>
      <c r="AM13" s="53" t="str">
        <f t="shared" si="3"/>
        <v xml:space="preserve"> </v>
      </c>
      <c r="AN13" s="53" t="str">
        <f>IF(AM13="","",IFERROR(IF(VLOOKUP(AM13,Programa!$AA$35:$AB$50,2,0)="","",VLOOKUP(AM13,Programa!$AA$35:$AB$50,2,0)),""))</f>
        <v/>
      </c>
      <c r="AP13" s="149">
        <v>10</v>
      </c>
      <c r="AQ13" s="145" t="str">
        <f>IF(ISBLANK(STUD!B13)," ",STUD!B13)</f>
        <v xml:space="preserve"> </v>
      </c>
      <c r="AR13" s="145">
        <f>IFERROR(VLOOKUP(AQ13,Lunes!$AF$4:$AG$31,2,0),0)</f>
        <v>0</v>
      </c>
      <c r="AS13" s="145">
        <f>IFERROR(VLOOKUP(AQ13,Martes!$AF$4:$AH$31,2,0),0)</f>
        <v>0</v>
      </c>
      <c r="AT13" s="145">
        <f>IFERROR(VLOOKUP(AQ13,Miercoles!$AF$4:$AG$31,2,0),0)</f>
        <v>0</v>
      </c>
      <c r="AU13" s="145">
        <f>IFERROR(VLOOKUP(AQ13,Jueves!$AF$4:$AG$26,2,0),0)</f>
        <v>0</v>
      </c>
      <c r="AV13" s="145">
        <f>IFERROR(VLOOKUP(AQ13,Viernes!$AF$4:$AG$31,2,0),0)</f>
        <v>0</v>
      </c>
      <c r="AW13" s="145">
        <f t="shared" si="4"/>
        <v>0</v>
      </c>
      <c r="AX13" s="145">
        <f t="shared" si="5"/>
        <v>0</v>
      </c>
      <c r="AY13" s="185">
        <f t="shared" si="8"/>
        <v>124.4</v>
      </c>
    </row>
    <row r="14" spans="1:51" ht="15" customHeight="1" x14ac:dyDescent="0.4">
      <c r="A14" s="242"/>
      <c r="B14" s="253"/>
      <c r="C14" s="245"/>
      <c r="D14" s="138">
        <f t="shared" ref="D14:AB14" si="12">IF(IFERROR(IF(VLOOKUP(D13,D$151:D$155,1,0)&gt;=1,D$150,0),D13)=D$132,D$136,IF(IFERROR(IF(VLOOKUP(D13,D$151:D$155,1,0)&gt;=1,D$150,0),D13)=D$139,D$142,IF(IFERROR(IF(VLOOKUP(D13,D$151:D$155,1,0)&gt;=1,D$150,0),D13)=D$145,D$147,0)))</f>
        <v>0</v>
      </c>
      <c r="E14" s="138">
        <f t="shared" si="12"/>
        <v>0</v>
      </c>
      <c r="F14" s="138">
        <f t="shared" si="12"/>
        <v>0</v>
      </c>
      <c r="G14" s="138">
        <f t="shared" si="12"/>
        <v>0</v>
      </c>
      <c r="H14" s="138">
        <f t="shared" si="12"/>
        <v>0</v>
      </c>
      <c r="I14" s="138">
        <f t="shared" si="12"/>
        <v>0</v>
      </c>
      <c r="J14" s="138">
        <f t="shared" si="12"/>
        <v>0</v>
      </c>
      <c r="K14" s="138">
        <f t="shared" si="12"/>
        <v>0</v>
      </c>
      <c r="L14" s="138">
        <f t="shared" si="12"/>
        <v>0</v>
      </c>
      <c r="M14" s="138">
        <f t="shared" si="12"/>
        <v>0</v>
      </c>
      <c r="N14" s="138">
        <f t="shared" si="12"/>
        <v>0</v>
      </c>
      <c r="O14" s="138">
        <f t="shared" si="12"/>
        <v>0</v>
      </c>
      <c r="P14" s="138">
        <f t="shared" si="12"/>
        <v>0</v>
      </c>
      <c r="Q14" s="138">
        <f t="shared" si="12"/>
        <v>0</v>
      </c>
      <c r="R14" s="138">
        <f t="shared" si="12"/>
        <v>0</v>
      </c>
      <c r="S14" s="138">
        <f t="shared" si="12"/>
        <v>0</v>
      </c>
      <c r="T14" s="138">
        <f t="shared" si="12"/>
        <v>0</v>
      </c>
      <c r="U14" s="138">
        <f t="shared" si="12"/>
        <v>0</v>
      </c>
      <c r="V14" s="138">
        <f t="shared" si="12"/>
        <v>0</v>
      </c>
      <c r="W14" s="138">
        <f t="shared" si="12"/>
        <v>0</v>
      </c>
      <c r="X14" s="138">
        <f t="shared" si="12"/>
        <v>0</v>
      </c>
      <c r="Y14" s="138">
        <f t="shared" si="12"/>
        <v>0</v>
      </c>
      <c r="Z14" s="138">
        <f t="shared" si="12"/>
        <v>0</v>
      </c>
      <c r="AA14" s="138">
        <f t="shared" si="12"/>
        <v>0</v>
      </c>
      <c r="AB14" s="138">
        <f t="shared" si="12"/>
        <v>0</v>
      </c>
      <c r="AC14" s="243"/>
      <c r="AE14" s="153">
        <v>11</v>
      </c>
      <c r="AF14" s="145" t="str">
        <f>IF(ISBLANK(STUD!B11)," ",STUD!B11)</f>
        <v>PASASTE BANDIDO</v>
      </c>
      <c r="AG14" s="145">
        <f t="shared" si="0"/>
        <v>0</v>
      </c>
      <c r="AH14" s="147">
        <f t="shared" si="6"/>
        <v>0</v>
      </c>
      <c r="AI14" s="88">
        <f t="shared" si="1"/>
        <v>0</v>
      </c>
      <c r="AJ14" s="53" t="str">
        <f>IF(AI14="","",IFERROR(IF(VLOOKUP(AI14,Programa!$AA$3:$AB$18,2,0)="","",VLOOKUP(AI14,Programa!$AA$3:$AB$18,2,0)),""))</f>
        <v/>
      </c>
      <c r="AK14" s="53">
        <f t="shared" si="2"/>
        <v>0</v>
      </c>
      <c r="AL14" s="53" t="str">
        <f>IF(AK14="","",IFERROR(IF(VLOOKUP(AK14,Programa!$AA$19:$AB$34,2,0)="","",VLOOKUP(AK14,Programa!$AA$19:$AB$34,2,0)),""))</f>
        <v/>
      </c>
      <c r="AM14" s="53">
        <f t="shared" si="3"/>
        <v>0</v>
      </c>
      <c r="AN14" s="53" t="str">
        <f>IF(AM14="","",IFERROR(IF(VLOOKUP(AM14,Programa!$AA$35:$AB$50,2,0)="","",VLOOKUP(AM14,Programa!$AA$35:$AB$50,2,0)),""))</f>
        <v/>
      </c>
      <c r="AP14" s="153">
        <v>11</v>
      </c>
      <c r="AQ14" s="145" t="str">
        <f>IF(ISBLANK(STUD!B10)," ",STUD!B10)</f>
        <v>AUMENTA MEDINA</v>
      </c>
      <c r="AR14" s="185">
        <f>IFERROR(VLOOKUP(AQ14,Lunes!$AF$4:$AG$31,2,0),0)</f>
        <v>5.0999999999999996</v>
      </c>
      <c r="AS14" s="185">
        <f>IFERROR(VLOOKUP(AQ14,Martes!$AF$4:$AH$31,2,0),0)</f>
        <v>22.7</v>
      </c>
      <c r="AT14" s="185">
        <f>IFERROR(VLOOKUP(AQ14,Miercoles!$AF$4:$AG$31,2,0),0)</f>
        <v>29.4</v>
      </c>
      <c r="AU14" s="185">
        <f>IFERROR(VLOOKUP(AQ14,Jueves!$AF$4:$AG$26,2,0),0)</f>
        <v>24.199999999999996</v>
      </c>
      <c r="AV14" s="185">
        <f>IFERROR(VLOOKUP(AQ14,Viernes!$AF$4:$AG$31,2,0),0)</f>
        <v>26.8</v>
      </c>
      <c r="AW14" s="185">
        <f t="shared" si="4"/>
        <v>0</v>
      </c>
      <c r="AX14" s="185">
        <f t="shared" si="5"/>
        <v>108.19999999999999</v>
      </c>
      <c r="AY14" s="185">
        <f t="shared" si="8"/>
        <v>16.200000000000017</v>
      </c>
    </row>
    <row r="15" spans="1:51" ht="15.75" customHeight="1" x14ac:dyDescent="0.4">
      <c r="A15" s="252">
        <f>+A13+1</f>
        <v>6</v>
      </c>
      <c r="B15" s="253" t="str">
        <f>+STUD!B7</f>
        <v>ALF</v>
      </c>
      <c r="C15" s="244">
        <f>SUM(D16:AB16)</f>
        <v>0</v>
      </c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243">
        <f>SUM(D16:AB16)</f>
        <v>0</v>
      </c>
      <c r="AE15" s="71">
        <v>12</v>
      </c>
      <c r="AF15" s="145" t="str">
        <f>IF(ISBLANK(STUD!B10)," ",STUD!B10)</f>
        <v>AUMENTA MEDINA</v>
      </c>
      <c r="AG15" s="145">
        <f t="shared" si="0"/>
        <v>0</v>
      </c>
      <c r="AH15" s="92">
        <f t="shared" si="6"/>
        <v>0</v>
      </c>
      <c r="AI15" s="88">
        <f t="shared" si="1"/>
        <v>0</v>
      </c>
      <c r="AJ15" s="53" t="str">
        <f>IF(AI15="","",IFERROR(IF(VLOOKUP(AI15,Programa!$AA$3:$AB$18,2,0)="","",VLOOKUP(AI15,Programa!$AA$3:$AB$18,2,0)),""))</f>
        <v/>
      </c>
      <c r="AK15" s="53">
        <f t="shared" si="2"/>
        <v>0</v>
      </c>
      <c r="AL15" s="53" t="str">
        <f>IF(AK15="","",IFERROR(IF(VLOOKUP(AK15,Programa!$AA$19:$AB$34,2,0)="","",VLOOKUP(AK15,Programa!$AA$19:$AB$34,2,0)),""))</f>
        <v/>
      </c>
      <c r="AM15" s="53">
        <f t="shared" si="3"/>
        <v>0</v>
      </c>
      <c r="AN15" s="53" t="str">
        <f>IF(AM15="","",IFERROR(IF(VLOOKUP(AM15,Programa!$AA$35:$AB$50,2,0)="","",VLOOKUP(AM15,Programa!$AA$35:$AB$50,2,0)),""))</f>
        <v/>
      </c>
      <c r="AP15" s="157">
        <v>12</v>
      </c>
      <c r="AQ15" s="145" t="str">
        <f>IF(ISBLANK(STUD!B11)," ",STUD!B11)</f>
        <v>PASASTE BANDIDO</v>
      </c>
      <c r="AR15" s="185">
        <f>IFERROR(VLOOKUP(AQ15,Lunes!$AF$4:$AG$31,2,0),0)</f>
        <v>4</v>
      </c>
      <c r="AS15" s="185">
        <f>IFERROR(VLOOKUP(AQ15,Martes!$AF$4:$AH$31,2,0),0)</f>
        <v>59.9</v>
      </c>
      <c r="AT15" s="185">
        <f>IFERROR(VLOOKUP(AQ15,Miercoles!$AF$4:$AG$31,2,0),0)</f>
        <v>12.899999999999999</v>
      </c>
      <c r="AU15" s="185">
        <f>IFERROR(VLOOKUP(AQ15,Jueves!$AF$4:$AG$26,2,0),0)</f>
        <v>6.8000000000000007</v>
      </c>
      <c r="AV15" s="185">
        <f>IFERROR(VLOOKUP(AQ15,Viernes!$AF$4:$AG$31,2,0),0)</f>
        <v>13.3</v>
      </c>
      <c r="AW15" s="185">
        <f t="shared" si="4"/>
        <v>0</v>
      </c>
      <c r="AX15" s="185">
        <f t="shared" si="5"/>
        <v>96.899999999999991</v>
      </c>
      <c r="AY15" s="91">
        <f t="shared" si="8"/>
        <v>27.500000000000014</v>
      </c>
    </row>
    <row r="16" spans="1:51" ht="15" customHeight="1" x14ac:dyDescent="0.4">
      <c r="A16" s="242"/>
      <c r="B16" s="253"/>
      <c r="C16" s="245"/>
      <c r="D16" s="138">
        <f t="shared" ref="D16:AB16" si="13">IF(IFERROR(IF(VLOOKUP(D15,D$151:D$155,1,0)&gt;=1,D$150,0),D15)=D$132,D$136,IF(IFERROR(IF(VLOOKUP(D15,D$151:D$155,1,0)&gt;=1,D$150,0),D15)=D$139,D$142,IF(IFERROR(IF(VLOOKUP(D15,D$151:D$155,1,0)&gt;=1,D$150,0),D15)=D$145,D$147,0)))</f>
        <v>0</v>
      </c>
      <c r="E16" s="138">
        <f t="shared" si="13"/>
        <v>0</v>
      </c>
      <c r="F16" s="138">
        <f t="shared" si="13"/>
        <v>0</v>
      </c>
      <c r="G16" s="138">
        <f t="shared" si="13"/>
        <v>0</v>
      </c>
      <c r="H16" s="138">
        <f t="shared" si="13"/>
        <v>0</v>
      </c>
      <c r="I16" s="138">
        <f t="shared" si="13"/>
        <v>0</v>
      </c>
      <c r="J16" s="138">
        <f t="shared" si="13"/>
        <v>0</v>
      </c>
      <c r="K16" s="138">
        <f t="shared" si="13"/>
        <v>0</v>
      </c>
      <c r="L16" s="138">
        <f t="shared" si="13"/>
        <v>0</v>
      </c>
      <c r="M16" s="138">
        <f t="shared" si="13"/>
        <v>0</v>
      </c>
      <c r="N16" s="138">
        <f t="shared" si="13"/>
        <v>0</v>
      </c>
      <c r="O16" s="138">
        <f t="shared" si="13"/>
        <v>0</v>
      </c>
      <c r="P16" s="138">
        <f t="shared" si="13"/>
        <v>0</v>
      </c>
      <c r="Q16" s="138">
        <f t="shared" si="13"/>
        <v>0</v>
      </c>
      <c r="R16" s="138">
        <f t="shared" si="13"/>
        <v>0</v>
      </c>
      <c r="S16" s="138">
        <f t="shared" si="13"/>
        <v>0</v>
      </c>
      <c r="T16" s="138">
        <f t="shared" si="13"/>
        <v>0</v>
      </c>
      <c r="U16" s="138">
        <f t="shared" si="13"/>
        <v>0</v>
      </c>
      <c r="V16" s="138">
        <f t="shared" si="13"/>
        <v>0</v>
      </c>
      <c r="W16" s="138">
        <f t="shared" si="13"/>
        <v>0</v>
      </c>
      <c r="X16" s="138">
        <f t="shared" si="13"/>
        <v>0</v>
      </c>
      <c r="Y16" s="138">
        <f t="shared" si="13"/>
        <v>0</v>
      </c>
      <c r="Z16" s="138">
        <f t="shared" si="13"/>
        <v>0</v>
      </c>
      <c r="AA16" s="138">
        <f t="shared" si="13"/>
        <v>0</v>
      </c>
      <c r="AB16" s="138">
        <f t="shared" si="13"/>
        <v>0</v>
      </c>
      <c r="AC16" s="243"/>
      <c r="AE16" s="72">
        <v>13</v>
      </c>
      <c r="AF16" s="91" t="str">
        <f>IF(ISBLANK(STUD!B14)," ",STUD!B14)</f>
        <v xml:space="preserve"> </v>
      </c>
      <c r="AG16" s="91">
        <f t="shared" si="0"/>
        <v>0</v>
      </c>
      <c r="AH16" s="92">
        <f t="shared" si="6"/>
        <v>0</v>
      </c>
      <c r="AI16" s="88" t="str">
        <f t="shared" si="1"/>
        <v xml:space="preserve"> </v>
      </c>
      <c r="AJ16" s="53" t="str">
        <f>IF(AI16="","",IFERROR(IF(VLOOKUP(AI16,Programa!$AA$3:$AB$18,2,0)="","",VLOOKUP(AI16,Programa!$AA$3:$AB$18,2,0)),""))</f>
        <v/>
      </c>
      <c r="AK16" s="53" t="str">
        <f t="shared" si="2"/>
        <v xml:space="preserve"> </v>
      </c>
      <c r="AL16" s="53" t="str">
        <f>IF(AK16="","",IFERROR(IF(VLOOKUP(AK16,Programa!$AA$19:$AB$34,2,0)="","",VLOOKUP(AK16,Programa!$AA$19:$AB$34,2,0)),""))</f>
        <v/>
      </c>
      <c r="AM16" s="53" t="str">
        <f t="shared" si="3"/>
        <v xml:space="preserve"> </v>
      </c>
      <c r="AN16" s="53" t="str">
        <f>IF(AM16="","",IFERROR(IF(VLOOKUP(AM16,Programa!$AA$35:$AB$50,2,0)="","",VLOOKUP(AM16,Programa!$AA$35:$AB$50,2,0)),""))</f>
        <v/>
      </c>
      <c r="AP16" s="72">
        <v>13</v>
      </c>
      <c r="AQ16" s="91" t="str">
        <f>IF(ISBLANK(STUD!B14)," ",STUD!B14)</f>
        <v xml:space="preserve"> </v>
      </c>
      <c r="AR16" s="91">
        <f>IFERROR(VLOOKUP(AQ16,Lunes!$AF$4:$AG$31,2,0),0)</f>
        <v>0</v>
      </c>
      <c r="AS16" s="91">
        <f>IFERROR(VLOOKUP(AQ16,Martes!$AF$4:$AH$31,2,0),0)</f>
        <v>0</v>
      </c>
      <c r="AT16" s="91">
        <f>IFERROR(VLOOKUP(AQ16,Miercoles!$AF$4:$AG$31,2,0),0)</f>
        <v>0</v>
      </c>
      <c r="AU16" s="91">
        <f>IFERROR(VLOOKUP(AQ16,Jueves!$AF$4:$AG$26,2,0),0)</f>
        <v>0</v>
      </c>
      <c r="AV16" s="91">
        <f>IFERROR(VLOOKUP(AQ16,Viernes!$AF$4:$AG$31,2,0),0)</f>
        <v>0</v>
      </c>
      <c r="AW16" s="91">
        <f t="shared" si="4"/>
        <v>0</v>
      </c>
      <c r="AX16" s="91">
        <f t="shared" si="5"/>
        <v>0</v>
      </c>
      <c r="AY16" s="91">
        <f t="shared" si="8"/>
        <v>124.4</v>
      </c>
    </row>
    <row r="17" spans="1:51" ht="15.75" customHeight="1" x14ac:dyDescent="0.4">
      <c r="A17" s="252">
        <f>+A15+1</f>
        <v>7</v>
      </c>
      <c r="B17" s="253" t="str">
        <f>+STUD!B8</f>
        <v>MIS SOBRINOS</v>
      </c>
      <c r="C17" s="244">
        <f>SUM(D18:AB18)</f>
        <v>0</v>
      </c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243">
        <f>SUM(D18:AB18)</f>
        <v>0</v>
      </c>
      <c r="AE17" s="73">
        <v>14</v>
      </c>
      <c r="AF17" s="91" t="str">
        <f>IF(ISBLANK(STUD!B15)," ",STUD!B15)</f>
        <v xml:space="preserve"> </v>
      </c>
      <c r="AG17" s="91">
        <f t="shared" si="0"/>
        <v>0</v>
      </c>
      <c r="AH17" s="92">
        <f t="shared" si="6"/>
        <v>0</v>
      </c>
      <c r="AI17" s="88" t="str">
        <f t="shared" si="1"/>
        <v xml:space="preserve"> </v>
      </c>
      <c r="AJ17" s="53" t="str">
        <f>IF(AI17="","",IFERROR(IF(VLOOKUP(AI17,Programa!$AA$3:$AB$18,2,0)="","",VLOOKUP(AI17,Programa!$AA$3:$AB$18,2,0)),""))</f>
        <v/>
      </c>
      <c r="AK17" s="53" t="str">
        <f t="shared" si="2"/>
        <v xml:space="preserve"> </v>
      </c>
      <c r="AL17" s="53" t="str">
        <f>IF(AK17="","",IFERROR(IF(VLOOKUP(AK17,Programa!$AA$19:$AB$34,2,0)="","",VLOOKUP(AK17,Programa!$AA$19:$AB$34,2,0)),""))</f>
        <v/>
      </c>
      <c r="AM17" s="53" t="str">
        <f t="shared" si="3"/>
        <v xml:space="preserve"> </v>
      </c>
      <c r="AN17" s="53" t="str">
        <f>IF(AM17="","",IFERROR(IF(VLOOKUP(AM17,Programa!$AA$35:$AB$50,2,0)="","",VLOOKUP(AM17,Programa!$AA$35:$AB$50,2,0)),""))</f>
        <v/>
      </c>
      <c r="AP17" s="73">
        <v>14</v>
      </c>
      <c r="AQ17" s="91" t="str">
        <f>IF(ISBLANK(STUD!B15)," ",STUD!B15)</f>
        <v xml:space="preserve"> </v>
      </c>
      <c r="AR17" s="91">
        <f>IFERROR(VLOOKUP(AQ17,Lunes!$AF$4:$AG$31,2,0),0)</f>
        <v>0</v>
      </c>
      <c r="AS17" s="91">
        <f>IFERROR(VLOOKUP(AQ17,Martes!$AF$4:$AH$31,2,0),0)</f>
        <v>0</v>
      </c>
      <c r="AT17" s="91">
        <f>IFERROR(VLOOKUP(AQ17,Miercoles!$AF$4:$AG$31,2,0),0)</f>
        <v>0</v>
      </c>
      <c r="AU17" s="91">
        <f>IFERROR(VLOOKUP(AQ17,Jueves!$AF$4:$AG$26,2,0),0)</f>
        <v>0</v>
      </c>
      <c r="AV17" s="91">
        <f>IFERROR(VLOOKUP(AQ17,Viernes!$AF$4:$AG$31,2,0),0)</f>
        <v>0</v>
      </c>
      <c r="AW17" s="91">
        <f t="shared" si="4"/>
        <v>0</v>
      </c>
      <c r="AX17" s="91">
        <f t="shared" si="5"/>
        <v>0</v>
      </c>
      <c r="AY17" s="91">
        <f t="shared" si="8"/>
        <v>124.4</v>
      </c>
    </row>
    <row r="18" spans="1:51" ht="15.75" customHeight="1" x14ac:dyDescent="0.4">
      <c r="A18" s="242"/>
      <c r="B18" s="253"/>
      <c r="C18" s="245"/>
      <c r="D18" s="138">
        <f t="shared" ref="D18:AB18" si="14">IF(IFERROR(IF(VLOOKUP(D17,D$151:D$155,1,0)&gt;=1,D$150,0),D17)=D$132,D$136,IF(IFERROR(IF(VLOOKUP(D17,D$151:D$155,1,0)&gt;=1,D$150,0),D17)=D$139,D$142,IF(IFERROR(IF(VLOOKUP(D17,D$151:D$155,1,0)&gt;=1,D$150,0),D17)=D$145,D$147,0)))</f>
        <v>0</v>
      </c>
      <c r="E18" s="138">
        <f t="shared" si="14"/>
        <v>0</v>
      </c>
      <c r="F18" s="138">
        <f t="shared" si="14"/>
        <v>0</v>
      </c>
      <c r="G18" s="138">
        <f t="shared" si="14"/>
        <v>0</v>
      </c>
      <c r="H18" s="138">
        <f t="shared" si="14"/>
        <v>0</v>
      </c>
      <c r="I18" s="138">
        <f t="shared" si="14"/>
        <v>0</v>
      </c>
      <c r="J18" s="138">
        <f t="shared" si="14"/>
        <v>0</v>
      </c>
      <c r="K18" s="138">
        <f t="shared" si="14"/>
        <v>0</v>
      </c>
      <c r="L18" s="138">
        <f t="shared" si="14"/>
        <v>0</v>
      </c>
      <c r="M18" s="138">
        <f t="shared" si="14"/>
        <v>0</v>
      </c>
      <c r="N18" s="138">
        <f t="shared" si="14"/>
        <v>0</v>
      </c>
      <c r="O18" s="138">
        <f t="shared" si="14"/>
        <v>0</v>
      </c>
      <c r="P18" s="138">
        <f t="shared" si="14"/>
        <v>0</v>
      </c>
      <c r="Q18" s="138">
        <f t="shared" si="14"/>
        <v>0</v>
      </c>
      <c r="R18" s="138">
        <f t="shared" si="14"/>
        <v>0</v>
      </c>
      <c r="S18" s="138">
        <f t="shared" si="14"/>
        <v>0</v>
      </c>
      <c r="T18" s="138">
        <f t="shared" si="14"/>
        <v>0</v>
      </c>
      <c r="U18" s="138">
        <f t="shared" si="14"/>
        <v>0</v>
      </c>
      <c r="V18" s="138">
        <f t="shared" si="14"/>
        <v>0</v>
      </c>
      <c r="W18" s="138">
        <f t="shared" si="14"/>
        <v>0</v>
      </c>
      <c r="X18" s="138">
        <f t="shared" si="14"/>
        <v>0</v>
      </c>
      <c r="Y18" s="138">
        <f t="shared" si="14"/>
        <v>0</v>
      </c>
      <c r="Z18" s="138">
        <f t="shared" si="14"/>
        <v>0</v>
      </c>
      <c r="AA18" s="138">
        <f t="shared" si="14"/>
        <v>0</v>
      </c>
      <c r="AB18" s="138">
        <f t="shared" si="14"/>
        <v>0</v>
      </c>
      <c r="AC18" s="243"/>
      <c r="AE18" s="74">
        <v>15</v>
      </c>
      <c r="AF18" s="91" t="str">
        <f>IF(ISBLANK(STUD!B16)," ",STUD!B16)</f>
        <v xml:space="preserve"> </v>
      </c>
      <c r="AG18" s="91">
        <f t="shared" si="0"/>
        <v>0</v>
      </c>
      <c r="AH18" s="92">
        <f t="shared" si="6"/>
        <v>0</v>
      </c>
      <c r="AI18" s="88" t="str">
        <f t="shared" si="1"/>
        <v xml:space="preserve"> </v>
      </c>
      <c r="AJ18" s="53" t="str">
        <f>IF(AI18="","",IFERROR(IF(VLOOKUP(AI18,Programa!$AA$3:$AB$18,2,0)="","",VLOOKUP(AI18,Programa!$AA$3:$AB$18,2,0)),""))</f>
        <v/>
      </c>
      <c r="AK18" s="53" t="str">
        <f t="shared" si="2"/>
        <v xml:space="preserve"> </v>
      </c>
      <c r="AL18" s="53" t="str">
        <f>IF(AK18="","",IFERROR(IF(VLOOKUP(AK18,Programa!$AA$19:$AB$34,2,0)="","",VLOOKUP(AK18,Programa!$AA$19:$AB$34,2,0)),""))</f>
        <v/>
      </c>
      <c r="AM18" s="53" t="str">
        <f t="shared" si="3"/>
        <v xml:space="preserve"> </v>
      </c>
      <c r="AN18" s="53" t="str">
        <f>IF(AM18="","",IFERROR(IF(VLOOKUP(AM18,Programa!$AA$35:$AB$50,2,0)="","",VLOOKUP(AM18,Programa!$AA$35:$AB$50,2,0)),""))</f>
        <v/>
      </c>
      <c r="AP18" s="74">
        <v>15</v>
      </c>
      <c r="AQ18" s="91" t="str">
        <f>IF(ISBLANK(STUD!B16)," ",STUD!B16)</f>
        <v xml:space="preserve"> </v>
      </c>
      <c r="AR18" s="91">
        <f>IFERROR(VLOOKUP(AQ18,Lunes!$AF$4:$AG$31,2,0),0)</f>
        <v>0</v>
      </c>
      <c r="AS18" s="91">
        <f>IFERROR(VLOOKUP(AQ18,Martes!$AF$4:$AH$31,2,0),0)</f>
        <v>0</v>
      </c>
      <c r="AT18" s="91">
        <f>IFERROR(VLOOKUP(AQ18,Miercoles!$AF$4:$AG$31,2,0),0)</f>
        <v>0</v>
      </c>
      <c r="AU18" s="91">
        <f>IFERROR(VLOOKUP(AQ18,Jueves!$AF$4:$AG$26,2,0),0)</f>
        <v>0</v>
      </c>
      <c r="AV18" s="91">
        <f>IFERROR(VLOOKUP(AQ18,Viernes!$AF$4:$AG$31,2,0),0)</f>
        <v>0</v>
      </c>
      <c r="AW18" s="91">
        <f t="shared" si="4"/>
        <v>0</v>
      </c>
      <c r="AX18" s="91">
        <f t="shared" si="5"/>
        <v>0</v>
      </c>
      <c r="AY18" s="91">
        <f t="shared" si="8"/>
        <v>124.4</v>
      </c>
    </row>
    <row r="19" spans="1:51" ht="15.75" customHeight="1" x14ac:dyDescent="0.4">
      <c r="A19" s="252">
        <f>+A17+1</f>
        <v>8</v>
      </c>
      <c r="B19" s="253" t="str">
        <f>+STUD!B9</f>
        <v>SERVIFRENOS</v>
      </c>
      <c r="C19" s="244">
        <f>SUM(D20:AB20)</f>
        <v>0</v>
      </c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12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243">
        <f>SUM(D20:AB20)</f>
        <v>0</v>
      </c>
      <c r="AE19" s="75">
        <v>16</v>
      </c>
      <c r="AF19" s="91" t="str">
        <f>IF(ISBLANK(STUD!B17)," ",STUD!B17)</f>
        <v xml:space="preserve"> </v>
      </c>
      <c r="AG19" s="91">
        <f t="shared" si="0"/>
        <v>0</v>
      </c>
      <c r="AH19" s="92">
        <f t="shared" si="6"/>
        <v>0</v>
      </c>
      <c r="AI19" s="88" t="str">
        <f t="shared" si="1"/>
        <v xml:space="preserve"> </v>
      </c>
      <c r="AJ19" s="53" t="str">
        <f>IF(AI19="","",IFERROR(IF(VLOOKUP(AI19,Programa!$AA$3:$AB$18,2,0)="","",VLOOKUP(AI19,Programa!$AA$3:$AB$18,2,0)),""))</f>
        <v/>
      </c>
      <c r="AK19" s="53" t="str">
        <f t="shared" si="2"/>
        <v xml:space="preserve"> </v>
      </c>
      <c r="AL19" s="53" t="str">
        <f>IF(AK19="","",IFERROR(IF(VLOOKUP(AK19,Programa!$AA$19:$AB$34,2,0)="","",VLOOKUP(AK19,Programa!$AA$19:$AB$34,2,0)),""))</f>
        <v/>
      </c>
      <c r="AM19" s="53" t="str">
        <f t="shared" si="3"/>
        <v xml:space="preserve"> </v>
      </c>
      <c r="AN19" s="53" t="str">
        <f>IF(AM19="","",IFERROR(IF(VLOOKUP(AM19,Programa!$AA$35:$AB$50,2,0)="","",VLOOKUP(AM19,Programa!$AA$35:$AB$50,2,0)),""))</f>
        <v/>
      </c>
      <c r="AP19" s="75">
        <v>16</v>
      </c>
      <c r="AQ19" s="91" t="str">
        <f>IF(ISBLANK(STUD!B17)," ",STUD!B17)</f>
        <v xml:space="preserve"> </v>
      </c>
      <c r="AR19" s="91">
        <f>IFERROR(VLOOKUP(AQ19,Lunes!$AF$4:$AG$31,2,0),0)</f>
        <v>0</v>
      </c>
      <c r="AS19" s="91">
        <f>IFERROR(VLOOKUP(AQ19,Martes!$AF$4:$AH$31,2,0),0)</f>
        <v>0</v>
      </c>
      <c r="AT19" s="91">
        <f>IFERROR(VLOOKUP(AQ19,Miercoles!$AF$4:$AG$31,2,0),0)</f>
        <v>0</v>
      </c>
      <c r="AU19" s="91">
        <f>IFERROR(VLOOKUP(AQ19,Jueves!$AF$4:$AG$26,2,0),0)</f>
        <v>0</v>
      </c>
      <c r="AV19" s="91">
        <f>IFERROR(VLOOKUP(AQ19,Viernes!$AF$4:$AG$31,2,0),0)</f>
        <v>0</v>
      </c>
      <c r="AW19" s="91">
        <f t="shared" si="4"/>
        <v>0</v>
      </c>
      <c r="AX19" s="91">
        <f t="shared" si="5"/>
        <v>0</v>
      </c>
      <c r="AY19" s="91">
        <f t="shared" si="8"/>
        <v>124.4</v>
      </c>
    </row>
    <row r="20" spans="1:51" ht="15.75" customHeight="1" x14ac:dyDescent="0.4">
      <c r="A20" s="242"/>
      <c r="B20" s="253"/>
      <c r="C20" s="245"/>
      <c r="D20" s="138">
        <f t="shared" ref="D20:AB20" si="15">IF(IFERROR(IF(VLOOKUP(D19,D$151:D$155,1,0)&gt;=1,D$150,0),D19)=D$132,D$136,IF(IFERROR(IF(VLOOKUP(D19,D$151:D$155,1,0)&gt;=1,D$150,0),D19)=D$139,D$142,IF(IFERROR(IF(VLOOKUP(D19,D$151:D$155,1,0)&gt;=1,D$150,0),D19)=D$145,D$147,0)))</f>
        <v>0</v>
      </c>
      <c r="E20" s="138">
        <f t="shared" si="15"/>
        <v>0</v>
      </c>
      <c r="F20" s="138">
        <f t="shared" si="15"/>
        <v>0</v>
      </c>
      <c r="G20" s="138">
        <f t="shared" si="15"/>
        <v>0</v>
      </c>
      <c r="H20" s="138">
        <f t="shared" si="15"/>
        <v>0</v>
      </c>
      <c r="I20" s="138">
        <f t="shared" si="15"/>
        <v>0</v>
      </c>
      <c r="J20" s="138">
        <f t="shared" si="15"/>
        <v>0</v>
      </c>
      <c r="K20" s="138">
        <f t="shared" si="15"/>
        <v>0</v>
      </c>
      <c r="L20" s="138">
        <f t="shared" si="15"/>
        <v>0</v>
      </c>
      <c r="M20" s="138">
        <f t="shared" si="15"/>
        <v>0</v>
      </c>
      <c r="N20" s="138">
        <f t="shared" si="15"/>
        <v>0</v>
      </c>
      <c r="O20" s="138">
        <f t="shared" si="15"/>
        <v>0</v>
      </c>
      <c r="P20" s="138">
        <f>IF(IFERROR(IF(VLOOKUP(P19,P$151:P$155,1,0)&gt;=1,P$150,0),P19)=P$132,P$136,IF(IFERROR(IF(VLOOKUP(P19,P$151:P$155,1,0)&gt;=1,P$150,0),P19)=P$139,P$142,IF(IFERROR(IF(VLOOKUP(P19,P$151:P$155,1,0)&gt;=1,P$150,0),P19)=P$145,P$147,0)))</f>
        <v>0</v>
      </c>
      <c r="Q20" s="138">
        <f t="shared" si="15"/>
        <v>0</v>
      </c>
      <c r="R20" s="138">
        <f t="shared" si="15"/>
        <v>0</v>
      </c>
      <c r="S20" s="138">
        <f t="shared" si="15"/>
        <v>0</v>
      </c>
      <c r="T20" s="138">
        <f t="shared" si="15"/>
        <v>0</v>
      </c>
      <c r="U20" s="138">
        <f t="shared" si="15"/>
        <v>0</v>
      </c>
      <c r="V20" s="138">
        <f t="shared" si="15"/>
        <v>0</v>
      </c>
      <c r="W20" s="138">
        <f t="shared" si="15"/>
        <v>0</v>
      </c>
      <c r="X20" s="138">
        <f t="shared" si="15"/>
        <v>0</v>
      </c>
      <c r="Y20" s="138">
        <f t="shared" si="15"/>
        <v>0</v>
      </c>
      <c r="Z20" s="138">
        <f t="shared" si="15"/>
        <v>0</v>
      </c>
      <c r="AA20" s="138">
        <f t="shared" si="15"/>
        <v>0</v>
      </c>
      <c r="AB20" s="138">
        <f t="shared" si="15"/>
        <v>0</v>
      </c>
      <c r="AC20" s="243"/>
      <c r="AE20" s="76">
        <v>17</v>
      </c>
      <c r="AF20" s="91" t="str">
        <f>IF(ISBLANK(STUD!B18)," ",STUD!B18)</f>
        <v xml:space="preserve"> </v>
      </c>
      <c r="AG20" s="91">
        <f t="shared" si="0"/>
        <v>0</v>
      </c>
      <c r="AH20" s="92">
        <f t="shared" si="6"/>
        <v>0</v>
      </c>
      <c r="AI20" s="88" t="str">
        <f t="shared" si="1"/>
        <v xml:space="preserve"> </v>
      </c>
      <c r="AJ20" s="53" t="str">
        <f>IF(AI20="","",IFERROR(IF(VLOOKUP(AI20,Programa!$AA$3:$AB$18,2,0)="","",VLOOKUP(AI20,Programa!$AA$3:$AB$18,2,0)),""))</f>
        <v/>
      </c>
      <c r="AK20" s="53" t="str">
        <f t="shared" si="2"/>
        <v xml:space="preserve"> </v>
      </c>
      <c r="AL20" s="53" t="str">
        <f>IF(AK20="","",IFERROR(IF(VLOOKUP(AK20,Programa!$AA$19:$AB$34,2,0)="","",VLOOKUP(AK20,Programa!$AA$19:$AB$34,2,0)),""))</f>
        <v/>
      </c>
      <c r="AM20" s="53" t="str">
        <f t="shared" si="3"/>
        <v xml:space="preserve"> </v>
      </c>
      <c r="AN20" s="53" t="str">
        <f>IF(AM20="","",IFERROR(IF(VLOOKUP(AM20,Programa!$AA$35:$AB$50,2,0)="","",VLOOKUP(AM20,Programa!$AA$35:$AB$50,2,0)),""))</f>
        <v/>
      </c>
      <c r="AP20" s="76">
        <v>17</v>
      </c>
      <c r="AQ20" s="91" t="str">
        <f>IF(ISBLANK(STUD!B18)," ",STUD!B18)</f>
        <v xml:space="preserve"> </v>
      </c>
      <c r="AR20" s="91">
        <f>IFERROR(VLOOKUP(AQ20,Lunes!$AF$4:$AG$31,2,0),0)</f>
        <v>0</v>
      </c>
      <c r="AS20" s="91">
        <f>IFERROR(VLOOKUP(AQ20,Martes!$AF$4:$AH$31,2,0),0)</f>
        <v>0</v>
      </c>
      <c r="AT20" s="91">
        <f>IFERROR(VLOOKUP(AQ20,Miercoles!$AF$4:$AG$31,2,0),0)</f>
        <v>0</v>
      </c>
      <c r="AU20" s="91">
        <f>IFERROR(VLOOKUP(AQ20,Jueves!$AF$4:$AG$26,2,0),0)</f>
        <v>0</v>
      </c>
      <c r="AV20" s="91">
        <f>IFERROR(VLOOKUP(AQ20,Viernes!$AF$4:$AG$31,2,0),0)</f>
        <v>0</v>
      </c>
      <c r="AW20" s="91">
        <f t="shared" si="4"/>
        <v>0</v>
      </c>
      <c r="AX20" s="91">
        <f t="shared" si="5"/>
        <v>0</v>
      </c>
      <c r="AY20" s="91">
        <f t="shared" si="8"/>
        <v>124.4</v>
      </c>
    </row>
    <row r="21" spans="1:51" ht="15.75" hidden="1" customHeight="1" x14ac:dyDescent="0.4">
      <c r="A21" s="252">
        <f>+A19+1</f>
        <v>9</v>
      </c>
      <c r="B21" s="253" t="str">
        <f>+STUD!B10</f>
        <v>AUMENTA MEDINA</v>
      </c>
      <c r="C21" s="244">
        <f>SUM(D22:AB22)</f>
        <v>0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12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243">
        <f>SUM(D22:AB22)</f>
        <v>0</v>
      </c>
      <c r="AE21" s="77">
        <v>18</v>
      </c>
      <c r="AF21" s="91" t="str">
        <f>IF(ISBLANK(STUD!B19)," ",STUD!B19)</f>
        <v xml:space="preserve"> </v>
      </c>
      <c r="AG21" s="91">
        <f t="shared" ref="AG21:AG28" si="16">IFERROR(VLOOKUP(AF21,$B$5:$C$68,2,0),0)</f>
        <v>0</v>
      </c>
      <c r="AH21" s="92">
        <f t="shared" si="6"/>
        <v>0</v>
      </c>
      <c r="AI21" s="88" t="str">
        <f t="shared" si="1"/>
        <v xml:space="preserve"> </v>
      </c>
      <c r="AJ21" s="53" t="str">
        <f>IF(AI21="","",IFERROR(IF(VLOOKUP(AI21,Programa!$AA$3:$AB$18,2,0)="","",VLOOKUP(AI21,Programa!$AA$3:$AB$18,2,0)),""))</f>
        <v/>
      </c>
      <c r="AK21" s="53" t="str">
        <f t="shared" si="2"/>
        <v xml:space="preserve"> </v>
      </c>
      <c r="AL21" s="53" t="str">
        <f>IF(AK21="","",IFERROR(IF(VLOOKUP(AK21,Programa!$AA$19:$AB$34,2,0)="","",VLOOKUP(AK21,Programa!$AA$19:$AB$34,2,0)),""))</f>
        <v/>
      </c>
      <c r="AM21" s="53" t="str">
        <f t="shared" si="3"/>
        <v xml:space="preserve"> </v>
      </c>
      <c r="AN21" s="53" t="str">
        <f>IF(AM21="","",IFERROR(IF(VLOOKUP(AM21,Programa!$AA$35:$AB$50,2,0)="","",VLOOKUP(AM21,Programa!$AA$35:$AB$50,2,0)),""))</f>
        <v/>
      </c>
      <c r="AP21" s="77">
        <v>18</v>
      </c>
      <c r="AQ21" s="91" t="str">
        <f>IF(ISBLANK(STUD!B19)," ",STUD!B19)</f>
        <v xml:space="preserve"> </v>
      </c>
      <c r="AR21" s="91">
        <f>IFERROR(VLOOKUP(AQ21,Lunes!$AF$4:$AG$31,2,0),0)</f>
        <v>0</v>
      </c>
      <c r="AS21" s="91">
        <f>IFERROR(VLOOKUP(AQ21,Martes!$AF$4:$AH$31,2,0),0)</f>
        <v>0</v>
      </c>
      <c r="AT21" s="91">
        <f>IFERROR(VLOOKUP(AQ21,Miercoles!$AF$4:$AG$31,2,0),0)</f>
        <v>0</v>
      </c>
      <c r="AU21" s="91">
        <f>IFERROR(VLOOKUP(AQ21,Jueves!$AF$4:$AG$26,2,0),0)</f>
        <v>0</v>
      </c>
      <c r="AV21" s="91">
        <f>IFERROR(VLOOKUP(AQ21,Viernes!$AF$4:$AG$31,2,0),0)</f>
        <v>0</v>
      </c>
      <c r="AW21" s="91">
        <f t="shared" ref="AW21:AW28" si="17">IFERROR(VLOOKUP(AQ21,$B$5:$C$68,2,0),0)</f>
        <v>0</v>
      </c>
      <c r="AX21" s="91">
        <f t="shared" ref="AX21:AX28" si="18">SUM(AR21:AW21)</f>
        <v>0</v>
      </c>
      <c r="AY21" s="91">
        <f t="shared" si="8"/>
        <v>124.4</v>
      </c>
    </row>
    <row r="22" spans="1:51" ht="15.75" hidden="1" customHeight="1" x14ac:dyDescent="0.4">
      <c r="A22" s="242"/>
      <c r="B22" s="253"/>
      <c r="C22" s="245"/>
      <c r="D22" s="138">
        <f t="shared" ref="D22:AB22" si="19">IF(IFERROR(IF(VLOOKUP(D21,D$151:D$155,1,0)&gt;=1,D$150,0),D21)=D$132,D$136,IF(IFERROR(IF(VLOOKUP(D21,D$151:D$155,1,0)&gt;=1,D$150,0),D21)=D$139,D$142,IF(IFERROR(IF(VLOOKUP(D21,D$151:D$155,1,0)&gt;=1,D$150,0),D21)=D$145,D$147,0)))</f>
        <v>0</v>
      </c>
      <c r="E22" s="138">
        <f t="shared" si="19"/>
        <v>0</v>
      </c>
      <c r="F22" s="138">
        <f t="shared" si="19"/>
        <v>0</v>
      </c>
      <c r="G22" s="138">
        <f t="shared" si="19"/>
        <v>0</v>
      </c>
      <c r="H22" s="138">
        <f t="shared" si="19"/>
        <v>0</v>
      </c>
      <c r="I22" s="138">
        <f t="shared" si="19"/>
        <v>0</v>
      </c>
      <c r="J22" s="138">
        <f t="shared" si="19"/>
        <v>0</v>
      </c>
      <c r="K22" s="138">
        <f t="shared" si="19"/>
        <v>0</v>
      </c>
      <c r="L22" s="138">
        <f t="shared" si="19"/>
        <v>0</v>
      </c>
      <c r="M22" s="138">
        <f t="shared" si="19"/>
        <v>0</v>
      </c>
      <c r="N22" s="138">
        <f t="shared" si="19"/>
        <v>0</v>
      </c>
      <c r="O22" s="138">
        <f t="shared" si="19"/>
        <v>0</v>
      </c>
      <c r="P22" s="138">
        <f t="shared" si="19"/>
        <v>0</v>
      </c>
      <c r="Q22" s="138">
        <f t="shared" si="19"/>
        <v>0</v>
      </c>
      <c r="R22" s="138">
        <f t="shared" si="19"/>
        <v>0</v>
      </c>
      <c r="S22" s="138">
        <f t="shared" si="19"/>
        <v>0</v>
      </c>
      <c r="T22" s="138">
        <f t="shared" si="19"/>
        <v>0</v>
      </c>
      <c r="U22" s="138">
        <f t="shared" si="19"/>
        <v>0</v>
      </c>
      <c r="V22" s="138">
        <f t="shared" si="19"/>
        <v>0</v>
      </c>
      <c r="W22" s="138">
        <f t="shared" si="19"/>
        <v>0</v>
      </c>
      <c r="X22" s="138">
        <f t="shared" si="19"/>
        <v>0</v>
      </c>
      <c r="Y22" s="138">
        <f t="shared" si="19"/>
        <v>0</v>
      </c>
      <c r="Z22" s="138">
        <f t="shared" si="19"/>
        <v>0</v>
      </c>
      <c r="AA22" s="138">
        <f t="shared" si="19"/>
        <v>0</v>
      </c>
      <c r="AB22" s="138">
        <f t="shared" si="19"/>
        <v>0</v>
      </c>
      <c r="AC22" s="243"/>
      <c r="AE22" s="78">
        <v>19</v>
      </c>
      <c r="AF22" s="91" t="str">
        <f>IF(ISBLANK(STUD!B20)," ",STUD!B20)</f>
        <v xml:space="preserve"> </v>
      </c>
      <c r="AG22" s="91">
        <f t="shared" si="16"/>
        <v>0</v>
      </c>
      <c r="AH22" s="92">
        <f t="shared" si="6"/>
        <v>0</v>
      </c>
      <c r="AI22" s="88" t="str">
        <f t="shared" si="1"/>
        <v xml:space="preserve"> </v>
      </c>
      <c r="AJ22" s="53" t="str">
        <f>IF(AI22="","",IFERROR(IF(VLOOKUP(AI22,Programa!$AA$3:$AB$18,2,0)="","",VLOOKUP(AI22,Programa!$AA$3:$AB$18,2,0)),""))</f>
        <v/>
      </c>
      <c r="AK22" s="53" t="str">
        <f t="shared" si="2"/>
        <v xml:space="preserve"> </v>
      </c>
      <c r="AL22" s="53" t="str">
        <f>IF(AK22="","",IFERROR(IF(VLOOKUP(AK22,Programa!$AA$19:$AB$34,2,0)="","",VLOOKUP(AK22,Programa!$AA$19:$AB$34,2,0)),""))</f>
        <v/>
      </c>
      <c r="AM22" s="53" t="str">
        <f t="shared" si="3"/>
        <v xml:space="preserve"> </v>
      </c>
      <c r="AN22" s="53" t="str">
        <f>IF(AM22="","",IFERROR(IF(VLOOKUP(AM22,Programa!$AA$35:$AB$50,2,0)="","",VLOOKUP(AM22,Programa!$AA$35:$AB$50,2,0)),""))</f>
        <v/>
      </c>
      <c r="AP22" s="78">
        <v>19</v>
      </c>
      <c r="AQ22" s="91" t="str">
        <f>IF(ISBLANK(STUD!B20)," ",STUD!B20)</f>
        <v xml:space="preserve"> </v>
      </c>
      <c r="AR22" s="91">
        <f>IFERROR(VLOOKUP(AQ22,Lunes!$AF$4:$AG$31,2,0),0)</f>
        <v>0</v>
      </c>
      <c r="AS22" s="91">
        <f>IFERROR(VLOOKUP(AQ22,Martes!$AF$4:$AH$31,2,0),0)</f>
        <v>0</v>
      </c>
      <c r="AT22" s="91">
        <f>IFERROR(VLOOKUP(AQ22,Miercoles!$AF$4:$AG$31,2,0),0)</f>
        <v>0</v>
      </c>
      <c r="AU22" s="91">
        <f>IFERROR(VLOOKUP(AQ22,Jueves!$AF$4:$AG$26,2,0),0)</f>
        <v>0</v>
      </c>
      <c r="AV22" s="91">
        <f>IFERROR(VLOOKUP(AQ22,Viernes!$AF$4:$AG$31,2,0),0)</f>
        <v>0</v>
      </c>
      <c r="AW22" s="91">
        <f t="shared" si="17"/>
        <v>0</v>
      </c>
      <c r="AX22" s="91">
        <f t="shared" si="18"/>
        <v>0</v>
      </c>
      <c r="AY22" s="91">
        <f t="shared" si="8"/>
        <v>124.4</v>
      </c>
    </row>
    <row r="23" spans="1:51" ht="15.75" hidden="1" customHeight="1" x14ac:dyDescent="0.4">
      <c r="A23" s="252">
        <f>+A21+1</f>
        <v>10</v>
      </c>
      <c r="B23" s="253" t="str">
        <f>+STUD!B11</f>
        <v>PASASTE BANDIDO</v>
      </c>
      <c r="C23" s="244">
        <f>SUM(D24:AB24)</f>
        <v>0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12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243">
        <f>SUM(D24:AB24)</f>
        <v>0</v>
      </c>
      <c r="AE23" s="79">
        <v>20</v>
      </c>
      <c r="AF23" s="91" t="str">
        <f>IF(ISBLANK(STUD!B21)," ",STUD!B21)</f>
        <v xml:space="preserve"> </v>
      </c>
      <c r="AG23" s="91">
        <f t="shared" si="16"/>
        <v>0</v>
      </c>
      <c r="AH23" s="92">
        <f t="shared" si="6"/>
        <v>0</v>
      </c>
      <c r="AI23" s="88" t="str">
        <f t="shared" si="1"/>
        <v xml:space="preserve"> </v>
      </c>
      <c r="AJ23" s="53" t="str">
        <f>IF(AI23="","",IFERROR(IF(VLOOKUP(AI23,Programa!$AA$3:$AB$18,2,0)="","",VLOOKUP(AI23,Programa!$AA$3:$AB$18,2,0)),""))</f>
        <v/>
      </c>
      <c r="AK23" s="53" t="str">
        <f t="shared" si="2"/>
        <v xml:space="preserve"> </v>
      </c>
      <c r="AL23" s="53" t="str">
        <f>IF(AK23="","",IFERROR(IF(VLOOKUP(AK23,Programa!$AA$19:$AB$34,2,0)="","",VLOOKUP(AK23,Programa!$AA$19:$AB$34,2,0)),""))</f>
        <v/>
      </c>
      <c r="AM23" s="53" t="str">
        <f t="shared" si="3"/>
        <v xml:space="preserve"> </v>
      </c>
      <c r="AN23" s="53" t="str">
        <f>IF(AM23="","",IFERROR(IF(VLOOKUP(AM23,Programa!$AA$35:$AB$50,2,0)="","",VLOOKUP(AM23,Programa!$AA$35:$AB$50,2,0)),""))</f>
        <v/>
      </c>
      <c r="AP23" s="79">
        <v>20</v>
      </c>
      <c r="AQ23" s="91" t="str">
        <f>IF(ISBLANK(STUD!B21)," ",STUD!B21)</f>
        <v xml:space="preserve"> </v>
      </c>
      <c r="AR23" s="91">
        <f>IFERROR(VLOOKUP(AQ23,Lunes!$AF$4:$AG$31,2,0),0)</f>
        <v>0</v>
      </c>
      <c r="AS23" s="91">
        <f>IFERROR(VLOOKUP(AQ23,Martes!$AF$4:$AH$31,2,0),0)</f>
        <v>0</v>
      </c>
      <c r="AT23" s="91">
        <f>IFERROR(VLOOKUP(AQ23,Miercoles!$AF$4:$AG$31,2,0),0)</f>
        <v>0</v>
      </c>
      <c r="AU23" s="91">
        <f>IFERROR(VLOOKUP(AQ23,Jueves!$AF$4:$AG$26,2,0),0)</f>
        <v>0</v>
      </c>
      <c r="AV23" s="91">
        <f>IFERROR(VLOOKUP(AQ23,Viernes!$AF$4:$AG$31,2,0),0)</f>
        <v>0</v>
      </c>
      <c r="AW23" s="91">
        <f t="shared" si="17"/>
        <v>0</v>
      </c>
      <c r="AX23" s="91">
        <f t="shared" si="18"/>
        <v>0</v>
      </c>
      <c r="AY23" s="91">
        <f t="shared" si="8"/>
        <v>124.4</v>
      </c>
    </row>
    <row r="24" spans="1:51" ht="15.75" hidden="1" customHeight="1" x14ac:dyDescent="0.4">
      <c r="A24" s="242"/>
      <c r="B24" s="253"/>
      <c r="C24" s="245"/>
      <c r="D24" s="138">
        <f t="shared" ref="D24:AB24" si="20">IF(IFERROR(IF(VLOOKUP(D23,D$151:D$155,1,0)&gt;=1,D$150,0),D23)=D$132,D$136,IF(IFERROR(IF(VLOOKUP(D23,D$151:D$155,1,0)&gt;=1,D$150,0),D23)=D$139,D$142,IF(IFERROR(IF(VLOOKUP(D23,D$151:D$155,1,0)&gt;=1,D$150,0),D23)=D$145,D$147,0)))</f>
        <v>0</v>
      </c>
      <c r="E24" s="138">
        <f t="shared" si="20"/>
        <v>0</v>
      </c>
      <c r="F24" s="138">
        <f t="shared" si="20"/>
        <v>0</v>
      </c>
      <c r="G24" s="138">
        <f t="shared" si="20"/>
        <v>0</v>
      </c>
      <c r="H24" s="138">
        <f t="shared" si="20"/>
        <v>0</v>
      </c>
      <c r="I24" s="138">
        <f t="shared" si="20"/>
        <v>0</v>
      </c>
      <c r="J24" s="138">
        <f t="shared" si="20"/>
        <v>0</v>
      </c>
      <c r="K24" s="138">
        <f t="shared" si="20"/>
        <v>0</v>
      </c>
      <c r="L24" s="138">
        <f t="shared" si="20"/>
        <v>0</v>
      </c>
      <c r="M24" s="138">
        <f t="shared" si="20"/>
        <v>0</v>
      </c>
      <c r="N24" s="138">
        <f t="shared" si="20"/>
        <v>0</v>
      </c>
      <c r="O24" s="138">
        <f t="shared" si="20"/>
        <v>0</v>
      </c>
      <c r="P24" s="138">
        <f t="shared" si="20"/>
        <v>0</v>
      </c>
      <c r="Q24" s="138">
        <f t="shared" si="20"/>
        <v>0</v>
      </c>
      <c r="R24" s="138">
        <f t="shared" si="20"/>
        <v>0</v>
      </c>
      <c r="S24" s="138">
        <f t="shared" si="20"/>
        <v>0</v>
      </c>
      <c r="T24" s="138">
        <f t="shared" si="20"/>
        <v>0</v>
      </c>
      <c r="U24" s="138">
        <f t="shared" si="20"/>
        <v>0</v>
      </c>
      <c r="V24" s="138">
        <f t="shared" si="20"/>
        <v>0</v>
      </c>
      <c r="W24" s="138">
        <f t="shared" si="20"/>
        <v>0</v>
      </c>
      <c r="X24" s="138">
        <f t="shared" si="20"/>
        <v>0</v>
      </c>
      <c r="Y24" s="138">
        <f t="shared" si="20"/>
        <v>0</v>
      </c>
      <c r="Z24" s="138">
        <f t="shared" si="20"/>
        <v>0</v>
      </c>
      <c r="AA24" s="138">
        <f t="shared" si="20"/>
        <v>0</v>
      </c>
      <c r="AB24" s="138">
        <f t="shared" si="20"/>
        <v>0</v>
      </c>
      <c r="AC24" s="243"/>
      <c r="AE24" s="80">
        <v>21</v>
      </c>
      <c r="AF24" s="91" t="str">
        <f>IF(ISBLANK(STUD!B22)," ",STUD!B22)</f>
        <v xml:space="preserve"> </v>
      </c>
      <c r="AG24" s="91">
        <f t="shared" si="16"/>
        <v>0</v>
      </c>
      <c r="AH24" s="92">
        <f t="shared" si="6"/>
        <v>0</v>
      </c>
      <c r="AI24" s="88" t="str">
        <f t="shared" si="1"/>
        <v xml:space="preserve"> </v>
      </c>
      <c r="AJ24" s="53" t="str">
        <f>IF(AI24="","",IFERROR(IF(VLOOKUP(AI24,Programa!$AA$3:$AB$18,2,0)="","",VLOOKUP(AI24,Programa!$AA$3:$AB$18,2,0)),""))</f>
        <v/>
      </c>
      <c r="AK24" s="53" t="str">
        <f t="shared" si="2"/>
        <v xml:space="preserve"> </v>
      </c>
      <c r="AL24" s="53" t="str">
        <f>IF(AK24="","",IFERROR(IF(VLOOKUP(AK24,Programa!$AA$19:$AB$34,2,0)="","",VLOOKUP(AK24,Programa!$AA$19:$AB$34,2,0)),""))</f>
        <v/>
      </c>
      <c r="AM24" s="53" t="str">
        <f t="shared" si="3"/>
        <v xml:space="preserve"> </v>
      </c>
      <c r="AN24" s="53" t="str">
        <f>IF(AM24="","",IFERROR(IF(VLOOKUP(AM24,Programa!$AA$35:$AB$50,2,0)="","",VLOOKUP(AM24,Programa!$AA$35:$AB$50,2,0)),""))</f>
        <v/>
      </c>
      <c r="AP24" s="80">
        <v>21</v>
      </c>
      <c r="AQ24" s="91" t="str">
        <f>IF(ISBLANK(STUD!B22)," ",STUD!B22)</f>
        <v xml:space="preserve"> </v>
      </c>
      <c r="AR24" s="91">
        <f>IFERROR(VLOOKUP(AQ24,Lunes!$AF$4:$AG$31,2,0),0)</f>
        <v>0</v>
      </c>
      <c r="AS24" s="91">
        <f>IFERROR(VLOOKUP(AQ24,Martes!$AF$4:$AH$31,2,0),0)</f>
        <v>0</v>
      </c>
      <c r="AT24" s="91">
        <f>IFERROR(VLOOKUP(AQ24,Miercoles!$AF$4:$AG$31,2,0),0)</f>
        <v>0</v>
      </c>
      <c r="AU24" s="91">
        <f>IFERROR(VLOOKUP(AQ24,Jueves!$AF$4:$AG$26,2,0),0)</f>
        <v>0</v>
      </c>
      <c r="AV24" s="91">
        <f>IFERROR(VLOOKUP(AQ24,Viernes!$AF$4:$AG$31,2,0),0)</f>
        <v>0</v>
      </c>
      <c r="AW24" s="91">
        <f t="shared" si="17"/>
        <v>0</v>
      </c>
      <c r="AX24" s="91">
        <f t="shared" si="18"/>
        <v>0</v>
      </c>
      <c r="AY24" s="91">
        <f t="shared" si="8"/>
        <v>124.4</v>
      </c>
    </row>
    <row r="25" spans="1:51" ht="15.75" hidden="1" customHeight="1" x14ac:dyDescent="0.4">
      <c r="A25" s="252">
        <f>+A23+1</f>
        <v>11</v>
      </c>
      <c r="B25" s="253">
        <f>+STUD!B12</f>
        <v>0</v>
      </c>
      <c r="C25" s="244">
        <f>SUM(D26:AB26)</f>
        <v>0</v>
      </c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243">
        <f>SUM(D26:AB26)</f>
        <v>0</v>
      </c>
      <c r="AE25" s="81">
        <v>22</v>
      </c>
      <c r="AF25" s="91" t="str">
        <f>IF(ISBLANK(STUD!B23)," ",STUD!B23)</f>
        <v xml:space="preserve"> </v>
      </c>
      <c r="AG25" s="91">
        <f t="shared" si="16"/>
        <v>0</v>
      </c>
      <c r="AH25" s="92">
        <f t="shared" si="6"/>
        <v>0</v>
      </c>
      <c r="AI25" s="88" t="str">
        <f t="shared" si="1"/>
        <v xml:space="preserve"> </v>
      </c>
      <c r="AJ25" s="53" t="str">
        <f>IF(AI25="","",IFERROR(IF(VLOOKUP(AI25,Programa!$AA$3:$AB$18,2,0)="","",VLOOKUP(AI25,Programa!$AA$3:$AB$18,2,0)),""))</f>
        <v/>
      </c>
      <c r="AK25" s="53" t="str">
        <f t="shared" si="2"/>
        <v xml:space="preserve"> </v>
      </c>
      <c r="AL25" s="53" t="str">
        <f>IF(AK25="","",IFERROR(IF(VLOOKUP(AK25,Programa!$AA$19:$AB$34,2,0)="","",VLOOKUP(AK25,Programa!$AA$19:$AB$34,2,0)),""))</f>
        <v/>
      </c>
      <c r="AM25" s="53" t="str">
        <f t="shared" si="3"/>
        <v xml:space="preserve"> </v>
      </c>
      <c r="AN25" s="53" t="str">
        <f>IF(AM25="","",IFERROR(IF(VLOOKUP(AM25,Programa!$AA$35:$AB$50,2,0)="","",VLOOKUP(AM25,Programa!$AA$35:$AB$50,2,0)),""))</f>
        <v/>
      </c>
      <c r="AP25" s="81">
        <v>22</v>
      </c>
      <c r="AQ25" s="91" t="str">
        <f>IF(ISBLANK(STUD!B23)," ",STUD!B23)</f>
        <v xml:space="preserve"> </v>
      </c>
      <c r="AR25" s="91">
        <f>IFERROR(VLOOKUP(AQ25,Lunes!$AF$4:$AG$31,2,0),0)</f>
        <v>0</v>
      </c>
      <c r="AS25" s="91">
        <f>IFERROR(VLOOKUP(AQ25,Martes!$AF$4:$AH$31,2,0),0)</f>
        <v>0</v>
      </c>
      <c r="AT25" s="91">
        <f>IFERROR(VLOOKUP(AQ25,Miercoles!$AF$4:$AG$31,2,0),0)</f>
        <v>0</v>
      </c>
      <c r="AU25" s="91">
        <f>IFERROR(VLOOKUP(AQ25,Jueves!$AF$4:$AG$26,2,0),0)</f>
        <v>0</v>
      </c>
      <c r="AV25" s="91">
        <f>IFERROR(VLOOKUP(AQ25,Viernes!$AF$4:$AG$31,2,0),0)</f>
        <v>0</v>
      </c>
      <c r="AW25" s="91">
        <f t="shared" si="17"/>
        <v>0</v>
      </c>
      <c r="AX25" s="91">
        <f t="shared" si="18"/>
        <v>0</v>
      </c>
      <c r="AY25" s="91">
        <f t="shared" si="8"/>
        <v>124.4</v>
      </c>
    </row>
    <row r="26" spans="1:51" ht="15.75" hidden="1" customHeight="1" x14ac:dyDescent="0.4">
      <c r="A26" s="242"/>
      <c r="B26" s="253"/>
      <c r="C26" s="245"/>
      <c r="D26" s="138">
        <f t="shared" ref="D26:AB26" si="21">IF(IFERROR(IF(VLOOKUP(D25,D$151:D$155,1,0)&gt;=1,D$150,0),D25)=D$132,D$136,IF(IFERROR(IF(VLOOKUP(D25,D$151:D$155,1,0)&gt;=1,D$150,0),D25)=D$139,D$142,IF(IFERROR(IF(VLOOKUP(D25,D$151:D$155,1,0)&gt;=1,D$150,0),D25)=D$145,D$147,0)))</f>
        <v>0</v>
      </c>
      <c r="E26" s="138">
        <f t="shared" si="21"/>
        <v>0</v>
      </c>
      <c r="F26" s="138">
        <f t="shared" si="21"/>
        <v>0</v>
      </c>
      <c r="G26" s="138">
        <f t="shared" si="21"/>
        <v>0</v>
      </c>
      <c r="H26" s="138">
        <f t="shared" si="21"/>
        <v>0</v>
      </c>
      <c r="I26" s="138">
        <f t="shared" si="21"/>
        <v>0</v>
      </c>
      <c r="J26" s="138">
        <f t="shared" si="21"/>
        <v>0</v>
      </c>
      <c r="K26" s="138">
        <f t="shared" si="21"/>
        <v>0</v>
      </c>
      <c r="L26" s="138">
        <f t="shared" si="21"/>
        <v>0</v>
      </c>
      <c r="M26" s="138">
        <f t="shared" si="21"/>
        <v>0</v>
      </c>
      <c r="N26" s="138">
        <f t="shared" si="21"/>
        <v>0</v>
      </c>
      <c r="O26" s="138">
        <f t="shared" si="21"/>
        <v>0</v>
      </c>
      <c r="P26" s="138">
        <f t="shared" si="21"/>
        <v>0</v>
      </c>
      <c r="Q26" s="138">
        <f t="shared" si="21"/>
        <v>0</v>
      </c>
      <c r="R26" s="138">
        <f t="shared" si="21"/>
        <v>0</v>
      </c>
      <c r="S26" s="138">
        <f t="shared" si="21"/>
        <v>0</v>
      </c>
      <c r="T26" s="138">
        <f t="shared" si="21"/>
        <v>0</v>
      </c>
      <c r="U26" s="138">
        <f t="shared" si="21"/>
        <v>0</v>
      </c>
      <c r="V26" s="138">
        <f t="shared" si="21"/>
        <v>0</v>
      </c>
      <c r="W26" s="138">
        <f t="shared" si="21"/>
        <v>0</v>
      </c>
      <c r="X26" s="138">
        <f t="shared" si="21"/>
        <v>0</v>
      </c>
      <c r="Y26" s="138">
        <f t="shared" si="21"/>
        <v>0</v>
      </c>
      <c r="Z26" s="138">
        <f t="shared" si="21"/>
        <v>0</v>
      </c>
      <c r="AA26" s="138">
        <f t="shared" si="21"/>
        <v>0</v>
      </c>
      <c r="AB26" s="138">
        <f t="shared" si="21"/>
        <v>0</v>
      </c>
      <c r="AC26" s="243"/>
      <c r="AE26" s="82">
        <v>23</v>
      </c>
      <c r="AF26" s="91" t="str">
        <f>IF(ISBLANK(STUD!B24)," ",STUD!B24)</f>
        <v xml:space="preserve"> </v>
      </c>
      <c r="AG26" s="91">
        <f t="shared" si="16"/>
        <v>0</v>
      </c>
      <c r="AH26" s="92">
        <f t="shared" si="6"/>
        <v>0</v>
      </c>
      <c r="AI26" s="88" t="str">
        <f t="shared" si="1"/>
        <v xml:space="preserve"> </v>
      </c>
      <c r="AJ26" s="53" t="str">
        <f>IF(AI26="","",IFERROR(IF(VLOOKUP(AI26,Programa!$AA$3:$AB$18,2,0)="","",VLOOKUP(AI26,Programa!$AA$3:$AB$18,2,0)),""))</f>
        <v/>
      </c>
      <c r="AK26" s="53" t="str">
        <f t="shared" si="2"/>
        <v xml:space="preserve"> </v>
      </c>
      <c r="AL26" s="53" t="str">
        <f>IF(AK26="","",IFERROR(IF(VLOOKUP(AK26,Programa!$AA$19:$AB$34,2,0)="","",VLOOKUP(AK26,Programa!$AA$19:$AB$34,2,0)),""))</f>
        <v/>
      </c>
      <c r="AM26" s="53" t="str">
        <f t="shared" si="3"/>
        <v xml:space="preserve"> </v>
      </c>
      <c r="AN26" s="53" t="str">
        <f>IF(AM26="","",IFERROR(IF(VLOOKUP(AM26,Programa!$AA$35:$AB$50,2,0)="","",VLOOKUP(AM26,Programa!$AA$35:$AB$50,2,0)),""))</f>
        <v/>
      </c>
      <c r="AP26" s="82">
        <v>23</v>
      </c>
      <c r="AQ26" s="91" t="str">
        <f>IF(ISBLANK(STUD!B24)," ",STUD!B24)</f>
        <v xml:space="preserve"> </v>
      </c>
      <c r="AR26" s="91">
        <f>IFERROR(VLOOKUP(AQ26,Lunes!$AF$4:$AG$31,2,0),0)</f>
        <v>0</v>
      </c>
      <c r="AS26" s="91">
        <f>IFERROR(VLOOKUP(AQ26,Martes!$AF$4:$AH$31,2,0),0)</f>
        <v>0</v>
      </c>
      <c r="AT26" s="91">
        <f>IFERROR(VLOOKUP(AQ26,Miercoles!$AF$4:$AG$31,2,0),0)</f>
        <v>0</v>
      </c>
      <c r="AU26" s="91">
        <f>IFERROR(VLOOKUP(AQ26,Jueves!$AF$4:$AG$26,2,0),0)</f>
        <v>0</v>
      </c>
      <c r="AV26" s="91">
        <f>IFERROR(VLOOKUP(AQ26,Viernes!$AF$4:$AG$31,2,0),0)</f>
        <v>0</v>
      </c>
      <c r="AW26" s="91">
        <f t="shared" si="17"/>
        <v>0</v>
      </c>
      <c r="AX26" s="91">
        <f t="shared" si="18"/>
        <v>0</v>
      </c>
      <c r="AY26" s="91">
        <f t="shared" si="8"/>
        <v>124.4</v>
      </c>
    </row>
    <row r="27" spans="1:51" ht="15.75" hidden="1" customHeight="1" x14ac:dyDescent="0.4">
      <c r="A27" s="252">
        <f>+A25+1</f>
        <v>12</v>
      </c>
      <c r="B27" s="253">
        <f>+STUD!B13</f>
        <v>0</v>
      </c>
      <c r="C27" s="244">
        <f>SUM(D28:AB28)</f>
        <v>0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243">
        <f>SUM(D28:AB28)</f>
        <v>0</v>
      </c>
      <c r="AE27" s="83">
        <v>24</v>
      </c>
      <c r="AF27" s="91" t="str">
        <f>IF(ISBLANK(STUD!B25)," ",STUD!B25)</f>
        <v xml:space="preserve"> </v>
      </c>
      <c r="AG27" s="91">
        <f t="shared" si="16"/>
        <v>0</v>
      </c>
      <c r="AH27" s="92">
        <f t="shared" si="6"/>
        <v>0</v>
      </c>
      <c r="AI27" s="88" t="str">
        <f t="shared" si="1"/>
        <v xml:space="preserve"> </v>
      </c>
      <c r="AJ27" s="53" t="str">
        <f>IF(AI27="","",IFERROR(IF(VLOOKUP(AI27,Programa!$AA$3:$AB$18,2,0)="","",VLOOKUP(AI27,Programa!$AA$3:$AB$18,2,0)),""))</f>
        <v/>
      </c>
      <c r="AK27" s="53" t="str">
        <f t="shared" si="2"/>
        <v xml:space="preserve"> </v>
      </c>
      <c r="AL27" s="53" t="str">
        <f>IF(AK27="","",IFERROR(IF(VLOOKUP(AK27,Programa!$AA$19:$AB$34,2,0)="","",VLOOKUP(AK27,Programa!$AA$19:$AB$34,2,0)),""))</f>
        <v/>
      </c>
      <c r="AM27" s="53" t="str">
        <f t="shared" si="3"/>
        <v xml:space="preserve"> </v>
      </c>
      <c r="AN27" s="53" t="str">
        <f>IF(AM27="","",IFERROR(IF(VLOOKUP(AM27,Programa!$AA$35:$AB$50,2,0)="","",VLOOKUP(AM27,Programa!$AA$35:$AB$50,2,0)),""))</f>
        <v/>
      </c>
      <c r="AP27" s="83">
        <v>24</v>
      </c>
      <c r="AQ27" s="91" t="str">
        <f>IF(ISBLANK(STUD!B25)," ",STUD!B25)</f>
        <v xml:space="preserve"> </v>
      </c>
      <c r="AR27" s="91">
        <f>IFERROR(VLOOKUP(AQ27,Lunes!$AF$4:$AG$31,2,0),0)</f>
        <v>0</v>
      </c>
      <c r="AS27" s="91">
        <f>IFERROR(VLOOKUP(AQ27,Martes!$AF$4:$AH$31,2,0),0)</f>
        <v>0</v>
      </c>
      <c r="AT27" s="91">
        <f>IFERROR(VLOOKUP(AQ27,Miercoles!$AF$4:$AG$31,2,0),0)</f>
        <v>0</v>
      </c>
      <c r="AU27" s="91">
        <f>IFERROR(VLOOKUP(AQ27,Jueves!$AF$4:$AG$26,2,0),0)</f>
        <v>0</v>
      </c>
      <c r="AV27" s="91">
        <f>IFERROR(VLOOKUP(AQ27,Viernes!$AF$4:$AG$31,2,0),0)</f>
        <v>0</v>
      </c>
      <c r="AW27" s="91">
        <f t="shared" si="17"/>
        <v>0</v>
      </c>
      <c r="AX27" s="91">
        <f t="shared" si="18"/>
        <v>0</v>
      </c>
      <c r="AY27" s="91">
        <f t="shared" si="8"/>
        <v>124.4</v>
      </c>
    </row>
    <row r="28" spans="1:51" ht="15.75" hidden="1" customHeight="1" x14ac:dyDescent="0.4">
      <c r="A28" s="242"/>
      <c r="B28" s="253"/>
      <c r="C28" s="245"/>
      <c r="D28" s="138">
        <f t="shared" ref="D28:AB28" si="22">IF(IFERROR(IF(VLOOKUP(D27,D$151:D$155,1,0)&gt;=1,D$150,0),D27)=D$132,D$136,IF(IFERROR(IF(VLOOKUP(D27,D$151:D$155,1,0)&gt;=1,D$150,0),D27)=D$139,D$142,IF(IFERROR(IF(VLOOKUP(D27,D$151:D$155,1,0)&gt;=1,D$150,0),D27)=D$145,D$147,0)))</f>
        <v>0</v>
      </c>
      <c r="E28" s="138">
        <f t="shared" si="22"/>
        <v>0</v>
      </c>
      <c r="F28" s="138">
        <f t="shared" si="22"/>
        <v>0</v>
      </c>
      <c r="G28" s="138">
        <f t="shared" si="22"/>
        <v>0</v>
      </c>
      <c r="H28" s="138">
        <f t="shared" si="22"/>
        <v>0</v>
      </c>
      <c r="I28" s="138">
        <f t="shared" si="22"/>
        <v>0</v>
      </c>
      <c r="J28" s="138">
        <f t="shared" si="22"/>
        <v>0</v>
      </c>
      <c r="K28" s="138">
        <f t="shared" si="22"/>
        <v>0</v>
      </c>
      <c r="L28" s="138">
        <f t="shared" si="22"/>
        <v>0</v>
      </c>
      <c r="M28" s="138">
        <f t="shared" si="22"/>
        <v>0</v>
      </c>
      <c r="N28" s="138">
        <f t="shared" si="22"/>
        <v>0</v>
      </c>
      <c r="O28" s="138">
        <f t="shared" si="22"/>
        <v>0</v>
      </c>
      <c r="P28" s="138">
        <f t="shared" si="22"/>
        <v>0</v>
      </c>
      <c r="Q28" s="138">
        <f t="shared" si="22"/>
        <v>0</v>
      </c>
      <c r="R28" s="138">
        <f t="shared" si="22"/>
        <v>0</v>
      </c>
      <c r="S28" s="138">
        <f t="shared" si="22"/>
        <v>0</v>
      </c>
      <c r="T28" s="138">
        <f t="shared" si="22"/>
        <v>0</v>
      </c>
      <c r="U28" s="138">
        <f t="shared" si="22"/>
        <v>0</v>
      </c>
      <c r="V28" s="138">
        <f t="shared" si="22"/>
        <v>0</v>
      </c>
      <c r="W28" s="138">
        <f t="shared" si="22"/>
        <v>0</v>
      </c>
      <c r="X28" s="138">
        <f t="shared" si="22"/>
        <v>0</v>
      </c>
      <c r="Y28" s="138">
        <f t="shared" si="22"/>
        <v>0</v>
      </c>
      <c r="Z28" s="138">
        <f t="shared" si="22"/>
        <v>0</v>
      </c>
      <c r="AA28" s="138">
        <f t="shared" si="22"/>
        <v>0</v>
      </c>
      <c r="AB28" s="138">
        <f t="shared" si="22"/>
        <v>0</v>
      </c>
      <c r="AC28" s="243"/>
      <c r="AE28" s="84">
        <v>25</v>
      </c>
      <c r="AF28" s="91" t="str">
        <f>IF(ISBLANK(STUD!B26)," ",STUD!B26)</f>
        <v xml:space="preserve"> </v>
      </c>
      <c r="AG28" s="91">
        <f t="shared" si="16"/>
        <v>0</v>
      </c>
      <c r="AH28" s="92">
        <f t="shared" si="6"/>
        <v>0</v>
      </c>
      <c r="AI28" s="88" t="str">
        <f t="shared" si="1"/>
        <v xml:space="preserve"> </v>
      </c>
      <c r="AJ28" s="53" t="str">
        <f>IF(AI28="","",IFERROR(IF(VLOOKUP(AI28,Programa!$AA$3:$AB$18,2,0)="","",VLOOKUP(AI28,Programa!$AA$3:$AB$18,2,0)),""))</f>
        <v/>
      </c>
      <c r="AK28" s="53" t="str">
        <f t="shared" si="2"/>
        <v xml:space="preserve"> </v>
      </c>
      <c r="AL28" s="53" t="str">
        <f>IF(AK28="","",IFERROR(IF(VLOOKUP(AK28,Programa!$AA$19:$AB$34,2,0)="","",VLOOKUP(AK28,Programa!$AA$19:$AB$34,2,0)),""))</f>
        <v/>
      </c>
      <c r="AM28" s="53" t="str">
        <f t="shared" si="3"/>
        <v xml:space="preserve"> </v>
      </c>
      <c r="AN28" s="53" t="str">
        <f>IF(AM28="","",IFERROR(IF(VLOOKUP(AM28,Programa!$AA$35:$AB$50,2,0)="","",VLOOKUP(AM28,Programa!$AA$35:$AB$50,2,0)),""))</f>
        <v/>
      </c>
      <c r="AP28" s="84">
        <v>25</v>
      </c>
      <c r="AQ28" s="91" t="str">
        <f>IF(ISBLANK(STUD!B26)," ",STUD!B26)</f>
        <v xml:space="preserve"> </v>
      </c>
      <c r="AR28" s="91">
        <f>IFERROR(VLOOKUP(AQ28,Lunes!$AF$4:$AG$31,2,0),0)</f>
        <v>0</v>
      </c>
      <c r="AS28" s="91">
        <f>IFERROR(VLOOKUP(AQ28,Martes!$AF$4:$AH$31,2,0),0)</f>
        <v>0</v>
      </c>
      <c r="AT28" s="91">
        <f>IFERROR(VLOOKUP(AQ28,Miercoles!$AF$4:$AG$31,2,0),0)</f>
        <v>0</v>
      </c>
      <c r="AU28" s="91">
        <f>IFERROR(VLOOKUP(AQ28,Jueves!$AF$4:$AG$26,2,0),0)</f>
        <v>0</v>
      </c>
      <c r="AV28" s="91">
        <f>IFERROR(VLOOKUP(AQ28,Viernes!$AF$4:$AG$31,2,0),0)</f>
        <v>0</v>
      </c>
      <c r="AW28" s="91">
        <f t="shared" si="17"/>
        <v>0</v>
      </c>
      <c r="AX28" s="91">
        <f t="shared" si="18"/>
        <v>0</v>
      </c>
      <c r="AY28" s="91">
        <f t="shared" si="8"/>
        <v>124.4</v>
      </c>
    </row>
    <row r="29" spans="1:51" ht="15.75" hidden="1" customHeight="1" x14ac:dyDescent="0.4">
      <c r="A29" s="252">
        <f>+A27+1</f>
        <v>13</v>
      </c>
      <c r="B29" s="253">
        <f>+STUD!B14</f>
        <v>0</v>
      </c>
      <c r="C29" s="244">
        <f>SUM(D30:AB30)</f>
        <v>0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09"/>
      <c r="W29" s="109"/>
      <c r="X29" s="109"/>
      <c r="Y29" s="109"/>
      <c r="Z29" s="111"/>
      <c r="AA29" s="111"/>
      <c r="AB29" s="111"/>
      <c r="AC29" s="243">
        <f>SUM(D30:AB30)</f>
        <v>0</v>
      </c>
      <c r="AE29" s="85">
        <v>26</v>
      </c>
      <c r="AF29" s="91" t="str">
        <f>IF(ISBLANK(STUD!B27)," ",STUD!B27)</f>
        <v xml:space="preserve"> </v>
      </c>
      <c r="AG29" s="91">
        <f t="shared" ref="AG29:AG31" si="23">IFERROR(VLOOKUP(AF29,$B$5:$C$68,2,0),0)</f>
        <v>0</v>
      </c>
      <c r="AH29" s="92">
        <f t="shared" si="6"/>
        <v>0</v>
      </c>
      <c r="AI29" s="88" t="str">
        <f t="shared" si="1"/>
        <v xml:space="preserve"> </v>
      </c>
      <c r="AJ29" s="53" t="str">
        <f>IF(AI29="","",IFERROR(IF(VLOOKUP(AI29,Programa!$AA$3:$AB$18,2,0)="","",VLOOKUP(AI29,Programa!$AA$3:$AB$18,2,0)),""))</f>
        <v/>
      </c>
      <c r="AK29" s="53" t="str">
        <f t="shared" si="2"/>
        <v xml:space="preserve"> </v>
      </c>
      <c r="AL29" s="53" t="str">
        <f>IF(AK29="","",IFERROR(IF(VLOOKUP(AK29,Programa!$AA$19:$AB$34,2,0)="","",VLOOKUP(AK29,Programa!$AA$19:$AB$34,2,0)),""))</f>
        <v/>
      </c>
      <c r="AM29" s="53" t="str">
        <f t="shared" si="3"/>
        <v xml:space="preserve"> </v>
      </c>
      <c r="AN29" s="53" t="str">
        <f>IF(AM29="","",IFERROR(IF(VLOOKUP(AM29,Programa!$AA$35:$AB$50,2,0)="","",VLOOKUP(AM29,Programa!$AA$35:$AB$50,2,0)),""))</f>
        <v/>
      </c>
      <c r="AP29" s="85">
        <v>26</v>
      </c>
      <c r="AQ29" s="91" t="str">
        <f>IF(ISBLANK(STUD!B27)," ",STUD!B27)</f>
        <v xml:space="preserve"> </v>
      </c>
      <c r="AR29" s="91">
        <f>IFERROR(VLOOKUP(AQ29,Lunes!$AF$4:$AG$31,2,0),0)</f>
        <v>0</v>
      </c>
      <c r="AS29" s="91">
        <f>IFERROR(VLOOKUP(AQ29,Martes!$AF$4:$AH$31,2,0),0)</f>
        <v>0</v>
      </c>
      <c r="AT29" s="91">
        <f>IFERROR(VLOOKUP(AQ29,Miercoles!$AF$4:$AG$31,2,0),0)</f>
        <v>0</v>
      </c>
      <c r="AU29" s="91">
        <f>IFERROR(VLOOKUP(AQ29,Jueves!$AF$4:$AG$26,2,0),0)</f>
        <v>0</v>
      </c>
      <c r="AV29" s="91">
        <f>IFERROR(VLOOKUP(AQ29,Viernes!$AF$4:$AG$31,2,0),0)</f>
        <v>0</v>
      </c>
      <c r="AW29" s="91">
        <f t="shared" ref="AW29:AW31" si="24">IFERROR(VLOOKUP(AQ29,$B$5:$C$68,2,0),0)</f>
        <v>0</v>
      </c>
      <c r="AX29" s="91">
        <f t="shared" ref="AX29:AX31" si="25">SUM(AR29:AW29)</f>
        <v>0</v>
      </c>
      <c r="AY29" s="91">
        <f t="shared" si="8"/>
        <v>124.4</v>
      </c>
    </row>
    <row r="30" spans="1:51" ht="15.75" hidden="1" customHeight="1" x14ac:dyDescent="0.4">
      <c r="A30" s="242"/>
      <c r="B30" s="253"/>
      <c r="C30" s="245"/>
      <c r="D30" s="108">
        <f t="shared" ref="D30:AB30" si="26">IF(IFERROR(IF(VLOOKUP(D29,D$151:D$155,1,0)&gt;=1,D$150,0),D29)=D$132,D$136,IF(IFERROR(IF(VLOOKUP(D29,D$151:D$155,1,0)&gt;=1,D$150,0),D29)=D$139,D$142,IF(IFERROR(IF(VLOOKUP(D29,D$151:D$155,1,0)&gt;=1,D$150,0),D29)=D$145,D$147,0)))</f>
        <v>0</v>
      </c>
      <c r="E30" s="108">
        <f t="shared" si="26"/>
        <v>0</v>
      </c>
      <c r="F30" s="108">
        <f t="shared" si="26"/>
        <v>0</v>
      </c>
      <c r="G30" s="108">
        <f t="shared" si="26"/>
        <v>0</v>
      </c>
      <c r="H30" s="108">
        <f t="shared" si="26"/>
        <v>0</v>
      </c>
      <c r="I30" s="108">
        <f t="shared" si="26"/>
        <v>0</v>
      </c>
      <c r="J30" s="108">
        <f t="shared" si="26"/>
        <v>0</v>
      </c>
      <c r="K30" s="108">
        <f t="shared" si="26"/>
        <v>0</v>
      </c>
      <c r="L30" s="108">
        <f t="shared" si="26"/>
        <v>0</v>
      </c>
      <c r="M30" s="108">
        <f t="shared" si="26"/>
        <v>0</v>
      </c>
      <c r="N30" s="108">
        <f t="shared" si="26"/>
        <v>0</v>
      </c>
      <c r="O30" s="108">
        <f t="shared" si="26"/>
        <v>0</v>
      </c>
      <c r="P30" s="108">
        <f t="shared" si="26"/>
        <v>0</v>
      </c>
      <c r="Q30" s="108">
        <f t="shared" si="26"/>
        <v>0</v>
      </c>
      <c r="R30" s="108">
        <f t="shared" si="26"/>
        <v>0</v>
      </c>
      <c r="S30" s="108">
        <f t="shared" si="26"/>
        <v>0</v>
      </c>
      <c r="T30" s="108">
        <f t="shared" si="26"/>
        <v>0</v>
      </c>
      <c r="U30" s="108">
        <f t="shared" si="26"/>
        <v>0</v>
      </c>
      <c r="V30" s="108">
        <f t="shared" si="26"/>
        <v>0</v>
      </c>
      <c r="W30" s="108">
        <f t="shared" si="26"/>
        <v>0</v>
      </c>
      <c r="X30" s="108">
        <f t="shared" si="26"/>
        <v>0</v>
      </c>
      <c r="Y30" s="108">
        <f t="shared" si="26"/>
        <v>0</v>
      </c>
      <c r="Z30" s="108">
        <f t="shared" si="26"/>
        <v>0</v>
      </c>
      <c r="AA30" s="108">
        <f t="shared" si="26"/>
        <v>0</v>
      </c>
      <c r="AB30" s="108">
        <f t="shared" si="26"/>
        <v>0</v>
      </c>
      <c r="AC30" s="243"/>
      <c r="AE30" s="86">
        <v>27</v>
      </c>
      <c r="AF30" s="91" t="str">
        <f>IF(ISBLANK(STUD!B28)," ",STUD!B28)</f>
        <v xml:space="preserve"> </v>
      </c>
      <c r="AG30" s="91">
        <f t="shared" si="23"/>
        <v>0</v>
      </c>
      <c r="AH30" s="92">
        <f t="shared" si="6"/>
        <v>0</v>
      </c>
      <c r="AI30" s="88" t="str">
        <f t="shared" si="1"/>
        <v xml:space="preserve"> </v>
      </c>
      <c r="AJ30" s="53" t="str">
        <f>IF(AI30="","",IFERROR(IF(VLOOKUP(AI30,Programa!$AA$3:$AB$18,2,0)="","",VLOOKUP(AI30,Programa!$AA$3:$AB$18,2,0)),""))</f>
        <v/>
      </c>
      <c r="AK30" s="53" t="str">
        <f t="shared" si="2"/>
        <v xml:space="preserve"> </v>
      </c>
      <c r="AL30" s="53" t="str">
        <f>IF(AK30="","",IFERROR(IF(VLOOKUP(AK30,Programa!$AA$19:$AB$34,2,0)="","",VLOOKUP(AK30,Programa!$AA$19:$AB$34,2,0)),""))</f>
        <v/>
      </c>
      <c r="AM30" s="53" t="str">
        <f t="shared" si="3"/>
        <v xml:space="preserve"> </v>
      </c>
      <c r="AN30" s="53" t="str">
        <f>IF(AM30="","",IFERROR(IF(VLOOKUP(AM30,Programa!$AA$35:$AB$50,2,0)="","",VLOOKUP(AM30,Programa!$AA$35:$AB$50,2,0)),""))</f>
        <v/>
      </c>
      <c r="AP30" s="86">
        <v>27</v>
      </c>
      <c r="AQ30" s="91" t="str">
        <f>IF(ISBLANK(STUD!B28)," ",STUD!B28)</f>
        <v xml:space="preserve"> </v>
      </c>
      <c r="AR30" s="91">
        <f>IFERROR(VLOOKUP(AQ30,Lunes!$AF$4:$AG$31,2,0),0)</f>
        <v>0</v>
      </c>
      <c r="AS30" s="91">
        <f>IFERROR(VLOOKUP(AQ30,Martes!$AF$4:$AH$31,2,0),0)</f>
        <v>0</v>
      </c>
      <c r="AT30" s="91">
        <f>IFERROR(VLOOKUP(AQ30,Miercoles!$AF$4:$AG$31,2,0),0)</f>
        <v>0</v>
      </c>
      <c r="AU30" s="91">
        <f>IFERROR(VLOOKUP(AQ30,Jueves!$AF$4:$AG$26,2,0),0)</f>
        <v>0</v>
      </c>
      <c r="AV30" s="91">
        <f>IFERROR(VLOOKUP(AQ30,Viernes!$AF$4:$AG$31,2,0),0)</f>
        <v>0</v>
      </c>
      <c r="AW30" s="91">
        <f t="shared" si="24"/>
        <v>0</v>
      </c>
      <c r="AX30" s="91">
        <f t="shared" si="25"/>
        <v>0</v>
      </c>
      <c r="AY30" s="91">
        <f t="shared" si="8"/>
        <v>124.4</v>
      </c>
    </row>
    <row r="31" spans="1:51" ht="15.75" hidden="1" customHeight="1" x14ac:dyDescent="0.4">
      <c r="A31" s="252">
        <f>+A29+1</f>
        <v>14</v>
      </c>
      <c r="B31" s="253">
        <f>+STUD!B15</f>
        <v>0</v>
      </c>
      <c r="C31" s="244">
        <f>SUM(D32:AB32)</f>
        <v>0</v>
      </c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09"/>
      <c r="W31" s="109"/>
      <c r="X31" s="109"/>
      <c r="Y31" s="109"/>
      <c r="Z31" s="111"/>
      <c r="AA31" s="111"/>
      <c r="AB31" s="111"/>
      <c r="AC31" s="243">
        <f>SUM(D32:AB32)</f>
        <v>0</v>
      </c>
      <c r="AE31" s="87">
        <v>28</v>
      </c>
      <c r="AF31" s="91" t="str">
        <f>IF(ISBLANK(STUD!B29)," ",STUD!B29)</f>
        <v xml:space="preserve"> </v>
      </c>
      <c r="AG31" s="91">
        <f t="shared" si="23"/>
        <v>0</v>
      </c>
      <c r="AH31" s="92">
        <f t="shared" si="6"/>
        <v>0</v>
      </c>
      <c r="AI31" s="88" t="str">
        <f t="shared" si="1"/>
        <v xml:space="preserve"> </v>
      </c>
      <c r="AJ31" s="53" t="str">
        <f>IF(AI31="","",IFERROR(IF(VLOOKUP(AI31,Programa!$AA$3:$AB$18,2,0)="","",VLOOKUP(AI31,Programa!$AA$3:$AB$18,2,0)),""))</f>
        <v/>
      </c>
      <c r="AK31" s="53" t="str">
        <f t="shared" si="2"/>
        <v xml:space="preserve"> </v>
      </c>
      <c r="AL31" s="53" t="str">
        <f>IF(AK31="","",IFERROR(IF(VLOOKUP(AK31,Programa!$AA$19:$AB$34,2,0)="","",VLOOKUP(AK31,Programa!$AA$19:$AB$34,2,0)),""))</f>
        <v/>
      </c>
      <c r="AM31" s="53" t="str">
        <f t="shared" si="3"/>
        <v xml:space="preserve"> </v>
      </c>
      <c r="AN31" s="53" t="str">
        <f>IF(AM31="","",IFERROR(IF(VLOOKUP(AM31,Programa!$AA$35:$AB$50,2,0)="","",VLOOKUP(AM31,Programa!$AA$35:$AB$50,2,0)),""))</f>
        <v/>
      </c>
      <c r="AP31" s="87">
        <v>28</v>
      </c>
      <c r="AQ31" s="91" t="str">
        <f>IF(ISBLANK(STUD!B29)," ",STUD!B29)</f>
        <v xml:space="preserve"> </v>
      </c>
      <c r="AR31" s="91">
        <f>IFERROR(VLOOKUP(AQ31,Lunes!$AF$4:$AG$31,2,0),0)</f>
        <v>0</v>
      </c>
      <c r="AS31" s="91">
        <f>IFERROR(VLOOKUP(AQ31,Martes!$AF$4:$AH$31,2,0),0)</f>
        <v>0</v>
      </c>
      <c r="AT31" s="91">
        <f>IFERROR(VLOOKUP(AQ31,Miercoles!$AF$4:$AG$31,2,0),0)</f>
        <v>0</v>
      </c>
      <c r="AU31" s="91">
        <f>IFERROR(VLOOKUP(AQ31,Jueves!$AF$4:$AG$26,2,0),0)</f>
        <v>0</v>
      </c>
      <c r="AV31" s="91">
        <f>IFERROR(VLOOKUP(AQ31,Viernes!$AF$4:$AG$31,2,0),0)</f>
        <v>0</v>
      </c>
      <c r="AW31" s="91">
        <f t="shared" si="24"/>
        <v>0</v>
      </c>
      <c r="AX31" s="91">
        <f t="shared" si="25"/>
        <v>0</v>
      </c>
      <c r="AY31" s="91">
        <f t="shared" si="8"/>
        <v>124.4</v>
      </c>
    </row>
    <row r="32" spans="1:51" ht="15.75" hidden="1" customHeight="1" x14ac:dyDescent="0.4">
      <c r="A32" s="242"/>
      <c r="B32" s="253"/>
      <c r="C32" s="245"/>
      <c r="D32" s="108">
        <f t="shared" ref="D32:AB32" si="27">IF(IFERROR(IF(VLOOKUP(D31,D$151:D$155,1,0)&gt;=1,D$150,0),D31)=D$132,D$136,IF(IFERROR(IF(VLOOKUP(D31,D$151:D$155,1,0)&gt;=1,D$150,0),D31)=D$139,D$142,IF(IFERROR(IF(VLOOKUP(D31,D$151:D$155,1,0)&gt;=1,D$150,0),D31)=D$145,D$147,0)))</f>
        <v>0</v>
      </c>
      <c r="E32" s="108">
        <f t="shared" si="27"/>
        <v>0</v>
      </c>
      <c r="F32" s="108">
        <f t="shared" si="27"/>
        <v>0</v>
      </c>
      <c r="G32" s="108">
        <f t="shared" si="27"/>
        <v>0</v>
      </c>
      <c r="H32" s="108">
        <f t="shared" si="27"/>
        <v>0</v>
      </c>
      <c r="I32" s="108">
        <f t="shared" si="27"/>
        <v>0</v>
      </c>
      <c r="J32" s="108">
        <f t="shared" si="27"/>
        <v>0</v>
      </c>
      <c r="K32" s="108">
        <f t="shared" si="27"/>
        <v>0</v>
      </c>
      <c r="L32" s="108">
        <f t="shared" si="27"/>
        <v>0</v>
      </c>
      <c r="M32" s="108">
        <f t="shared" si="27"/>
        <v>0</v>
      </c>
      <c r="N32" s="108">
        <f t="shared" si="27"/>
        <v>0</v>
      </c>
      <c r="O32" s="108">
        <f t="shared" si="27"/>
        <v>0</v>
      </c>
      <c r="P32" s="108">
        <f t="shared" si="27"/>
        <v>0</v>
      </c>
      <c r="Q32" s="108">
        <f t="shared" si="27"/>
        <v>0</v>
      </c>
      <c r="R32" s="108">
        <f t="shared" si="27"/>
        <v>0</v>
      </c>
      <c r="S32" s="108">
        <f t="shared" si="27"/>
        <v>0</v>
      </c>
      <c r="T32" s="108">
        <f t="shared" si="27"/>
        <v>0</v>
      </c>
      <c r="U32" s="108">
        <f t="shared" si="27"/>
        <v>0</v>
      </c>
      <c r="V32" s="108">
        <f t="shared" si="27"/>
        <v>0</v>
      </c>
      <c r="W32" s="108">
        <f t="shared" si="27"/>
        <v>0</v>
      </c>
      <c r="X32" s="108">
        <f t="shared" si="27"/>
        <v>0</v>
      </c>
      <c r="Y32" s="108">
        <f t="shared" si="27"/>
        <v>0</v>
      </c>
      <c r="Z32" s="108">
        <f t="shared" si="27"/>
        <v>0</v>
      </c>
      <c r="AA32" s="108">
        <f t="shared" si="27"/>
        <v>0</v>
      </c>
      <c r="AB32" s="108">
        <f t="shared" si="27"/>
        <v>0</v>
      </c>
      <c r="AC32" s="243"/>
      <c r="AI32" s="54"/>
      <c r="AJ32" s="54"/>
      <c r="AK32" s="54"/>
      <c r="AL32" s="54"/>
      <c r="AM32" s="54"/>
      <c r="AN32" s="54"/>
    </row>
    <row r="33" spans="1:34" ht="15.75" hidden="1" customHeight="1" x14ac:dyDescent="0.45">
      <c r="A33" s="252">
        <f>+A31+1</f>
        <v>15</v>
      </c>
      <c r="B33" s="253">
        <f>+STUD!B16</f>
        <v>0</v>
      </c>
      <c r="C33" s="244">
        <f>SUM(D34:AB34)</f>
        <v>0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11"/>
      <c r="AA33" s="111"/>
      <c r="AB33" s="111"/>
      <c r="AC33" s="243">
        <f>SUM(D34:AB34)</f>
        <v>0</v>
      </c>
      <c r="AE33" s="55" t="s">
        <v>51</v>
      </c>
      <c r="AF33" s="61">
        <f>COUNTA(STUD!B2:B29)</f>
        <v>10</v>
      </c>
      <c r="AG33" s="55" t="s">
        <v>16</v>
      </c>
      <c r="AH33" s="56">
        <f>(AF33-1)*10000</f>
        <v>90000</v>
      </c>
    </row>
    <row r="34" spans="1:34" ht="15.75" hidden="1" customHeight="1" x14ac:dyDescent="0.4">
      <c r="A34" s="242"/>
      <c r="B34" s="253"/>
      <c r="C34" s="245"/>
      <c r="D34" s="108">
        <f t="shared" ref="D34:AB34" si="28">IF(IFERROR(IF(VLOOKUP(D33,D$151:D$155,1,0)&gt;=1,D$150,0),D33)=D$132,D$136,IF(IFERROR(IF(VLOOKUP(D33,D$151:D$155,1,0)&gt;=1,D$150,0),D33)=D$139,D$142,IF(IFERROR(IF(VLOOKUP(D33,D$151:D$155,1,0)&gt;=1,D$150,0),D33)=D$145,D$147,0)))</f>
        <v>0</v>
      </c>
      <c r="E34" s="108">
        <f t="shared" si="28"/>
        <v>0</v>
      </c>
      <c r="F34" s="108">
        <f t="shared" si="28"/>
        <v>0</v>
      </c>
      <c r="G34" s="108">
        <f t="shared" si="28"/>
        <v>0</v>
      </c>
      <c r="H34" s="108">
        <f t="shared" si="28"/>
        <v>0</v>
      </c>
      <c r="I34" s="108">
        <f t="shared" si="28"/>
        <v>0</v>
      </c>
      <c r="J34" s="108">
        <f t="shared" si="28"/>
        <v>0</v>
      </c>
      <c r="K34" s="108">
        <f t="shared" si="28"/>
        <v>0</v>
      </c>
      <c r="L34" s="108">
        <f t="shared" si="28"/>
        <v>0</v>
      </c>
      <c r="M34" s="108">
        <f t="shared" si="28"/>
        <v>0</v>
      </c>
      <c r="N34" s="108">
        <f t="shared" si="28"/>
        <v>0</v>
      </c>
      <c r="O34" s="108">
        <f t="shared" si="28"/>
        <v>0</v>
      </c>
      <c r="P34" s="108">
        <f t="shared" si="28"/>
        <v>0</v>
      </c>
      <c r="Q34" s="108">
        <f t="shared" si="28"/>
        <v>0</v>
      </c>
      <c r="R34" s="108">
        <f t="shared" si="28"/>
        <v>0</v>
      </c>
      <c r="S34" s="108">
        <f t="shared" si="28"/>
        <v>0</v>
      </c>
      <c r="T34" s="108">
        <f t="shared" si="28"/>
        <v>0</v>
      </c>
      <c r="U34" s="108">
        <f t="shared" si="28"/>
        <v>0</v>
      </c>
      <c r="V34" s="108">
        <f t="shared" si="28"/>
        <v>0</v>
      </c>
      <c r="W34" s="108">
        <f t="shared" si="28"/>
        <v>0</v>
      </c>
      <c r="X34" s="108">
        <f t="shared" si="28"/>
        <v>0</v>
      </c>
      <c r="Y34" s="108">
        <f t="shared" si="28"/>
        <v>0</v>
      </c>
      <c r="Z34" s="108">
        <f t="shared" si="28"/>
        <v>0</v>
      </c>
      <c r="AA34" s="108">
        <f t="shared" si="28"/>
        <v>0</v>
      </c>
      <c r="AB34" s="108">
        <f t="shared" si="28"/>
        <v>0</v>
      </c>
      <c r="AC34" s="243"/>
      <c r="AE34" s="58" t="s">
        <v>38</v>
      </c>
      <c r="AF34" s="58"/>
      <c r="AG34" s="59">
        <f>($AH$33-$AG$36)*80%</f>
        <v>64800</v>
      </c>
      <c r="AH34" s="59"/>
    </row>
    <row r="35" spans="1:34" ht="15.75" hidden="1" customHeight="1" x14ac:dyDescent="0.4">
      <c r="A35" s="252">
        <f>+A33+1</f>
        <v>16</v>
      </c>
      <c r="B35" s="253">
        <f>+STUD!B17</f>
        <v>0</v>
      </c>
      <c r="C35" s="244">
        <f>SUM(D36:AB36)</f>
        <v>0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11"/>
      <c r="AA35" s="111"/>
      <c r="AB35" s="111"/>
      <c r="AC35" s="243">
        <f>SUM(D36:AB36)</f>
        <v>0</v>
      </c>
      <c r="AE35" s="58" t="s">
        <v>39</v>
      </c>
      <c r="AF35" s="58"/>
      <c r="AG35" s="59">
        <f>($AH$33-$AG$36)*20%</f>
        <v>16200</v>
      </c>
      <c r="AH35" s="59"/>
    </row>
    <row r="36" spans="1:34" ht="15.75" hidden="1" customHeight="1" x14ac:dyDescent="0.4">
      <c r="A36" s="242"/>
      <c r="B36" s="253"/>
      <c r="C36" s="245"/>
      <c r="D36" s="108">
        <f t="shared" ref="D36:AB36" si="29">IF(IFERROR(IF(VLOOKUP(D35,D$151:D$155,1,0)&gt;=1,D$150,0),D35)=D$132,D$136,IF(IFERROR(IF(VLOOKUP(D35,D$151:D$155,1,0)&gt;=1,D$150,0),D35)=D$139,D$142,IF(IFERROR(IF(VLOOKUP(D35,D$151:D$155,1,0)&gt;=1,D$150,0),D35)=D$145,D$147,0)))</f>
        <v>0</v>
      </c>
      <c r="E36" s="108">
        <f t="shared" si="29"/>
        <v>0</v>
      </c>
      <c r="F36" s="108">
        <f t="shared" si="29"/>
        <v>0</v>
      </c>
      <c r="G36" s="108">
        <f t="shared" si="29"/>
        <v>0</v>
      </c>
      <c r="H36" s="108">
        <f t="shared" si="29"/>
        <v>0</v>
      </c>
      <c r="I36" s="108">
        <f t="shared" si="29"/>
        <v>0</v>
      </c>
      <c r="J36" s="108">
        <f t="shared" si="29"/>
        <v>0</v>
      </c>
      <c r="K36" s="108">
        <f t="shared" si="29"/>
        <v>0</v>
      </c>
      <c r="L36" s="108">
        <f t="shared" si="29"/>
        <v>0</v>
      </c>
      <c r="M36" s="108">
        <f t="shared" si="29"/>
        <v>0</v>
      </c>
      <c r="N36" s="108">
        <f t="shared" si="29"/>
        <v>0</v>
      </c>
      <c r="O36" s="108">
        <f t="shared" si="29"/>
        <v>0</v>
      </c>
      <c r="P36" s="108">
        <f t="shared" si="29"/>
        <v>0</v>
      </c>
      <c r="Q36" s="108">
        <f t="shared" si="29"/>
        <v>0</v>
      </c>
      <c r="R36" s="108">
        <f t="shared" si="29"/>
        <v>0</v>
      </c>
      <c r="S36" s="108">
        <f t="shared" si="29"/>
        <v>0</v>
      </c>
      <c r="T36" s="108">
        <f t="shared" si="29"/>
        <v>0</v>
      </c>
      <c r="U36" s="108">
        <f t="shared" si="29"/>
        <v>0</v>
      </c>
      <c r="V36" s="108">
        <f t="shared" si="29"/>
        <v>0</v>
      </c>
      <c r="W36" s="108">
        <f t="shared" si="29"/>
        <v>0</v>
      </c>
      <c r="X36" s="108">
        <f t="shared" si="29"/>
        <v>0</v>
      </c>
      <c r="Y36" s="108">
        <f t="shared" si="29"/>
        <v>0</v>
      </c>
      <c r="Z36" s="108">
        <f t="shared" si="29"/>
        <v>0</v>
      </c>
      <c r="AA36" s="108">
        <f t="shared" si="29"/>
        <v>0</v>
      </c>
      <c r="AB36" s="108">
        <f t="shared" si="29"/>
        <v>0</v>
      </c>
      <c r="AC36" s="243"/>
      <c r="AE36" s="58" t="s">
        <v>40</v>
      </c>
      <c r="AF36" s="58"/>
      <c r="AG36" s="60">
        <f>(AH33*10%)</f>
        <v>9000</v>
      </c>
      <c r="AH36" s="60"/>
    </row>
    <row r="37" spans="1:34" ht="15.75" hidden="1" customHeight="1" x14ac:dyDescent="0.4">
      <c r="A37" s="252">
        <f>+A35+1</f>
        <v>17</v>
      </c>
      <c r="B37" s="253">
        <f>+STUD!B18</f>
        <v>0</v>
      </c>
      <c r="C37" s="244">
        <f>SUM(D38:AB38)</f>
        <v>0</v>
      </c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11"/>
      <c r="AA37" s="111"/>
      <c r="AB37" s="111"/>
      <c r="AC37" s="243">
        <f>SUM(D38:AB38)</f>
        <v>0</v>
      </c>
    </row>
    <row r="38" spans="1:34" ht="15.75" hidden="1" customHeight="1" x14ac:dyDescent="0.4">
      <c r="A38" s="242"/>
      <c r="B38" s="253"/>
      <c r="C38" s="245"/>
      <c r="D38" s="108">
        <f t="shared" ref="D38:AB38" si="30">IF(IFERROR(IF(VLOOKUP(D37,D$151:D$155,1,0)&gt;=1,D$150,0),D37)=D$132,D$136,IF(IFERROR(IF(VLOOKUP(D37,D$151:D$155,1,0)&gt;=1,D$150,0),D37)=D$139,D$142,IF(IFERROR(IF(VLOOKUP(D37,D$151:D$155,1,0)&gt;=1,D$150,0),D37)=D$145,D$147,0)))</f>
        <v>0</v>
      </c>
      <c r="E38" s="108">
        <f t="shared" si="30"/>
        <v>0</v>
      </c>
      <c r="F38" s="108">
        <f t="shared" si="30"/>
        <v>0</v>
      </c>
      <c r="G38" s="108">
        <f t="shared" si="30"/>
        <v>0</v>
      </c>
      <c r="H38" s="108">
        <f t="shared" si="30"/>
        <v>0</v>
      </c>
      <c r="I38" s="108">
        <f t="shared" si="30"/>
        <v>0</v>
      </c>
      <c r="J38" s="108">
        <f t="shared" si="30"/>
        <v>0</v>
      </c>
      <c r="K38" s="108">
        <f t="shared" si="30"/>
        <v>0</v>
      </c>
      <c r="L38" s="108">
        <f t="shared" si="30"/>
        <v>0</v>
      </c>
      <c r="M38" s="108">
        <f t="shared" si="30"/>
        <v>0</v>
      </c>
      <c r="N38" s="108">
        <f t="shared" si="30"/>
        <v>0</v>
      </c>
      <c r="O38" s="108">
        <f t="shared" si="30"/>
        <v>0</v>
      </c>
      <c r="P38" s="108">
        <f t="shared" si="30"/>
        <v>0</v>
      </c>
      <c r="Q38" s="108">
        <f t="shared" si="30"/>
        <v>0</v>
      </c>
      <c r="R38" s="108">
        <f t="shared" si="30"/>
        <v>0</v>
      </c>
      <c r="S38" s="108">
        <f t="shared" si="30"/>
        <v>0</v>
      </c>
      <c r="T38" s="108">
        <f t="shared" si="30"/>
        <v>0</v>
      </c>
      <c r="U38" s="108">
        <f t="shared" si="30"/>
        <v>0</v>
      </c>
      <c r="V38" s="108">
        <f t="shared" si="30"/>
        <v>0</v>
      </c>
      <c r="W38" s="108">
        <f t="shared" si="30"/>
        <v>0</v>
      </c>
      <c r="X38" s="108">
        <f t="shared" si="30"/>
        <v>0</v>
      </c>
      <c r="Y38" s="108">
        <f t="shared" si="30"/>
        <v>0</v>
      </c>
      <c r="Z38" s="108">
        <f t="shared" si="30"/>
        <v>0</v>
      </c>
      <c r="AA38" s="108">
        <f t="shared" si="30"/>
        <v>0</v>
      </c>
      <c r="AB38" s="108">
        <f t="shared" si="30"/>
        <v>0</v>
      </c>
      <c r="AC38" s="243"/>
    </row>
    <row r="39" spans="1:34" ht="15.75" hidden="1" customHeight="1" x14ac:dyDescent="0.4">
      <c r="A39" s="252">
        <f>+A37+1</f>
        <v>18</v>
      </c>
      <c r="B39" s="253">
        <f>+STUD!B19</f>
        <v>0</v>
      </c>
      <c r="C39" s="244">
        <f>SUM(D40:AB40)</f>
        <v>0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11"/>
      <c r="Y39" s="111"/>
      <c r="Z39" s="111"/>
      <c r="AA39" s="111"/>
      <c r="AB39" s="111"/>
      <c r="AC39" s="243">
        <f>SUM(D40:AB40)</f>
        <v>0</v>
      </c>
    </row>
    <row r="40" spans="1:34" ht="15.75" hidden="1" customHeight="1" x14ac:dyDescent="0.4">
      <c r="A40" s="242"/>
      <c r="B40" s="253"/>
      <c r="C40" s="245"/>
      <c r="D40" s="108">
        <f t="shared" ref="D40:AB40" si="31">IF(IFERROR(IF(VLOOKUP(D39,D$151:D$155,1,0)&gt;=1,D$150,0),D39)=D$132,D$136,IF(IFERROR(IF(VLOOKUP(D39,D$151:D$155,1,0)&gt;=1,D$150,0),D39)=D$139,D$142,IF(IFERROR(IF(VLOOKUP(D39,D$151:D$155,1,0)&gt;=1,D$150,0),D39)=D$145,D$147,0)))</f>
        <v>0</v>
      </c>
      <c r="E40" s="108">
        <f t="shared" si="31"/>
        <v>0</v>
      </c>
      <c r="F40" s="108">
        <f t="shared" si="31"/>
        <v>0</v>
      </c>
      <c r="G40" s="108">
        <f t="shared" si="31"/>
        <v>0</v>
      </c>
      <c r="H40" s="108">
        <f t="shared" si="31"/>
        <v>0</v>
      </c>
      <c r="I40" s="108">
        <f t="shared" si="31"/>
        <v>0</v>
      </c>
      <c r="J40" s="108">
        <f t="shared" si="31"/>
        <v>0</v>
      </c>
      <c r="K40" s="108">
        <f t="shared" si="31"/>
        <v>0</v>
      </c>
      <c r="L40" s="108">
        <f t="shared" si="31"/>
        <v>0</v>
      </c>
      <c r="M40" s="108">
        <f t="shared" si="31"/>
        <v>0</v>
      </c>
      <c r="N40" s="108">
        <f t="shared" si="31"/>
        <v>0</v>
      </c>
      <c r="O40" s="108">
        <f t="shared" si="31"/>
        <v>0</v>
      </c>
      <c r="P40" s="108">
        <f t="shared" si="31"/>
        <v>0</v>
      </c>
      <c r="Q40" s="108">
        <f t="shared" si="31"/>
        <v>0</v>
      </c>
      <c r="R40" s="108">
        <f t="shared" si="31"/>
        <v>0</v>
      </c>
      <c r="S40" s="108">
        <f t="shared" si="31"/>
        <v>0</v>
      </c>
      <c r="T40" s="108">
        <f t="shared" si="31"/>
        <v>0</v>
      </c>
      <c r="U40" s="108">
        <f t="shared" si="31"/>
        <v>0</v>
      </c>
      <c r="V40" s="108">
        <f t="shared" si="31"/>
        <v>0</v>
      </c>
      <c r="W40" s="108">
        <f t="shared" si="31"/>
        <v>0</v>
      </c>
      <c r="X40" s="108">
        <f t="shared" si="31"/>
        <v>0</v>
      </c>
      <c r="Y40" s="108">
        <f t="shared" si="31"/>
        <v>0</v>
      </c>
      <c r="Z40" s="108">
        <f t="shared" si="31"/>
        <v>0</v>
      </c>
      <c r="AA40" s="108">
        <f t="shared" si="31"/>
        <v>0</v>
      </c>
      <c r="AB40" s="108">
        <f t="shared" si="31"/>
        <v>0</v>
      </c>
      <c r="AC40" s="243"/>
    </row>
    <row r="41" spans="1:34" ht="15.75" hidden="1" customHeight="1" x14ac:dyDescent="0.4">
      <c r="A41" s="252">
        <f>+A39+1</f>
        <v>19</v>
      </c>
      <c r="B41" s="253">
        <f>+STUD!B20</f>
        <v>0</v>
      </c>
      <c r="C41" s="244">
        <f>SUM(D42:AB42)</f>
        <v>0</v>
      </c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11"/>
      <c r="Y41" s="111"/>
      <c r="Z41" s="111"/>
      <c r="AA41" s="111"/>
      <c r="AB41" s="111"/>
      <c r="AC41" s="243">
        <f>SUM(D42:AB42)</f>
        <v>0</v>
      </c>
    </row>
    <row r="42" spans="1:34" ht="15.75" hidden="1" customHeight="1" x14ac:dyDescent="0.4">
      <c r="A42" s="242"/>
      <c r="B42" s="253"/>
      <c r="C42" s="245"/>
      <c r="D42" s="108">
        <f t="shared" ref="D42:AB42" si="32">IF(IFERROR(IF(VLOOKUP(D41,D$151:D$155,1,0)&gt;=1,D$150,0),D41)=D$132,D$136,IF(IFERROR(IF(VLOOKUP(D41,D$151:D$155,1,0)&gt;=1,D$150,0),D41)=D$139,D$142,IF(IFERROR(IF(VLOOKUP(D41,D$151:D$155,1,0)&gt;=1,D$150,0),D41)=D$145,D$147,0)))</f>
        <v>0</v>
      </c>
      <c r="E42" s="108">
        <f t="shared" si="32"/>
        <v>0</v>
      </c>
      <c r="F42" s="108">
        <f t="shared" si="32"/>
        <v>0</v>
      </c>
      <c r="G42" s="108">
        <f t="shared" si="32"/>
        <v>0</v>
      </c>
      <c r="H42" s="108">
        <f t="shared" si="32"/>
        <v>0</v>
      </c>
      <c r="I42" s="108">
        <f t="shared" si="32"/>
        <v>0</v>
      </c>
      <c r="J42" s="108">
        <f t="shared" si="32"/>
        <v>0</v>
      </c>
      <c r="K42" s="108">
        <f t="shared" si="32"/>
        <v>0</v>
      </c>
      <c r="L42" s="108">
        <f t="shared" si="32"/>
        <v>0</v>
      </c>
      <c r="M42" s="108">
        <f t="shared" si="32"/>
        <v>0</v>
      </c>
      <c r="N42" s="108">
        <f t="shared" si="32"/>
        <v>0</v>
      </c>
      <c r="O42" s="108">
        <f t="shared" si="32"/>
        <v>0</v>
      </c>
      <c r="P42" s="108">
        <f t="shared" si="32"/>
        <v>0</v>
      </c>
      <c r="Q42" s="108">
        <f t="shared" si="32"/>
        <v>0</v>
      </c>
      <c r="R42" s="108">
        <f t="shared" si="32"/>
        <v>0</v>
      </c>
      <c r="S42" s="108">
        <f t="shared" si="32"/>
        <v>0</v>
      </c>
      <c r="T42" s="108">
        <f t="shared" si="32"/>
        <v>0</v>
      </c>
      <c r="U42" s="108">
        <f t="shared" si="32"/>
        <v>0</v>
      </c>
      <c r="V42" s="108">
        <f t="shared" si="32"/>
        <v>0</v>
      </c>
      <c r="W42" s="108">
        <f t="shared" si="32"/>
        <v>0</v>
      </c>
      <c r="X42" s="108">
        <f t="shared" si="32"/>
        <v>0</v>
      </c>
      <c r="Y42" s="108">
        <f t="shared" si="32"/>
        <v>0</v>
      </c>
      <c r="Z42" s="108">
        <f t="shared" si="32"/>
        <v>0</v>
      </c>
      <c r="AA42" s="108">
        <f t="shared" si="32"/>
        <v>0</v>
      </c>
      <c r="AB42" s="108">
        <f t="shared" si="32"/>
        <v>0</v>
      </c>
      <c r="AC42" s="243"/>
    </row>
    <row r="43" spans="1:34" ht="15.75" hidden="1" customHeight="1" x14ac:dyDescent="0.4">
      <c r="A43" s="252">
        <f>+A41+1</f>
        <v>20</v>
      </c>
      <c r="B43" s="253">
        <f>+STUD!B21</f>
        <v>0</v>
      </c>
      <c r="C43" s="244">
        <f>SUM(D44:AB44)</f>
        <v>0</v>
      </c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11"/>
      <c r="Y43" s="111"/>
      <c r="Z43" s="111"/>
      <c r="AA43" s="111"/>
      <c r="AB43" s="111"/>
      <c r="AC43" s="243">
        <f>SUM(D44:AB44)</f>
        <v>0</v>
      </c>
    </row>
    <row r="44" spans="1:34" ht="15.75" hidden="1" customHeight="1" x14ac:dyDescent="0.4">
      <c r="A44" s="242"/>
      <c r="B44" s="253"/>
      <c r="C44" s="245"/>
      <c r="D44" s="108">
        <f t="shared" ref="D44:AB44" si="33">IF(IFERROR(IF(VLOOKUP(D43,D$151:D$155,1,0)&gt;=1,D$150,0),D43)=D$132,D$136,IF(IFERROR(IF(VLOOKUP(D43,D$151:D$155,1,0)&gt;=1,D$150,0),D43)=D$139,D$142,IF(IFERROR(IF(VLOOKUP(D43,D$151:D$155,1,0)&gt;=1,D$150,0),D43)=D$145,D$147,0)))</f>
        <v>0</v>
      </c>
      <c r="E44" s="108">
        <f t="shared" si="33"/>
        <v>0</v>
      </c>
      <c r="F44" s="108">
        <f t="shared" si="33"/>
        <v>0</v>
      </c>
      <c r="G44" s="108">
        <f t="shared" si="33"/>
        <v>0</v>
      </c>
      <c r="H44" s="108">
        <f t="shared" si="33"/>
        <v>0</v>
      </c>
      <c r="I44" s="108">
        <f t="shared" si="33"/>
        <v>0</v>
      </c>
      <c r="J44" s="108">
        <f t="shared" si="33"/>
        <v>0</v>
      </c>
      <c r="K44" s="108">
        <f t="shared" si="33"/>
        <v>0</v>
      </c>
      <c r="L44" s="108">
        <f t="shared" si="33"/>
        <v>0</v>
      </c>
      <c r="M44" s="108">
        <f t="shared" si="33"/>
        <v>0</v>
      </c>
      <c r="N44" s="108">
        <f t="shared" si="33"/>
        <v>0</v>
      </c>
      <c r="O44" s="108">
        <f t="shared" si="33"/>
        <v>0</v>
      </c>
      <c r="P44" s="108">
        <f t="shared" si="33"/>
        <v>0</v>
      </c>
      <c r="Q44" s="108">
        <f t="shared" si="33"/>
        <v>0</v>
      </c>
      <c r="R44" s="108">
        <f t="shared" si="33"/>
        <v>0</v>
      </c>
      <c r="S44" s="108">
        <f t="shared" si="33"/>
        <v>0</v>
      </c>
      <c r="T44" s="108">
        <f t="shared" si="33"/>
        <v>0</v>
      </c>
      <c r="U44" s="108">
        <f t="shared" si="33"/>
        <v>0</v>
      </c>
      <c r="V44" s="108">
        <f t="shared" si="33"/>
        <v>0</v>
      </c>
      <c r="W44" s="108">
        <f t="shared" si="33"/>
        <v>0</v>
      </c>
      <c r="X44" s="108">
        <f t="shared" si="33"/>
        <v>0</v>
      </c>
      <c r="Y44" s="108">
        <f t="shared" si="33"/>
        <v>0</v>
      </c>
      <c r="Z44" s="108">
        <f t="shared" si="33"/>
        <v>0</v>
      </c>
      <c r="AA44" s="108">
        <f t="shared" si="33"/>
        <v>0</v>
      </c>
      <c r="AB44" s="108">
        <f t="shared" si="33"/>
        <v>0</v>
      </c>
      <c r="AC44" s="243"/>
    </row>
    <row r="45" spans="1:34" ht="15.75" hidden="1" customHeight="1" x14ac:dyDescent="0.4">
      <c r="A45" s="252">
        <f>+A43+1</f>
        <v>21</v>
      </c>
      <c r="B45" s="253">
        <f>+STUD!B22</f>
        <v>0</v>
      </c>
      <c r="C45" s="244">
        <f>SUM(D46:AB46)</f>
        <v>0</v>
      </c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11"/>
      <c r="Y45" s="111"/>
      <c r="Z45" s="111"/>
      <c r="AA45" s="111"/>
      <c r="AB45" s="111"/>
      <c r="AC45" s="243">
        <f>SUM(D46:AB46)</f>
        <v>0</v>
      </c>
    </row>
    <row r="46" spans="1:34" ht="15.75" hidden="1" customHeight="1" x14ac:dyDescent="0.4">
      <c r="A46" s="242"/>
      <c r="B46" s="253"/>
      <c r="C46" s="245"/>
      <c r="D46" s="108">
        <f t="shared" ref="D46:AB46" si="34">IF(IFERROR(IF(VLOOKUP(D45,D$151:D$155,1,0)&gt;=1,D$150,0),D45)=D$132,D$136,IF(IFERROR(IF(VLOOKUP(D45,D$151:D$155,1,0)&gt;=1,D$150,0),D45)=D$139,D$142,IF(IFERROR(IF(VLOOKUP(D45,D$151:D$155,1,0)&gt;=1,D$150,0),D45)=D$145,D$147,0)))</f>
        <v>0</v>
      </c>
      <c r="E46" s="108">
        <f t="shared" si="34"/>
        <v>0</v>
      </c>
      <c r="F46" s="108">
        <f t="shared" si="34"/>
        <v>0</v>
      </c>
      <c r="G46" s="108">
        <f t="shared" si="34"/>
        <v>0</v>
      </c>
      <c r="H46" s="108">
        <f t="shared" si="34"/>
        <v>0</v>
      </c>
      <c r="I46" s="108">
        <f t="shared" si="34"/>
        <v>0</v>
      </c>
      <c r="J46" s="108">
        <f t="shared" si="34"/>
        <v>0</v>
      </c>
      <c r="K46" s="108">
        <f t="shared" si="34"/>
        <v>0</v>
      </c>
      <c r="L46" s="108">
        <f t="shared" si="34"/>
        <v>0</v>
      </c>
      <c r="M46" s="108">
        <f t="shared" si="34"/>
        <v>0</v>
      </c>
      <c r="N46" s="108">
        <f t="shared" si="34"/>
        <v>0</v>
      </c>
      <c r="O46" s="108">
        <f t="shared" si="34"/>
        <v>0</v>
      </c>
      <c r="P46" s="108">
        <f t="shared" si="34"/>
        <v>0</v>
      </c>
      <c r="Q46" s="108">
        <f t="shared" si="34"/>
        <v>0</v>
      </c>
      <c r="R46" s="108">
        <f t="shared" si="34"/>
        <v>0</v>
      </c>
      <c r="S46" s="108">
        <f t="shared" si="34"/>
        <v>0</v>
      </c>
      <c r="T46" s="108">
        <f t="shared" si="34"/>
        <v>0</v>
      </c>
      <c r="U46" s="108">
        <f t="shared" si="34"/>
        <v>0</v>
      </c>
      <c r="V46" s="108">
        <f t="shared" si="34"/>
        <v>0</v>
      </c>
      <c r="W46" s="108">
        <f t="shared" si="34"/>
        <v>0</v>
      </c>
      <c r="X46" s="108">
        <f t="shared" si="34"/>
        <v>0</v>
      </c>
      <c r="Y46" s="108">
        <f t="shared" si="34"/>
        <v>0</v>
      </c>
      <c r="Z46" s="108">
        <f t="shared" si="34"/>
        <v>0</v>
      </c>
      <c r="AA46" s="108">
        <f t="shared" si="34"/>
        <v>0</v>
      </c>
      <c r="AB46" s="108">
        <f t="shared" si="34"/>
        <v>0</v>
      </c>
      <c r="AC46" s="243"/>
    </row>
    <row r="47" spans="1:34" ht="15.75" hidden="1" customHeight="1" x14ac:dyDescent="0.4">
      <c r="A47" s="252">
        <f>+A45+1</f>
        <v>22</v>
      </c>
      <c r="B47" s="253">
        <f>+STUD!B23</f>
        <v>0</v>
      </c>
      <c r="C47" s="244">
        <f>SUM(D48:AB48)</f>
        <v>0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11"/>
      <c r="Y47" s="111"/>
      <c r="Z47" s="111"/>
      <c r="AA47" s="111"/>
      <c r="AB47" s="111"/>
      <c r="AC47" s="243">
        <f>SUM(D48:AB48)</f>
        <v>0</v>
      </c>
    </row>
    <row r="48" spans="1:34" ht="15.75" hidden="1" customHeight="1" x14ac:dyDescent="0.4">
      <c r="A48" s="242"/>
      <c r="B48" s="253"/>
      <c r="C48" s="245"/>
      <c r="D48" s="108">
        <f t="shared" ref="D48:AB48" si="35">IF(IFERROR(IF(VLOOKUP(D47,D$151:D$155,1,0)&gt;=1,D$150,0),D47)=D$132,D$136,IF(IFERROR(IF(VLOOKUP(D47,D$151:D$155,1,0)&gt;=1,D$150,0),D47)=D$139,D$142,IF(IFERROR(IF(VLOOKUP(D47,D$151:D$155,1,0)&gt;=1,D$150,0),D47)=D$145,D$147,0)))</f>
        <v>0</v>
      </c>
      <c r="E48" s="108">
        <f t="shared" si="35"/>
        <v>0</v>
      </c>
      <c r="F48" s="108">
        <f t="shared" si="35"/>
        <v>0</v>
      </c>
      <c r="G48" s="108">
        <f t="shared" si="35"/>
        <v>0</v>
      </c>
      <c r="H48" s="108">
        <f t="shared" si="35"/>
        <v>0</v>
      </c>
      <c r="I48" s="108">
        <f t="shared" si="35"/>
        <v>0</v>
      </c>
      <c r="J48" s="108">
        <f t="shared" si="35"/>
        <v>0</v>
      </c>
      <c r="K48" s="108">
        <f t="shared" si="35"/>
        <v>0</v>
      </c>
      <c r="L48" s="108">
        <f t="shared" si="35"/>
        <v>0</v>
      </c>
      <c r="M48" s="108">
        <f t="shared" si="35"/>
        <v>0</v>
      </c>
      <c r="N48" s="108">
        <f t="shared" si="35"/>
        <v>0</v>
      </c>
      <c r="O48" s="108">
        <f t="shared" si="35"/>
        <v>0</v>
      </c>
      <c r="P48" s="108">
        <f t="shared" si="35"/>
        <v>0</v>
      </c>
      <c r="Q48" s="108">
        <f t="shared" si="35"/>
        <v>0</v>
      </c>
      <c r="R48" s="108">
        <f t="shared" si="35"/>
        <v>0</v>
      </c>
      <c r="S48" s="108">
        <f t="shared" si="35"/>
        <v>0</v>
      </c>
      <c r="T48" s="108">
        <f t="shared" si="35"/>
        <v>0</v>
      </c>
      <c r="U48" s="108">
        <f t="shared" si="35"/>
        <v>0</v>
      </c>
      <c r="V48" s="108">
        <f t="shared" si="35"/>
        <v>0</v>
      </c>
      <c r="W48" s="108">
        <f t="shared" si="35"/>
        <v>0</v>
      </c>
      <c r="X48" s="108">
        <f t="shared" si="35"/>
        <v>0</v>
      </c>
      <c r="Y48" s="108">
        <f t="shared" si="35"/>
        <v>0</v>
      </c>
      <c r="Z48" s="108">
        <f t="shared" si="35"/>
        <v>0</v>
      </c>
      <c r="AA48" s="108">
        <f t="shared" si="35"/>
        <v>0</v>
      </c>
      <c r="AB48" s="108">
        <f t="shared" si="35"/>
        <v>0</v>
      </c>
      <c r="AC48" s="243"/>
    </row>
    <row r="49" spans="1:29" ht="15.75" hidden="1" customHeight="1" x14ac:dyDescent="0.4">
      <c r="A49" s="252">
        <f>+A47+1</f>
        <v>23</v>
      </c>
      <c r="B49" s="253">
        <f>+STUD!B24</f>
        <v>0</v>
      </c>
      <c r="C49" s="244">
        <f>SUM(D50:AB50)</f>
        <v>0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11"/>
      <c r="Y49" s="111"/>
      <c r="Z49" s="111"/>
      <c r="AA49" s="111"/>
      <c r="AB49" s="111"/>
      <c r="AC49" s="243">
        <f>SUM(D50:AB50)</f>
        <v>0</v>
      </c>
    </row>
    <row r="50" spans="1:29" ht="15.75" hidden="1" customHeight="1" x14ac:dyDescent="0.4">
      <c r="A50" s="242"/>
      <c r="B50" s="253"/>
      <c r="C50" s="245"/>
      <c r="D50" s="108">
        <f t="shared" ref="D50:AB50" si="36">IF(IFERROR(IF(VLOOKUP(D49,D$151:D$155,1,0)&gt;=1,D$150,0),D49)=D$132,D$136,IF(IFERROR(IF(VLOOKUP(D49,D$151:D$155,1,0)&gt;=1,D$150,0),D49)=D$139,D$142,IF(IFERROR(IF(VLOOKUP(D49,D$151:D$155,1,0)&gt;=1,D$150,0),D49)=D$145,D$147,0)))</f>
        <v>0</v>
      </c>
      <c r="E50" s="108">
        <f t="shared" si="36"/>
        <v>0</v>
      </c>
      <c r="F50" s="108">
        <f t="shared" si="36"/>
        <v>0</v>
      </c>
      <c r="G50" s="108">
        <f t="shared" si="36"/>
        <v>0</v>
      </c>
      <c r="H50" s="108">
        <f t="shared" si="36"/>
        <v>0</v>
      </c>
      <c r="I50" s="108">
        <f t="shared" si="36"/>
        <v>0</v>
      </c>
      <c r="J50" s="108">
        <f t="shared" si="36"/>
        <v>0</v>
      </c>
      <c r="K50" s="108">
        <f t="shared" si="36"/>
        <v>0</v>
      </c>
      <c r="L50" s="108">
        <f t="shared" si="36"/>
        <v>0</v>
      </c>
      <c r="M50" s="108">
        <f t="shared" si="36"/>
        <v>0</v>
      </c>
      <c r="N50" s="108">
        <f t="shared" si="36"/>
        <v>0</v>
      </c>
      <c r="O50" s="108">
        <f t="shared" si="36"/>
        <v>0</v>
      </c>
      <c r="P50" s="108">
        <f t="shared" si="36"/>
        <v>0</v>
      </c>
      <c r="Q50" s="108">
        <f t="shared" si="36"/>
        <v>0</v>
      </c>
      <c r="R50" s="108">
        <f t="shared" si="36"/>
        <v>0</v>
      </c>
      <c r="S50" s="108">
        <f t="shared" si="36"/>
        <v>0</v>
      </c>
      <c r="T50" s="108">
        <f t="shared" si="36"/>
        <v>0</v>
      </c>
      <c r="U50" s="108">
        <f t="shared" si="36"/>
        <v>0</v>
      </c>
      <c r="V50" s="108">
        <f t="shared" si="36"/>
        <v>0</v>
      </c>
      <c r="W50" s="108">
        <f t="shared" si="36"/>
        <v>0</v>
      </c>
      <c r="X50" s="108">
        <f t="shared" si="36"/>
        <v>0</v>
      </c>
      <c r="Y50" s="108">
        <f t="shared" si="36"/>
        <v>0</v>
      </c>
      <c r="Z50" s="108">
        <f t="shared" si="36"/>
        <v>0</v>
      </c>
      <c r="AA50" s="108">
        <f t="shared" si="36"/>
        <v>0</v>
      </c>
      <c r="AB50" s="108">
        <f t="shared" si="36"/>
        <v>0</v>
      </c>
      <c r="AC50" s="243"/>
    </row>
    <row r="51" spans="1:29" ht="15.75" hidden="1" customHeight="1" x14ac:dyDescent="0.4">
      <c r="A51" s="252">
        <f>+A49+1</f>
        <v>24</v>
      </c>
      <c r="B51" s="253">
        <f>+STUD!B25</f>
        <v>0</v>
      </c>
      <c r="C51" s="244">
        <f>SUM(D52:AB52)</f>
        <v>0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11"/>
      <c r="Y51" s="111"/>
      <c r="Z51" s="111"/>
      <c r="AA51" s="111"/>
      <c r="AB51" s="111"/>
      <c r="AC51" s="243">
        <f>SUM(D52:AB52)</f>
        <v>0</v>
      </c>
    </row>
    <row r="52" spans="1:29" ht="15.75" hidden="1" customHeight="1" x14ac:dyDescent="0.4">
      <c r="A52" s="242"/>
      <c r="B52" s="253"/>
      <c r="C52" s="245"/>
      <c r="D52" s="108">
        <f t="shared" ref="D52:AB52" si="37">IF(IFERROR(IF(VLOOKUP(D51,D$151:D$155,1,0)&gt;=1,D$150,0),D51)=D$132,D$136,IF(IFERROR(IF(VLOOKUP(D51,D$151:D$155,1,0)&gt;=1,D$150,0),D51)=D$139,D$142,IF(IFERROR(IF(VLOOKUP(D51,D$151:D$155,1,0)&gt;=1,D$150,0),D51)=D$145,D$147,0)))</f>
        <v>0</v>
      </c>
      <c r="E52" s="108">
        <f t="shared" si="37"/>
        <v>0</v>
      </c>
      <c r="F52" s="108">
        <f t="shared" si="37"/>
        <v>0</v>
      </c>
      <c r="G52" s="108">
        <f t="shared" si="37"/>
        <v>0</v>
      </c>
      <c r="H52" s="108">
        <f t="shared" si="37"/>
        <v>0</v>
      </c>
      <c r="I52" s="108">
        <f t="shared" si="37"/>
        <v>0</v>
      </c>
      <c r="J52" s="108">
        <f t="shared" si="37"/>
        <v>0</v>
      </c>
      <c r="K52" s="108">
        <f t="shared" si="37"/>
        <v>0</v>
      </c>
      <c r="L52" s="108">
        <f t="shared" si="37"/>
        <v>0</v>
      </c>
      <c r="M52" s="108">
        <f t="shared" si="37"/>
        <v>0</v>
      </c>
      <c r="N52" s="108">
        <f t="shared" si="37"/>
        <v>0</v>
      </c>
      <c r="O52" s="108">
        <f t="shared" si="37"/>
        <v>0</v>
      </c>
      <c r="P52" s="108">
        <f t="shared" si="37"/>
        <v>0</v>
      </c>
      <c r="Q52" s="108">
        <f t="shared" si="37"/>
        <v>0</v>
      </c>
      <c r="R52" s="108">
        <f t="shared" si="37"/>
        <v>0</v>
      </c>
      <c r="S52" s="108">
        <f t="shared" si="37"/>
        <v>0</v>
      </c>
      <c r="T52" s="108">
        <f t="shared" si="37"/>
        <v>0</v>
      </c>
      <c r="U52" s="108">
        <f t="shared" si="37"/>
        <v>0</v>
      </c>
      <c r="V52" s="108">
        <f t="shared" si="37"/>
        <v>0</v>
      </c>
      <c r="W52" s="108">
        <f t="shared" si="37"/>
        <v>0</v>
      </c>
      <c r="X52" s="108">
        <f t="shared" si="37"/>
        <v>0</v>
      </c>
      <c r="Y52" s="108">
        <f t="shared" si="37"/>
        <v>0</v>
      </c>
      <c r="Z52" s="108">
        <f t="shared" si="37"/>
        <v>0</v>
      </c>
      <c r="AA52" s="108">
        <f t="shared" si="37"/>
        <v>0</v>
      </c>
      <c r="AB52" s="108">
        <f t="shared" si="37"/>
        <v>0</v>
      </c>
      <c r="AC52" s="243"/>
    </row>
    <row r="53" spans="1:29" ht="15.75" hidden="1" customHeight="1" x14ac:dyDescent="0.4">
      <c r="A53" s="252">
        <f>+A51+1</f>
        <v>25</v>
      </c>
      <c r="B53" s="253">
        <f>+STUD!B26</f>
        <v>0</v>
      </c>
      <c r="C53" s="244">
        <f>SUM(D54:AB54)</f>
        <v>0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11"/>
      <c r="Y53" s="111"/>
      <c r="Z53" s="111"/>
      <c r="AA53" s="111"/>
      <c r="AB53" s="111"/>
      <c r="AC53" s="243">
        <f>SUM(D54:AB54)</f>
        <v>0</v>
      </c>
    </row>
    <row r="54" spans="1:29" ht="15.75" hidden="1" customHeight="1" x14ac:dyDescent="0.4">
      <c r="A54" s="242"/>
      <c r="B54" s="253"/>
      <c r="C54" s="245"/>
      <c r="D54" s="108">
        <f t="shared" ref="D54:AB54" si="38">IF(IFERROR(IF(VLOOKUP(D53,D$151:D$155,1,0)&gt;=1,D$150,0),D53)=D$132,D$136,IF(IFERROR(IF(VLOOKUP(D53,D$151:D$155,1,0)&gt;=1,D$150,0),D53)=D$139,D$142,IF(IFERROR(IF(VLOOKUP(D53,D$151:D$155,1,0)&gt;=1,D$150,0),D53)=D$145,D$147,0)))</f>
        <v>0</v>
      </c>
      <c r="E54" s="108">
        <f t="shared" si="38"/>
        <v>0</v>
      </c>
      <c r="F54" s="108">
        <f t="shared" si="38"/>
        <v>0</v>
      </c>
      <c r="G54" s="108">
        <f t="shared" si="38"/>
        <v>0</v>
      </c>
      <c r="H54" s="108">
        <f t="shared" si="38"/>
        <v>0</v>
      </c>
      <c r="I54" s="108">
        <f t="shared" si="38"/>
        <v>0</v>
      </c>
      <c r="J54" s="108">
        <f t="shared" si="38"/>
        <v>0</v>
      </c>
      <c r="K54" s="108">
        <f t="shared" si="38"/>
        <v>0</v>
      </c>
      <c r="L54" s="108">
        <f t="shared" si="38"/>
        <v>0</v>
      </c>
      <c r="M54" s="108">
        <f t="shared" si="38"/>
        <v>0</v>
      </c>
      <c r="N54" s="108">
        <f t="shared" si="38"/>
        <v>0</v>
      </c>
      <c r="O54" s="108">
        <f t="shared" si="38"/>
        <v>0</v>
      </c>
      <c r="P54" s="108">
        <f t="shared" si="38"/>
        <v>0</v>
      </c>
      <c r="Q54" s="108">
        <f t="shared" si="38"/>
        <v>0</v>
      </c>
      <c r="R54" s="108">
        <f t="shared" si="38"/>
        <v>0</v>
      </c>
      <c r="S54" s="108">
        <f t="shared" si="38"/>
        <v>0</v>
      </c>
      <c r="T54" s="108">
        <f t="shared" si="38"/>
        <v>0</v>
      </c>
      <c r="U54" s="108">
        <f t="shared" si="38"/>
        <v>0</v>
      </c>
      <c r="V54" s="108">
        <f t="shared" si="38"/>
        <v>0</v>
      </c>
      <c r="W54" s="108">
        <f t="shared" si="38"/>
        <v>0</v>
      </c>
      <c r="X54" s="108">
        <f t="shared" si="38"/>
        <v>0</v>
      </c>
      <c r="Y54" s="108">
        <f t="shared" si="38"/>
        <v>0</v>
      </c>
      <c r="Z54" s="108">
        <f t="shared" si="38"/>
        <v>0</v>
      </c>
      <c r="AA54" s="108">
        <f t="shared" si="38"/>
        <v>0</v>
      </c>
      <c r="AB54" s="108">
        <f t="shared" si="38"/>
        <v>0</v>
      </c>
      <c r="AC54" s="243"/>
    </row>
    <row r="55" spans="1:29" ht="15.75" hidden="1" customHeight="1" x14ac:dyDescent="0.4">
      <c r="A55" s="252">
        <f>+A53+1</f>
        <v>26</v>
      </c>
      <c r="B55" s="253">
        <f>+STUD!B27</f>
        <v>0</v>
      </c>
      <c r="C55" s="244">
        <f>SUM(D56:AB56)</f>
        <v>0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11"/>
      <c r="Y55" s="111"/>
      <c r="Z55" s="111"/>
      <c r="AA55" s="111"/>
      <c r="AB55" s="111"/>
      <c r="AC55" s="243">
        <f>SUM(D56:AB56)</f>
        <v>0</v>
      </c>
    </row>
    <row r="56" spans="1:29" ht="15.75" hidden="1" customHeight="1" x14ac:dyDescent="0.4">
      <c r="A56" s="242"/>
      <c r="B56" s="253"/>
      <c r="C56" s="245"/>
      <c r="D56" s="108">
        <f t="shared" ref="D56:AB56" si="39">IF(IFERROR(IF(VLOOKUP(D55,D$151:D$155,1,0)&gt;=1,D$150,0),D55)=D$132,D$136,IF(IFERROR(IF(VLOOKUP(D55,D$151:D$155,1,0)&gt;=1,D$150,0),D55)=D$139,D$142,IF(IFERROR(IF(VLOOKUP(D55,D$151:D$155,1,0)&gt;=1,D$150,0),D55)=D$145,D$147,0)))</f>
        <v>0</v>
      </c>
      <c r="E56" s="108">
        <f t="shared" si="39"/>
        <v>0</v>
      </c>
      <c r="F56" s="108">
        <f t="shared" si="39"/>
        <v>0</v>
      </c>
      <c r="G56" s="108">
        <f t="shared" si="39"/>
        <v>0</v>
      </c>
      <c r="H56" s="108">
        <f t="shared" si="39"/>
        <v>0</v>
      </c>
      <c r="I56" s="108">
        <f t="shared" si="39"/>
        <v>0</v>
      </c>
      <c r="J56" s="108">
        <f t="shared" si="39"/>
        <v>0</v>
      </c>
      <c r="K56" s="108">
        <f t="shared" si="39"/>
        <v>0</v>
      </c>
      <c r="L56" s="108">
        <f t="shared" si="39"/>
        <v>0</v>
      </c>
      <c r="M56" s="108">
        <f t="shared" si="39"/>
        <v>0</v>
      </c>
      <c r="N56" s="108">
        <f t="shared" si="39"/>
        <v>0</v>
      </c>
      <c r="O56" s="108">
        <f t="shared" si="39"/>
        <v>0</v>
      </c>
      <c r="P56" s="108">
        <f t="shared" si="39"/>
        <v>0</v>
      </c>
      <c r="Q56" s="108">
        <f t="shared" si="39"/>
        <v>0</v>
      </c>
      <c r="R56" s="108">
        <f t="shared" si="39"/>
        <v>0</v>
      </c>
      <c r="S56" s="108">
        <f t="shared" si="39"/>
        <v>0</v>
      </c>
      <c r="T56" s="108">
        <f t="shared" si="39"/>
        <v>0</v>
      </c>
      <c r="U56" s="108">
        <f t="shared" si="39"/>
        <v>0</v>
      </c>
      <c r="V56" s="108">
        <f t="shared" si="39"/>
        <v>0</v>
      </c>
      <c r="W56" s="108">
        <f t="shared" si="39"/>
        <v>0</v>
      </c>
      <c r="X56" s="108">
        <f t="shared" si="39"/>
        <v>0</v>
      </c>
      <c r="Y56" s="108">
        <f t="shared" si="39"/>
        <v>0</v>
      </c>
      <c r="Z56" s="108">
        <f t="shared" si="39"/>
        <v>0</v>
      </c>
      <c r="AA56" s="108">
        <f t="shared" si="39"/>
        <v>0</v>
      </c>
      <c r="AB56" s="108">
        <f t="shared" si="39"/>
        <v>0</v>
      </c>
      <c r="AC56" s="243"/>
    </row>
    <row r="57" spans="1:29" ht="15.75" hidden="1" customHeight="1" x14ac:dyDescent="0.4">
      <c r="A57" s="252">
        <f>+A55+1</f>
        <v>27</v>
      </c>
      <c r="B57" s="253">
        <f>+STUD!B28</f>
        <v>0</v>
      </c>
      <c r="C57" s="244">
        <f>SUM(D58:AB58)</f>
        <v>0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11"/>
      <c r="Y57" s="111"/>
      <c r="Z57" s="111"/>
      <c r="AA57" s="111"/>
      <c r="AB57" s="111"/>
      <c r="AC57" s="243">
        <f>SUM(D58:AB58)</f>
        <v>0</v>
      </c>
    </row>
    <row r="58" spans="1:29" ht="15.75" hidden="1" customHeight="1" x14ac:dyDescent="0.4">
      <c r="A58" s="242"/>
      <c r="B58" s="253"/>
      <c r="C58" s="245"/>
      <c r="D58" s="108">
        <f t="shared" ref="D58:AB58" si="40">IF(IFERROR(IF(VLOOKUP(D57,D$151:D$155,1,0)&gt;=1,D$150,0),D57)=D$132,D$136,IF(IFERROR(IF(VLOOKUP(D57,D$151:D$155,1,0)&gt;=1,D$150,0),D57)=D$139,D$142,IF(IFERROR(IF(VLOOKUP(D57,D$151:D$155,1,0)&gt;=1,D$150,0),D57)=D$145,D$147,0)))</f>
        <v>0</v>
      </c>
      <c r="E58" s="108">
        <f t="shared" si="40"/>
        <v>0</v>
      </c>
      <c r="F58" s="108">
        <f t="shared" si="40"/>
        <v>0</v>
      </c>
      <c r="G58" s="108">
        <f t="shared" si="40"/>
        <v>0</v>
      </c>
      <c r="H58" s="108">
        <f t="shared" si="40"/>
        <v>0</v>
      </c>
      <c r="I58" s="108">
        <f t="shared" si="40"/>
        <v>0</v>
      </c>
      <c r="J58" s="108">
        <f t="shared" si="40"/>
        <v>0</v>
      </c>
      <c r="K58" s="108">
        <f t="shared" si="40"/>
        <v>0</v>
      </c>
      <c r="L58" s="108">
        <f t="shared" si="40"/>
        <v>0</v>
      </c>
      <c r="M58" s="108">
        <f t="shared" si="40"/>
        <v>0</v>
      </c>
      <c r="N58" s="108">
        <f t="shared" si="40"/>
        <v>0</v>
      </c>
      <c r="O58" s="108">
        <f t="shared" si="40"/>
        <v>0</v>
      </c>
      <c r="P58" s="108">
        <f t="shared" si="40"/>
        <v>0</v>
      </c>
      <c r="Q58" s="108">
        <f t="shared" si="40"/>
        <v>0</v>
      </c>
      <c r="R58" s="108">
        <f t="shared" si="40"/>
        <v>0</v>
      </c>
      <c r="S58" s="108">
        <f t="shared" si="40"/>
        <v>0</v>
      </c>
      <c r="T58" s="108">
        <f t="shared" si="40"/>
        <v>0</v>
      </c>
      <c r="U58" s="108">
        <f t="shared" si="40"/>
        <v>0</v>
      </c>
      <c r="V58" s="108">
        <f t="shared" si="40"/>
        <v>0</v>
      </c>
      <c r="W58" s="108">
        <f t="shared" si="40"/>
        <v>0</v>
      </c>
      <c r="X58" s="108">
        <f t="shared" si="40"/>
        <v>0</v>
      </c>
      <c r="Y58" s="108">
        <f t="shared" si="40"/>
        <v>0</v>
      </c>
      <c r="Z58" s="108">
        <f t="shared" si="40"/>
        <v>0</v>
      </c>
      <c r="AA58" s="108">
        <f t="shared" si="40"/>
        <v>0</v>
      </c>
      <c r="AB58" s="108">
        <f t="shared" si="40"/>
        <v>0</v>
      </c>
      <c r="AC58" s="243"/>
    </row>
    <row r="59" spans="1:29" ht="15.75" hidden="1" customHeight="1" x14ac:dyDescent="0.4">
      <c r="A59" s="252">
        <f>+A57+1</f>
        <v>28</v>
      </c>
      <c r="B59" s="253">
        <f>+STUD!B29</f>
        <v>0</v>
      </c>
      <c r="C59" s="244">
        <f>SUM(D60:AB60)</f>
        <v>0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11"/>
      <c r="Y59" s="111"/>
      <c r="Z59" s="111"/>
      <c r="AA59" s="111"/>
      <c r="AB59" s="111"/>
      <c r="AC59" s="243">
        <f>SUM(D60:AB60)</f>
        <v>0</v>
      </c>
    </row>
    <row r="60" spans="1:29" ht="15.75" hidden="1" customHeight="1" x14ac:dyDescent="0.4">
      <c r="A60" s="242"/>
      <c r="B60" s="253"/>
      <c r="C60" s="245"/>
      <c r="D60" s="108">
        <f t="shared" ref="D60:AB60" si="41">IF(IFERROR(IF(VLOOKUP(D59,D$151:D$155,1,0)&gt;=1,D$150,0),D59)=D$132,D$136,IF(IFERROR(IF(VLOOKUP(D59,D$151:D$155,1,0)&gt;=1,D$150,0),D59)=D$139,D$142,IF(IFERROR(IF(VLOOKUP(D59,D$151:D$155,1,0)&gt;=1,D$150,0),D59)=D$145,D$147,0)))</f>
        <v>0</v>
      </c>
      <c r="E60" s="108">
        <f t="shared" si="41"/>
        <v>0</v>
      </c>
      <c r="F60" s="108">
        <f t="shared" si="41"/>
        <v>0</v>
      </c>
      <c r="G60" s="108">
        <f t="shared" si="41"/>
        <v>0</v>
      </c>
      <c r="H60" s="108">
        <f t="shared" si="41"/>
        <v>0</v>
      </c>
      <c r="I60" s="108">
        <f t="shared" si="41"/>
        <v>0</v>
      </c>
      <c r="J60" s="108">
        <f t="shared" si="41"/>
        <v>0</v>
      </c>
      <c r="K60" s="108">
        <f t="shared" si="41"/>
        <v>0</v>
      </c>
      <c r="L60" s="108">
        <f t="shared" si="41"/>
        <v>0</v>
      </c>
      <c r="M60" s="108">
        <f t="shared" si="41"/>
        <v>0</v>
      </c>
      <c r="N60" s="108">
        <f t="shared" si="41"/>
        <v>0</v>
      </c>
      <c r="O60" s="108">
        <f t="shared" si="41"/>
        <v>0</v>
      </c>
      <c r="P60" s="108">
        <f t="shared" si="41"/>
        <v>0</v>
      </c>
      <c r="Q60" s="108">
        <f t="shared" si="41"/>
        <v>0</v>
      </c>
      <c r="R60" s="108">
        <f t="shared" si="41"/>
        <v>0</v>
      </c>
      <c r="S60" s="108">
        <f t="shared" si="41"/>
        <v>0</v>
      </c>
      <c r="T60" s="108">
        <f t="shared" si="41"/>
        <v>0</v>
      </c>
      <c r="U60" s="108">
        <f t="shared" si="41"/>
        <v>0</v>
      </c>
      <c r="V60" s="108">
        <f t="shared" si="41"/>
        <v>0</v>
      </c>
      <c r="W60" s="108">
        <f t="shared" si="41"/>
        <v>0</v>
      </c>
      <c r="X60" s="108">
        <f t="shared" si="41"/>
        <v>0</v>
      </c>
      <c r="Y60" s="108">
        <f t="shared" si="41"/>
        <v>0</v>
      </c>
      <c r="Z60" s="108">
        <f t="shared" si="41"/>
        <v>0</v>
      </c>
      <c r="AA60" s="108">
        <f t="shared" si="41"/>
        <v>0</v>
      </c>
      <c r="AB60" s="108">
        <f t="shared" si="41"/>
        <v>0</v>
      </c>
      <c r="AC60" s="243"/>
    </row>
    <row r="61" spans="1:29" ht="15.75" hidden="1" customHeight="1" x14ac:dyDescent="0.4">
      <c r="A61" s="252">
        <f>+A59+1</f>
        <v>29</v>
      </c>
      <c r="B61" s="253">
        <f>+STUD!B30</f>
        <v>0</v>
      </c>
      <c r="C61" s="244">
        <f>SUM(D62:AB62)</f>
        <v>0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11"/>
      <c r="Y61" s="111"/>
      <c r="Z61" s="111"/>
      <c r="AA61" s="111"/>
      <c r="AB61" s="111"/>
      <c r="AC61" s="243">
        <f>SUM(D62:AB62)</f>
        <v>0</v>
      </c>
    </row>
    <row r="62" spans="1:29" ht="15.75" hidden="1" customHeight="1" x14ac:dyDescent="0.4">
      <c r="A62" s="242"/>
      <c r="B62" s="253"/>
      <c r="C62" s="245"/>
      <c r="D62" s="108">
        <f t="shared" ref="D62:AB62" si="42">IF(IFERROR(IF(VLOOKUP(D61,D$151:D$155,1,0)&gt;=1,D$150,0),D61)=D$132,D$136,IF(IFERROR(IF(VLOOKUP(D61,D$151:D$155,1,0)&gt;=1,D$150,0),D61)=D$139,D$142,IF(IFERROR(IF(VLOOKUP(D61,D$151:D$155,1,0)&gt;=1,D$150,0),D61)=D$145,D$147,0)))</f>
        <v>0</v>
      </c>
      <c r="E62" s="108">
        <f t="shared" si="42"/>
        <v>0</v>
      </c>
      <c r="F62" s="108">
        <f t="shared" si="42"/>
        <v>0</v>
      </c>
      <c r="G62" s="108">
        <f t="shared" si="42"/>
        <v>0</v>
      </c>
      <c r="H62" s="108">
        <f t="shared" si="42"/>
        <v>0</v>
      </c>
      <c r="I62" s="108">
        <f t="shared" si="42"/>
        <v>0</v>
      </c>
      <c r="J62" s="108">
        <f t="shared" si="42"/>
        <v>0</v>
      </c>
      <c r="K62" s="108">
        <f t="shared" si="42"/>
        <v>0</v>
      </c>
      <c r="L62" s="108">
        <f t="shared" si="42"/>
        <v>0</v>
      </c>
      <c r="M62" s="108">
        <f t="shared" si="42"/>
        <v>0</v>
      </c>
      <c r="N62" s="108">
        <f t="shared" si="42"/>
        <v>0</v>
      </c>
      <c r="O62" s="108">
        <f t="shared" si="42"/>
        <v>0</v>
      </c>
      <c r="P62" s="108">
        <f t="shared" si="42"/>
        <v>0</v>
      </c>
      <c r="Q62" s="108">
        <f t="shared" si="42"/>
        <v>0</v>
      </c>
      <c r="R62" s="108">
        <f t="shared" si="42"/>
        <v>0</v>
      </c>
      <c r="S62" s="108">
        <f t="shared" si="42"/>
        <v>0</v>
      </c>
      <c r="T62" s="108">
        <f t="shared" si="42"/>
        <v>0</v>
      </c>
      <c r="U62" s="108">
        <f t="shared" si="42"/>
        <v>0</v>
      </c>
      <c r="V62" s="108">
        <f t="shared" si="42"/>
        <v>0</v>
      </c>
      <c r="W62" s="108">
        <f t="shared" si="42"/>
        <v>0</v>
      </c>
      <c r="X62" s="108">
        <f t="shared" si="42"/>
        <v>0</v>
      </c>
      <c r="Y62" s="108">
        <f t="shared" si="42"/>
        <v>0</v>
      </c>
      <c r="Z62" s="108">
        <f t="shared" si="42"/>
        <v>0</v>
      </c>
      <c r="AA62" s="108">
        <f t="shared" si="42"/>
        <v>0</v>
      </c>
      <c r="AB62" s="108">
        <f t="shared" si="42"/>
        <v>0</v>
      </c>
      <c r="AC62" s="243"/>
    </row>
    <row r="63" spans="1:29" ht="15.75" hidden="1" customHeight="1" x14ac:dyDescent="0.4">
      <c r="A63" s="252">
        <f>+A61+1</f>
        <v>30</v>
      </c>
      <c r="B63" s="253">
        <f>+STUD!B31</f>
        <v>0</v>
      </c>
      <c r="C63" s="244">
        <f>SUM(D64:AB64)</f>
        <v>0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11"/>
      <c r="Y63" s="111"/>
      <c r="Z63" s="111"/>
      <c r="AA63" s="111"/>
      <c r="AB63" s="111"/>
      <c r="AC63" s="243">
        <f>SUM(D64:AB64)</f>
        <v>0</v>
      </c>
    </row>
    <row r="64" spans="1:29" ht="15" hidden="1" customHeight="1" x14ac:dyDescent="0.4">
      <c r="A64" s="242"/>
      <c r="B64" s="253"/>
      <c r="C64" s="245"/>
      <c r="D64" s="108">
        <f t="shared" ref="D64:AB64" si="43">IF(IFERROR(IF(VLOOKUP(D63,D$151:D$155,1,0)&gt;=1,D$150,0),D63)=D$132,D$136,IF(IFERROR(IF(VLOOKUP(D63,D$151:D$155,1,0)&gt;=1,D$150,0),D63)=D$139,D$142,IF(IFERROR(IF(VLOOKUP(D63,D$151:D$155,1,0)&gt;=1,D$150,0),D63)=D$145,D$147,0)))</f>
        <v>0</v>
      </c>
      <c r="E64" s="108">
        <f t="shared" si="43"/>
        <v>0</v>
      </c>
      <c r="F64" s="108">
        <f t="shared" si="43"/>
        <v>0</v>
      </c>
      <c r="G64" s="108">
        <f t="shared" si="43"/>
        <v>0</v>
      </c>
      <c r="H64" s="108">
        <f t="shared" si="43"/>
        <v>0</v>
      </c>
      <c r="I64" s="108">
        <f t="shared" si="43"/>
        <v>0</v>
      </c>
      <c r="J64" s="108">
        <f t="shared" si="43"/>
        <v>0</v>
      </c>
      <c r="K64" s="108">
        <f t="shared" si="43"/>
        <v>0</v>
      </c>
      <c r="L64" s="108">
        <f t="shared" si="43"/>
        <v>0</v>
      </c>
      <c r="M64" s="108">
        <f t="shared" si="43"/>
        <v>0</v>
      </c>
      <c r="N64" s="108">
        <f t="shared" si="43"/>
        <v>0</v>
      </c>
      <c r="O64" s="108">
        <f t="shared" si="43"/>
        <v>0</v>
      </c>
      <c r="P64" s="108">
        <f t="shared" si="43"/>
        <v>0</v>
      </c>
      <c r="Q64" s="108">
        <f t="shared" si="43"/>
        <v>0</v>
      </c>
      <c r="R64" s="108">
        <f t="shared" si="43"/>
        <v>0</v>
      </c>
      <c r="S64" s="108">
        <f t="shared" si="43"/>
        <v>0</v>
      </c>
      <c r="T64" s="108">
        <f t="shared" si="43"/>
        <v>0</v>
      </c>
      <c r="U64" s="108">
        <f t="shared" si="43"/>
        <v>0</v>
      </c>
      <c r="V64" s="108">
        <f t="shared" si="43"/>
        <v>0</v>
      </c>
      <c r="W64" s="108">
        <f t="shared" si="43"/>
        <v>0</v>
      </c>
      <c r="X64" s="108">
        <f t="shared" si="43"/>
        <v>0</v>
      </c>
      <c r="Y64" s="108">
        <f t="shared" si="43"/>
        <v>0</v>
      </c>
      <c r="Z64" s="108">
        <f t="shared" si="43"/>
        <v>0</v>
      </c>
      <c r="AA64" s="108">
        <f t="shared" si="43"/>
        <v>0</v>
      </c>
      <c r="AB64" s="108">
        <f t="shared" si="43"/>
        <v>0</v>
      </c>
      <c r="AC64" s="243"/>
    </row>
    <row r="65" spans="1:40" ht="15.75" hidden="1" customHeight="1" x14ac:dyDescent="0.4">
      <c r="A65" s="252">
        <f>+A63+1</f>
        <v>31</v>
      </c>
      <c r="B65" s="253">
        <f>+STUD!B32</f>
        <v>0</v>
      </c>
      <c r="C65" s="244">
        <f>SUM(D66:AB66)</f>
        <v>0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11"/>
      <c r="Y65" s="111"/>
      <c r="Z65" s="111"/>
      <c r="AA65" s="111"/>
      <c r="AB65" s="111"/>
      <c r="AC65" s="243">
        <f>SUM(D66:AB66)</f>
        <v>0</v>
      </c>
    </row>
    <row r="66" spans="1:40" ht="15.75" hidden="1" customHeight="1" x14ac:dyDescent="0.4">
      <c r="A66" s="242"/>
      <c r="B66" s="253"/>
      <c r="C66" s="245"/>
      <c r="D66" s="108">
        <f t="shared" ref="D66:AB66" si="44">IF(IFERROR(IF(VLOOKUP(D65,D$151:D$155,1,0)&gt;=1,D$150,0),D65)=D$132,D$136,IF(IFERROR(IF(VLOOKUP(D65,D$151:D$155,1,0)&gt;=1,D$150,0),D65)=D$139,D$142,IF(IFERROR(IF(VLOOKUP(D65,D$151:D$155,1,0)&gt;=1,D$150,0),D65)=D$145,D$147,0)))</f>
        <v>0</v>
      </c>
      <c r="E66" s="108">
        <f t="shared" si="44"/>
        <v>0</v>
      </c>
      <c r="F66" s="108">
        <f t="shared" si="44"/>
        <v>0</v>
      </c>
      <c r="G66" s="108">
        <f t="shared" si="44"/>
        <v>0</v>
      </c>
      <c r="H66" s="108">
        <f t="shared" si="44"/>
        <v>0</v>
      </c>
      <c r="I66" s="108">
        <f t="shared" si="44"/>
        <v>0</v>
      </c>
      <c r="J66" s="108">
        <f t="shared" si="44"/>
        <v>0</v>
      </c>
      <c r="K66" s="108">
        <f t="shared" si="44"/>
        <v>0</v>
      </c>
      <c r="L66" s="108">
        <f t="shared" si="44"/>
        <v>0</v>
      </c>
      <c r="M66" s="108">
        <f t="shared" si="44"/>
        <v>0</v>
      </c>
      <c r="N66" s="108">
        <f t="shared" si="44"/>
        <v>0</v>
      </c>
      <c r="O66" s="108">
        <f t="shared" si="44"/>
        <v>0</v>
      </c>
      <c r="P66" s="108">
        <f t="shared" si="44"/>
        <v>0</v>
      </c>
      <c r="Q66" s="108">
        <f t="shared" si="44"/>
        <v>0</v>
      </c>
      <c r="R66" s="108">
        <f t="shared" si="44"/>
        <v>0</v>
      </c>
      <c r="S66" s="108">
        <f t="shared" si="44"/>
        <v>0</v>
      </c>
      <c r="T66" s="108">
        <f t="shared" si="44"/>
        <v>0</v>
      </c>
      <c r="U66" s="108">
        <f t="shared" si="44"/>
        <v>0</v>
      </c>
      <c r="V66" s="108">
        <f t="shared" si="44"/>
        <v>0</v>
      </c>
      <c r="W66" s="108">
        <f t="shared" si="44"/>
        <v>0</v>
      </c>
      <c r="X66" s="108">
        <f t="shared" si="44"/>
        <v>0</v>
      </c>
      <c r="Y66" s="108">
        <f t="shared" si="44"/>
        <v>0</v>
      </c>
      <c r="Z66" s="108">
        <f t="shared" si="44"/>
        <v>0</v>
      </c>
      <c r="AA66" s="108">
        <f t="shared" si="44"/>
        <v>0</v>
      </c>
      <c r="AB66" s="108">
        <f t="shared" si="44"/>
        <v>0</v>
      </c>
      <c r="AC66" s="243"/>
    </row>
    <row r="67" spans="1:40" ht="15.75" hidden="1" customHeight="1" x14ac:dyDescent="0.4">
      <c r="A67" s="252">
        <f>+A65+1</f>
        <v>32</v>
      </c>
      <c r="B67" s="253">
        <f>+STUD!B33</f>
        <v>0</v>
      </c>
      <c r="C67" s="244">
        <f>SUM(D68:AB68)</f>
        <v>0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11"/>
      <c r="Y67" s="111"/>
      <c r="Z67" s="111"/>
      <c r="AA67" s="111"/>
      <c r="AB67" s="111"/>
      <c r="AC67" s="243">
        <f>SUM(D68:AB68)</f>
        <v>0</v>
      </c>
    </row>
    <row r="68" spans="1:40" ht="15.75" hidden="1" customHeight="1" x14ac:dyDescent="0.4">
      <c r="A68" s="242"/>
      <c r="B68" s="253"/>
      <c r="C68" s="245"/>
      <c r="D68" s="108">
        <f t="shared" ref="D68:AB68" si="45">IF(IFERROR(IF(VLOOKUP(D67,D$151:D$155,1,0)&gt;=1,D$150,0),D67)=D$132,D$136,IF(IFERROR(IF(VLOOKUP(D67,D$151:D$155,1,0)&gt;=1,D$150,0),D67)=D$139,D$142,IF(IFERROR(IF(VLOOKUP(D67,D$151:D$155,1,0)&gt;=1,D$150,0),D67)=D$145,D$147,0)))</f>
        <v>0</v>
      </c>
      <c r="E68" s="108">
        <f t="shared" si="45"/>
        <v>0</v>
      </c>
      <c r="F68" s="108">
        <f t="shared" si="45"/>
        <v>0</v>
      </c>
      <c r="G68" s="108">
        <f t="shared" si="45"/>
        <v>0</v>
      </c>
      <c r="H68" s="108">
        <f t="shared" si="45"/>
        <v>0</v>
      </c>
      <c r="I68" s="108">
        <f t="shared" si="45"/>
        <v>0</v>
      </c>
      <c r="J68" s="108">
        <f t="shared" si="45"/>
        <v>0</v>
      </c>
      <c r="K68" s="108">
        <f t="shared" si="45"/>
        <v>0</v>
      </c>
      <c r="L68" s="108">
        <f t="shared" si="45"/>
        <v>0</v>
      </c>
      <c r="M68" s="108">
        <f t="shared" si="45"/>
        <v>0</v>
      </c>
      <c r="N68" s="108">
        <f t="shared" si="45"/>
        <v>0</v>
      </c>
      <c r="O68" s="108">
        <f t="shared" si="45"/>
        <v>0</v>
      </c>
      <c r="P68" s="108">
        <f t="shared" si="45"/>
        <v>0</v>
      </c>
      <c r="Q68" s="108">
        <f t="shared" si="45"/>
        <v>0</v>
      </c>
      <c r="R68" s="108">
        <f t="shared" si="45"/>
        <v>0</v>
      </c>
      <c r="S68" s="108">
        <f t="shared" si="45"/>
        <v>0</v>
      </c>
      <c r="T68" s="108">
        <f t="shared" si="45"/>
        <v>0</v>
      </c>
      <c r="U68" s="108">
        <f t="shared" si="45"/>
        <v>0</v>
      </c>
      <c r="V68" s="108">
        <f t="shared" si="45"/>
        <v>0</v>
      </c>
      <c r="W68" s="108">
        <f t="shared" si="45"/>
        <v>0</v>
      </c>
      <c r="X68" s="108">
        <f t="shared" si="45"/>
        <v>0</v>
      </c>
      <c r="Y68" s="108">
        <f t="shared" si="45"/>
        <v>0</v>
      </c>
      <c r="Z68" s="108">
        <f t="shared" si="45"/>
        <v>0</v>
      </c>
      <c r="AA68" s="108">
        <f t="shared" si="45"/>
        <v>0</v>
      </c>
      <c r="AB68" s="108">
        <f t="shared" si="45"/>
        <v>0</v>
      </c>
      <c r="AC68" s="243"/>
    </row>
    <row r="69" spans="1:40" ht="15.75" customHeight="1" x14ac:dyDescent="0.4">
      <c r="A69" s="272" t="s">
        <v>20</v>
      </c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273"/>
      <c r="P69" s="273"/>
      <c r="Q69" s="273"/>
      <c r="R69" s="273"/>
      <c r="S69" s="273"/>
      <c r="T69" s="273"/>
      <c r="U69" s="273"/>
      <c r="V69" s="273"/>
      <c r="W69" s="273"/>
      <c r="X69" s="273"/>
      <c r="Y69" s="273"/>
      <c r="Z69" s="273"/>
      <c r="AA69" s="273"/>
      <c r="AB69" s="273"/>
      <c r="AC69" s="274"/>
    </row>
    <row r="70" spans="1:40" ht="15.75" customHeight="1" x14ac:dyDescent="0.4">
      <c r="A70" s="275"/>
      <c r="B70" s="276"/>
      <c r="C70" s="276"/>
      <c r="D70" s="276"/>
      <c r="E70" s="276"/>
      <c r="F70" s="276"/>
      <c r="G70" s="276"/>
      <c r="H70" s="276"/>
      <c r="I70" s="276"/>
      <c r="J70" s="276"/>
      <c r="K70" s="276"/>
      <c r="L70" s="276"/>
      <c r="M70" s="276"/>
      <c r="N70" s="276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7"/>
    </row>
    <row r="71" spans="1:40" ht="15.75" customHeight="1" x14ac:dyDescent="0.4">
      <c r="A71" s="278"/>
      <c r="B71" s="279"/>
      <c r="C71" s="279"/>
      <c r="D71" s="279"/>
      <c r="E71" s="279"/>
      <c r="F71" s="279"/>
      <c r="G71" s="279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  <c r="Z71" s="279"/>
      <c r="AA71" s="279"/>
      <c r="AB71" s="279"/>
      <c r="AC71" s="280"/>
    </row>
    <row r="72" spans="1:40" ht="15.75" customHeight="1" x14ac:dyDescent="0.5">
      <c r="A72" s="116" t="s">
        <v>0</v>
      </c>
      <c r="B72" s="116" t="s">
        <v>14</v>
      </c>
      <c r="C72" s="116" t="s">
        <v>19</v>
      </c>
      <c r="D72" s="116">
        <v>1</v>
      </c>
      <c r="E72" s="116">
        <v>2</v>
      </c>
      <c r="F72" s="116">
        <v>3</v>
      </c>
      <c r="G72" s="116">
        <v>4</v>
      </c>
      <c r="H72" s="116">
        <v>5</v>
      </c>
      <c r="I72" s="116">
        <v>6</v>
      </c>
      <c r="J72" s="116">
        <v>7</v>
      </c>
      <c r="K72" s="116">
        <v>8</v>
      </c>
      <c r="L72" s="116">
        <v>9</v>
      </c>
      <c r="M72" s="116">
        <v>10</v>
      </c>
      <c r="N72" s="116">
        <v>11</v>
      </c>
      <c r="O72" s="116">
        <v>12</v>
      </c>
      <c r="P72" s="116">
        <v>13</v>
      </c>
      <c r="Q72" s="116">
        <v>14</v>
      </c>
      <c r="R72" s="116">
        <v>15</v>
      </c>
      <c r="S72" s="116">
        <v>16</v>
      </c>
      <c r="T72" s="116">
        <v>17</v>
      </c>
      <c r="U72" s="116">
        <v>18</v>
      </c>
      <c r="V72" s="116">
        <v>19</v>
      </c>
      <c r="W72" s="116">
        <v>20</v>
      </c>
      <c r="X72" s="116">
        <v>21</v>
      </c>
      <c r="Y72" s="116">
        <v>22</v>
      </c>
      <c r="Z72" s="116">
        <v>23</v>
      </c>
      <c r="AA72" s="116">
        <v>24</v>
      </c>
      <c r="AB72" s="116">
        <v>25</v>
      </c>
      <c r="AC72" s="116" t="s">
        <v>19</v>
      </c>
      <c r="AE72" s="264" t="s">
        <v>53</v>
      </c>
      <c r="AF72" s="265"/>
      <c r="AG72" s="265"/>
      <c r="AH72" s="266"/>
      <c r="AI72" s="52">
        <v>9</v>
      </c>
      <c r="AJ72" s="52"/>
      <c r="AK72" s="52">
        <v>10</v>
      </c>
      <c r="AL72" s="52"/>
      <c r="AM72" s="52">
        <v>11</v>
      </c>
      <c r="AN72" s="52"/>
    </row>
    <row r="73" spans="1:40" ht="15.75" customHeight="1" x14ac:dyDescent="0.5">
      <c r="A73" s="291">
        <v>1</v>
      </c>
      <c r="B73" s="243">
        <f>STUD!G35</f>
        <v>0</v>
      </c>
      <c r="C73" s="244">
        <f>SUM(D74:AB74)</f>
        <v>0</v>
      </c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39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243">
        <f>SUM(D74:AB74)</f>
        <v>0</v>
      </c>
      <c r="AE73" s="141" t="s">
        <v>37</v>
      </c>
      <c r="AF73" s="141" t="s">
        <v>14</v>
      </c>
      <c r="AG73" s="169" t="s">
        <v>15</v>
      </c>
      <c r="AH73" s="169" t="s">
        <v>52</v>
      </c>
      <c r="AI73" s="51" t="str">
        <f>"Prono Carrera "&amp;AI72</f>
        <v>Prono Carrera 9</v>
      </c>
      <c r="AJ73" s="51" t="s">
        <v>42</v>
      </c>
      <c r="AK73" s="51" t="str">
        <f>"Prono Carrera "&amp;AK72</f>
        <v>Prono Carrera 10</v>
      </c>
      <c r="AL73" s="51" t="s">
        <v>42</v>
      </c>
      <c r="AM73" s="51" t="str">
        <f>"Prono Carrera "&amp;AM72</f>
        <v>Prono Carrera 11</v>
      </c>
      <c r="AN73" s="51" t="s">
        <v>42</v>
      </c>
    </row>
    <row r="74" spans="1:40" ht="15.75" customHeight="1" x14ac:dyDescent="0.4">
      <c r="A74" s="242"/>
      <c r="B74" s="243"/>
      <c r="C74" s="245"/>
      <c r="D74" s="138">
        <f t="shared" ref="D74:AB74" si="46">IF(IFERROR(IF(VLOOKUP(D73,D$151:D$155,1,0)&gt;=1,D$150,0),D73)=D$132,D$136,IF(IFERROR(IF(VLOOKUP(D73,D$151:D$155,1,0)&gt;=1,D$150,0),D73)=D$139,D$142,IF(IFERROR(IF(VLOOKUP(D73,D$151:D$155,1,0)&gt;=1,D$150,0),D73)=D$145,D$147,0)))</f>
        <v>0</v>
      </c>
      <c r="E74" s="138">
        <f t="shared" si="46"/>
        <v>0</v>
      </c>
      <c r="F74" s="138">
        <f t="shared" si="46"/>
        <v>0</v>
      </c>
      <c r="G74" s="138">
        <f t="shared" si="46"/>
        <v>0</v>
      </c>
      <c r="H74" s="138">
        <f t="shared" si="46"/>
        <v>0</v>
      </c>
      <c r="I74" s="138">
        <f t="shared" si="46"/>
        <v>0</v>
      </c>
      <c r="J74" s="138">
        <f t="shared" si="46"/>
        <v>0</v>
      </c>
      <c r="K74" s="138">
        <f t="shared" si="46"/>
        <v>0</v>
      </c>
      <c r="L74" s="138">
        <f t="shared" si="46"/>
        <v>0</v>
      </c>
      <c r="M74" s="138">
        <f t="shared" si="46"/>
        <v>0</v>
      </c>
      <c r="N74" s="138">
        <f t="shared" si="46"/>
        <v>0</v>
      </c>
      <c r="O74" s="138">
        <f t="shared" si="46"/>
        <v>0</v>
      </c>
      <c r="P74" s="138">
        <f t="shared" si="46"/>
        <v>0</v>
      </c>
      <c r="Q74" s="138">
        <f t="shared" si="46"/>
        <v>0</v>
      </c>
      <c r="R74" s="138">
        <f t="shared" si="46"/>
        <v>0</v>
      </c>
      <c r="S74" s="138">
        <f t="shared" si="46"/>
        <v>0</v>
      </c>
      <c r="T74" s="138">
        <f t="shared" si="46"/>
        <v>0</v>
      </c>
      <c r="U74" s="138">
        <f t="shared" si="46"/>
        <v>0</v>
      </c>
      <c r="V74" s="138">
        <f t="shared" si="46"/>
        <v>0</v>
      </c>
      <c r="W74" s="138">
        <f t="shared" si="46"/>
        <v>0</v>
      </c>
      <c r="X74" s="138">
        <f t="shared" si="46"/>
        <v>0</v>
      </c>
      <c r="Y74" s="138">
        <f t="shared" si="46"/>
        <v>0</v>
      </c>
      <c r="Z74" s="138">
        <f t="shared" si="46"/>
        <v>0</v>
      </c>
      <c r="AA74" s="138">
        <f t="shared" si="46"/>
        <v>0</v>
      </c>
      <c r="AB74" s="138">
        <f t="shared" si="46"/>
        <v>0</v>
      </c>
      <c r="AC74" s="243"/>
      <c r="AE74" s="170">
        <v>1</v>
      </c>
      <c r="AF74" s="171" t="str">
        <f>IF(ISBLANK(STUD!G49)," ",STUD!G49)</f>
        <v xml:space="preserve"> </v>
      </c>
      <c r="AG74" s="183">
        <f t="shared" ref="AG74:AG101" si="47">IFERROR(VLOOKUP(AF74,$B$73:$C$128,2,0),0)</f>
        <v>0</v>
      </c>
      <c r="AH74" s="183"/>
      <c r="AI74" s="53" t="str">
        <f>IFERROR(
   VLOOKUP(AF74, $B$73:$Y$128, CHOOSE($AI$72, 3, 4, 5, 6, 7, 8, 9, 10, 11, 12, 13, 14, 15, 16, 17, 18, 19, 20, 21, 22, 23, 24, 25, 26, 27, 28, 29), 0),
   " "
)</f>
        <v xml:space="preserve"> </v>
      </c>
      <c r="AJ74" s="53" t="str">
        <f>IF(AI74="","",IFERROR(IF(VLOOKUP(AI74,Programa!$AA$3:$AB$18,2,0)="","",VLOOKUP(AI74,Programa!$AA$3:$AB$18,2,0)),""))</f>
        <v/>
      </c>
      <c r="AK74" s="53" t="str">
        <f>IFERROR(
   VLOOKUP(AF74, $B$73:$Y$128, CHOOSE($AK$72, 3, 4, 5, 6, 7, 8, 9, 10, 11, 12, 13, 14, 15, 16, 17, 18, 19, 20, 21, 22, 23, 24, 25, 26, 27, 28, 29), 0),
   " "
)</f>
        <v xml:space="preserve"> </v>
      </c>
      <c r="AL74" s="53" t="str">
        <f>IF(AK74="","",IFERROR(IF(VLOOKUP(AK74,Programa!$AA$19:$AB$34,2,0)="","",VLOOKUP(AK74,Programa!$AA$19:$AB$34,2,0)),""))</f>
        <v/>
      </c>
      <c r="AM74" s="53" t="str">
        <f>IFERROR(
   VLOOKUP(AF74, $B$73:$Y$128, CHOOSE($AM$72, 3, 4, 5, 6, 7, 8, 9, 10, 11, 12, 13, 14, 15, 16, 17, 18, 19, 20, 21, 22, 23, 24, 25, 26, 27, 28, 29), 0),
   " "
)</f>
        <v xml:space="preserve"> </v>
      </c>
      <c r="AN74" s="53" t="str">
        <f>IF(AM74="","",IFERROR(IF(VLOOKUP(AM74,Programa!$AA$35:$AB$50,2,0)="","",VLOOKUP(AM74,Programa!$AA$35:$AB$50,2,0)),""))</f>
        <v/>
      </c>
    </row>
    <row r="75" spans="1:40" ht="15.75" customHeight="1" x14ac:dyDescent="0.4">
      <c r="A75" s="291">
        <f>+A73+1</f>
        <v>2</v>
      </c>
      <c r="B75" s="243">
        <f>STUD!G36</f>
        <v>0</v>
      </c>
      <c r="C75" s="244">
        <f>SUM(D76:AB76)</f>
        <v>0</v>
      </c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243">
        <f>SUM(D76:AB76)</f>
        <v>0</v>
      </c>
      <c r="AE75" s="172">
        <v>2</v>
      </c>
      <c r="AF75" s="171" t="str">
        <f>IF(ISBLANK(STUD!G38)," ",STUD!G38)</f>
        <v xml:space="preserve"> </v>
      </c>
      <c r="AG75" s="183">
        <f t="shared" si="47"/>
        <v>0</v>
      </c>
      <c r="AH75" s="183">
        <f>$AG$74-AG75</f>
        <v>0</v>
      </c>
      <c r="AI75" s="53" t="str">
        <f t="shared" ref="AI75:AI101" si="48">IFERROR(
   VLOOKUP(AF75, $B$73:$Y$128, CHOOSE($AI$72, 3, 4, 5, 6, 7, 8, 9, 10, 11, 12, 13, 14, 15, 16, 17, 18, 19, 20, 21, 22, 23, 24, 25, 26, 27, 28, 29), 0),
   " "
)</f>
        <v xml:space="preserve"> </v>
      </c>
      <c r="AJ75" s="53" t="str">
        <f>IF(AI75="","",IFERROR(IF(VLOOKUP(AI75,Programa!$AA$3:$AB$18,2,0)="","",VLOOKUP(AI75,Programa!$AA$3:$AB$18,2,0)),""))</f>
        <v/>
      </c>
      <c r="AK75" s="53" t="str">
        <f t="shared" ref="AK75:AK101" si="49">IFERROR(
   VLOOKUP(AF75, $B$73:$Y$128, CHOOSE($AK$72, 3, 4, 5, 6, 7, 8, 9, 10, 11, 12, 13, 14, 15, 16, 17, 18, 19, 20, 21, 22, 23, 24, 25, 26, 27, 28, 29), 0),
   " "
)</f>
        <v xml:space="preserve"> </v>
      </c>
      <c r="AL75" s="53" t="str">
        <f>IF(AK75="","",IFERROR(IF(VLOOKUP(AK75,Programa!$AA$19:$AB$34,2,0)="","",VLOOKUP(AK75,Programa!$AA$19:$AB$34,2,0)),""))</f>
        <v/>
      </c>
      <c r="AM75" s="53" t="str">
        <f t="shared" ref="AM75:AM101" si="50">IFERROR(
   VLOOKUP(AF75, $B$73:$Y$128, CHOOSE($AM$72, 3, 4, 5, 6, 7, 8, 9, 10, 11, 12, 13, 14, 15, 16, 17, 18, 19, 20, 21, 22, 23, 24, 25, 26, 27, 28, 29), 0),
   " "
)</f>
        <v xml:space="preserve"> </v>
      </c>
      <c r="AN75" s="53" t="str">
        <f>IF(AM75="","",IFERROR(IF(VLOOKUP(AM75,Programa!$AA$35:$AB$50,2,0)="","",VLOOKUP(AM75,Programa!$AA$35:$AB$50,2,0)),""))</f>
        <v/>
      </c>
    </row>
    <row r="76" spans="1:40" ht="15.75" customHeight="1" x14ac:dyDescent="0.4">
      <c r="A76" s="242"/>
      <c r="B76" s="243"/>
      <c r="C76" s="245"/>
      <c r="D76" s="138">
        <f t="shared" ref="D76:AB76" si="51">IF(IFERROR(IF(VLOOKUP(D75,D$151:D$155,1,0)&gt;=1,D$150,0),D75)=D$132,D$136,IF(IFERROR(IF(VLOOKUP(D75,D$151:D$155,1,0)&gt;=1,D$150,0),D75)=D$139,D$142,IF(IFERROR(IF(VLOOKUP(D75,D$151:D$155,1,0)&gt;=1,D$150,0),D75)=D$145,D$147,0)))</f>
        <v>0</v>
      </c>
      <c r="E76" s="138">
        <f t="shared" si="51"/>
        <v>0</v>
      </c>
      <c r="F76" s="138">
        <f t="shared" si="51"/>
        <v>0</v>
      </c>
      <c r="G76" s="138">
        <f t="shared" si="51"/>
        <v>0</v>
      </c>
      <c r="H76" s="138">
        <f t="shared" si="51"/>
        <v>0</v>
      </c>
      <c r="I76" s="138">
        <f t="shared" si="51"/>
        <v>0</v>
      </c>
      <c r="J76" s="138">
        <f t="shared" si="51"/>
        <v>0</v>
      </c>
      <c r="K76" s="138">
        <f t="shared" si="51"/>
        <v>0</v>
      </c>
      <c r="L76" s="138">
        <f t="shared" si="51"/>
        <v>0</v>
      </c>
      <c r="M76" s="138">
        <f t="shared" si="51"/>
        <v>0</v>
      </c>
      <c r="N76" s="138">
        <f t="shared" si="51"/>
        <v>0</v>
      </c>
      <c r="O76" s="138">
        <f t="shared" si="51"/>
        <v>0</v>
      </c>
      <c r="P76" s="138">
        <f t="shared" si="51"/>
        <v>0</v>
      </c>
      <c r="Q76" s="138">
        <f t="shared" si="51"/>
        <v>0</v>
      </c>
      <c r="R76" s="138">
        <f t="shared" si="51"/>
        <v>0</v>
      </c>
      <c r="S76" s="138">
        <f t="shared" si="51"/>
        <v>0</v>
      </c>
      <c r="T76" s="138">
        <f t="shared" si="51"/>
        <v>0</v>
      </c>
      <c r="U76" s="138">
        <f t="shared" si="51"/>
        <v>0</v>
      </c>
      <c r="V76" s="138">
        <f t="shared" si="51"/>
        <v>0</v>
      </c>
      <c r="W76" s="138">
        <f t="shared" si="51"/>
        <v>0</v>
      </c>
      <c r="X76" s="138">
        <f t="shared" si="51"/>
        <v>0</v>
      </c>
      <c r="Y76" s="138">
        <f t="shared" si="51"/>
        <v>0</v>
      </c>
      <c r="Z76" s="138">
        <f t="shared" si="51"/>
        <v>0</v>
      </c>
      <c r="AA76" s="138">
        <f t="shared" si="51"/>
        <v>0</v>
      </c>
      <c r="AB76" s="138">
        <f t="shared" si="51"/>
        <v>0</v>
      </c>
      <c r="AC76" s="243"/>
      <c r="AE76" s="173">
        <v>3</v>
      </c>
      <c r="AF76" s="171" t="str">
        <f>IF(ISBLANK(STUD!G39)," ",STUD!G39)</f>
        <v xml:space="preserve"> </v>
      </c>
      <c r="AG76" s="183">
        <f t="shared" si="47"/>
        <v>0</v>
      </c>
      <c r="AH76" s="183">
        <f t="shared" ref="AH76:AH101" si="52">$AG$74-AG76</f>
        <v>0</v>
      </c>
      <c r="AI76" s="53" t="str">
        <f t="shared" si="48"/>
        <v xml:space="preserve"> </v>
      </c>
      <c r="AJ76" s="53" t="str">
        <f>IF(AI76="","",IFERROR(IF(VLOOKUP(AI76,Programa!$AA$3:$AB$18,2,0)="","",VLOOKUP(AI76,Programa!$AA$3:$AB$18,2,0)),""))</f>
        <v/>
      </c>
      <c r="AK76" s="53" t="str">
        <f t="shared" si="49"/>
        <v xml:space="preserve"> </v>
      </c>
      <c r="AL76" s="53" t="str">
        <f>IF(AK76="","",IFERROR(IF(VLOOKUP(AK76,Programa!$AA$19:$AB$34,2,0)="","",VLOOKUP(AK76,Programa!$AA$19:$AB$34,2,0)),""))</f>
        <v/>
      </c>
      <c r="AM76" s="53" t="str">
        <f t="shared" si="50"/>
        <v xml:space="preserve"> </v>
      </c>
      <c r="AN76" s="53" t="str">
        <f>IF(AM76="","",IFERROR(IF(VLOOKUP(AM76,Programa!$AA$35:$AB$50,2,0)="","",VLOOKUP(AM76,Programa!$AA$35:$AB$50,2,0)),""))</f>
        <v/>
      </c>
    </row>
    <row r="77" spans="1:40" ht="15.75" customHeight="1" x14ac:dyDescent="0.4">
      <c r="A77" s="291">
        <f>+A75+1</f>
        <v>3</v>
      </c>
      <c r="B77" s="243">
        <f>STUD!G37</f>
        <v>0</v>
      </c>
      <c r="C77" s="244">
        <f>SUM(D78:AB78)</f>
        <v>0</v>
      </c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39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243">
        <f>SUM(D78:AB78)</f>
        <v>0</v>
      </c>
      <c r="AE77" s="174">
        <v>4</v>
      </c>
      <c r="AF77" s="171" t="str">
        <f>IF(ISBLANK(STUD!G35)," ",STUD!G35)</f>
        <v xml:space="preserve"> </v>
      </c>
      <c r="AG77" s="183">
        <f t="shared" si="47"/>
        <v>0</v>
      </c>
      <c r="AH77" s="183">
        <f t="shared" si="52"/>
        <v>0</v>
      </c>
      <c r="AI77" s="53" t="str">
        <f t="shared" si="48"/>
        <v xml:space="preserve"> </v>
      </c>
      <c r="AJ77" s="53" t="str">
        <f>IF(AI77="","",IFERROR(IF(VLOOKUP(AI77,Programa!$AA$3:$AB$18,2,0)="","",VLOOKUP(AI77,Programa!$AA$3:$AB$18,2,0)),""))</f>
        <v/>
      </c>
      <c r="AK77" s="53" t="str">
        <f t="shared" si="49"/>
        <v xml:space="preserve"> </v>
      </c>
      <c r="AL77" s="53" t="str">
        <f>IF(AK77="","",IFERROR(IF(VLOOKUP(AK77,Programa!$AA$19:$AB$34,2,0)="","",VLOOKUP(AK77,Programa!$AA$19:$AB$34,2,0)),""))</f>
        <v/>
      </c>
      <c r="AM77" s="53" t="str">
        <f t="shared" si="50"/>
        <v xml:space="preserve"> </v>
      </c>
      <c r="AN77" s="53" t="str">
        <f>IF(AM77="","",IFERROR(IF(VLOOKUP(AM77,Programa!$AA$35:$AB$50,2,0)="","",VLOOKUP(AM77,Programa!$AA$35:$AB$50,2,0)),""))</f>
        <v/>
      </c>
    </row>
    <row r="78" spans="1:40" ht="15.75" customHeight="1" x14ac:dyDescent="0.4">
      <c r="A78" s="242"/>
      <c r="B78" s="243"/>
      <c r="C78" s="245"/>
      <c r="D78" s="138">
        <f t="shared" ref="D78:AB78" si="53">IF(IFERROR(IF(VLOOKUP(D77,D$151:D$155,1,0)&gt;=1,D$150,0),D77)=D$132,D$136,IF(IFERROR(IF(VLOOKUP(D77,D$151:D$155,1,0)&gt;=1,D$150,0),D77)=D$139,D$142,IF(IFERROR(IF(VLOOKUP(D77,D$151:D$155,1,0)&gt;=1,D$150,0),D77)=D$145,D$147,0)))</f>
        <v>0</v>
      </c>
      <c r="E78" s="138">
        <f t="shared" si="53"/>
        <v>0</v>
      </c>
      <c r="F78" s="138">
        <f t="shared" si="53"/>
        <v>0</v>
      </c>
      <c r="G78" s="138">
        <f t="shared" si="53"/>
        <v>0</v>
      </c>
      <c r="H78" s="138">
        <f t="shared" si="53"/>
        <v>0</v>
      </c>
      <c r="I78" s="138">
        <f t="shared" si="53"/>
        <v>0</v>
      </c>
      <c r="J78" s="138">
        <f t="shared" si="53"/>
        <v>0</v>
      </c>
      <c r="K78" s="138">
        <f t="shared" si="53"/>
        <v>0</v>
      </c>
      <c r="L78" s="138">
        <f t="shared" si="53"/>
        <v>0</v>
      </c>
      <c r="M78" s="138">
        <f t="shared" si="53"/>
        <v>0</v>
      </c>
      <c r="N78" s="138">
        <f t="shared" si="53"/>
        <v>0</v>
      </c>
      <c r="O78" s="138">
        <f t="shared" si="53"/>
        <v>0</v>
      </c>
      <c r="P78" s="138">
        <f t="shared" si="53"/>
        <v>0</v>
      </c>
      <c r="Q78" s="138">
        <f t="shared" si="53"/>
        <v>0</v>
      </c>
      <c r="R78" s="138">
        <f t="shared" si="53"/>
        <v>0</v>
      </c>
      <c r="S78" s="138">
        <f t="shared" si="53"/>
        <v>0</v>
      </c>
      <c r="T78" s="138">
        <f t="shared" si="53"/>
        <v>0</v>
      </c>
      <c r="U78" s="138">
        <f t="shared" si="53"/>
        <v>0</v>
      </c>
      <c r="V78" s="138">
        <f t="shared" si="53"/>
        <v>0</v>
      </c>
      <c r="W78" s="138">
        <f t="shared" si="53"/>
        <v>0</v>
      </c>
      <c r="X78" s="138">
        <f t="shared" si="53"/>
        <v>0</v>
      </c>
      <c r="Y78" s="138">
        <f t="shared" si="53"/>
        <v>0</v>
      </c>
      <c r="Z78" s="138">
        <f t="shared" si="53"/>
        <v>0</v>
      </c>
      <c r="AA78" s="138">
        <f t="shared" si="53"/>
        <v>0</v>
      </c>
      <c r="AB78" s="138">
        <f t="shared" si="53"/>
        <v>0</v>
      </c>
      <c r="AC78" s="243"/>
      <c r="AE78" s="175">
        <v>5</v>
      </c>
      <c r="AF78" s="171" t="str">
        <f>IF(ISBLANK(STUD!G40)," ",STUD!G40)</f>
        <v xml:space="preserve"> </v>
      </c>
      <c r="AG78" s="183">
        <f t="shared" si="47"/>
        <v>0</v>
      </c>
      <c r="AH78" s="183">
        <f t="shared" si="52"/>
        <v>0</v>
      </c>
      <c r="AI78" s="53" t="str">
        <f t="shared" si="48"/>
        <v xml:space="preserve"> </v>
      </c>
      <c r="AJ78" s="53" t="str">
        <f>IF(AI78="","",IFERROR(IF(VLOOKUP(AI78,Programa!$AA$3:$AB$18,2,0)="","",VLOOKUP(AI78,Programa!$AA$3:$AB$18,2,0)),""))</f>
        <v/>
      </c>
      <c r="AK78" s="53" t="str">
        <f t="shared" si="49"/>
        <v xml:space="preserve"> </v>
      </c>
      <c r="AL78" s="53" t="str">
        <f>IF(AK78="","",IFERROR(IF(VLOOKUP(AK78,Programa!$AA$19:$AB$34,2,0)="","",VLOOKUP(AK78,Programa!$AA$19:$AB$34,2,0)),""))</f>
        <v/>
      </c>
      <c r="AM78" s="53" t="str">
        <f t="shared" si="50"/>
        <v xml:space="preserve"> </v>
      </c>
      <c r="AN78" s="53" t="str">
        <f>IF(AM78="","",IFERROR(IF(VLOOKUP(AM78,Programa!$AA$35:$AB$50,2,0)="","",VLOOKUP(AM78,Programa!$AA$35:$AB$50,2,0)),""))</f>
        <v/>
      </c>
    </row>
    <row r="79" spans="1:40" ht="15.75" customHeight="1" x14ac:dyDescent="0.4">
      <c r="A79" s="291">
        <f>+A77+1</f>
        <v>4</v>
      </c>
      <c r="B79" s="243">
        <f>STUD!G38</f>
        <v>0</v>
      </c>
      <c r="C79" s="244">
        <f>SUM(D80:AB80)</f>
        <v>0</v>
      </c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39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243">
        <f>SUM(D80:AB80)</f>
        <v>0</v>
      </c>
      <c r="AE79" s="176">
        <v>6</v>
      </c>
      <c r="AF79" s="171" t="str">
        <f>IF(ISBLANK(STUD!G47)," ",STUD!G47)</f>
        <v xml:space="preserve"> </v>
      </c>
      <c r="AG79" s="183">
        <f t="shared" si="47"/>
        <v>0</v>
      </c>
      <c r="AH79" s="183">
        <f t="shared" si="52"/>
        <v>0</v>
      </c>
      <c r="AI79" s="53" t="str">
        <f t="shared" si="48"/>
        <v xml:space="preserve"> </v>
      </c>
      <c r="AJ79" s="53" t="str">
        <f>IF(AI79="","",IFERROR(IF(VLOOKUP(AI79,Programa!$AA$3:$AB$18,2,0)="","",VLOOKUP(AI79,Programa!$AA$3:$AB$18,2,0)),""))</f>
        <v/>
      </c>
      <c r="AK79" s="53" t="str">
        <f t="shared" si="49"/>
        <v xml:space="preserve"> </v>
      </c>
      <c r="AL79" s="53" t="str">
        <f>IF(AK79="","",IFERROR(IF(VLOOKUP(AK79,Programa!$AA$19:$AB$34,2,0)="","",VLOOKUP(AK79,Programa!$AA$19:$AB$34,2,0)),""))</f>
        <v/>
      </c>
      <c r="AM79" s="53" t="str">
        <f t="shared" si="50"/>
        <v xml:space="preserve"> </v>
      </c>
      <c r="AN79" s="53" t="str">
        <f>IF(AM79="","",IFERROR(IF(VLOOKUP(AM79,Programa!$AA$35:$AB$50,2,0)="","",VLOOKUP(AM79,Programa!$AA$35:$AB$50,2,0)),""))</f>
        <v/>
      </c>
    </row>
    <row r="80" spans="1:40" ht="15.75" customHeight="1" x14ac:dyDescent="0.4">
      <c r="A80" s="242"/>
      <c r="B80" s="243"/>
      <c r="C80" s="245"/>
      <c r="D80" s="138">
        <f t="shared" ref="D80:AB80" si="54">IF(IFERROR(IF(VLOOKUP(D79,D$151:D$155,1,0)&gt;=1,D$150,0),D79)=D$132,D$136,IF(IFERROR(IF(VLOOKUP(D79,D$151:D$155,1,0)&gt;=1,D$150,0),D79)=D$139,D$142,IF(IFERROR(IF(VLOOKUP(D79,D$151:D$155,1,0)&gt;=1,D$150,0),D79)=D$145,D$147,0)))</f>
        <v>0</v>
      </c>
      <c r="E80" s="138">
        <f t="shared" si="54"/>
        <v>0</v>
      </c>
      <c r="F80" s="138">
        <f t="shared" si="54"/>
        <v>0</v>
      </c>
      <c r="G80" s="138">
        <f t="shared" si="54"/>
        <v>0</v>
      </c>
      <c r="H80" s="138">
        <f t="shared" si="54"/>
        <v>0</v>
      </c>
      <c r="I80" s="138">
        <f t="shared" si="54"/>
        <v>0</v>
      </c>
      <c r="J80" s="138">
        <f t="shared" si="54"/>
        <v>0</v>
      </c>
      <c r="K80" s="138">
        <f t="shared" si="54"/>
        <v>0</v>
      </c>
      <c r="L80" s="138">
        <f t="shared" si="54"/>
        <v>0</v>
      </c>
      <c r="M80" s="138">
        <f t="shared" si="54"/>
        <v>0</v>
      </c>
      <c r="N80" s="138">
        <f t="shared" si="54"/>
        <v>0</v>
      </c>
      <c r="O80" s="138">
        <f t="shared" si="54"/>
        <v>0</v>
      </c>
      <c r="P80" s="138">
        <f t="shared" si="54"/>
        <v>0</v>
      </c>
      <c r="Q80" s="138">
        <f t="shared" si="54"/>
        <v>0</v>
      </c>
      <c r="R80" s="138">
        <f t="shared" si="54"/>
        <v>0</v>
      </c>
      <c r="S80" s="138">
        <f t="shared" si="54"/>
        <v>0</v>
      </c>
      <c r="T80" s="138">
        <f t="shared" si="54"/>
        <v>0</v>
      </c>
      <c r="U80" s="138">
        <f t="shared" si="54"/>
        <v>0</v>
      </c>
      <c r="V80" s="138">
        <f t="shared" si="54"/>
        <v>0</v>
      </c>
      <c r="W80" s="138">
        <f t="shared" si="54"/>
        <v>0</v>
      </c>
      <c r="X80" s="138">
        <f t="shared" si="54"/>
        <v>0</v>
      </c>
      <c r="Y80" s="138">
        <f t="shared" si="54"/>
        <v>0</v>
      </c>
      <c r="Z80" s="138">
        <f t="shared" si="54"/>
        <v>0</v>
      </c>
      <c r="AA80" s="138">
        <f t="shared" si="54"/>
        <v>0</v>
      </c>
      <c r="AB80" s="138">
        <f t="shared" si="54"/>
        <v>0</v>
      </c>
      <c r="AC80" s="243"/>
      <c r="AE80" s="177">
        <v>7</v>
      </c>
      <c r="AF80" s="171" t="str">
        <f>IF(ISBLANK(STUD!G43)," ",STUD!G43)</f>
        <v xml:space="preserve"> </v>
      </c>
      <c r="AG80" s="183">
        <f t="shared" si="47"/>
        <v>0</v>
      </c>
      <c r="AH80" s="183">
        <f t="shared" si="52"/>
        <v>0</v>
      </c>
      <c r="AI80" s="53" t="str">
        <f t="shared" si="48"/>
        <v xml:space="preserve"> </v>
      </c>
      <c r="AJ80" s="53" t="str">
        <f>IF(AI80="","",IFERROR(IF(VLOOKUP(AI80,Programa!$AA$3:$AB$18,2,0)="","",VLOOKUP(AI80,Programa!$AA$3:$AB$18,2,0)),""))</f>
        <v/>
      </c>
      <c r="AK80" s="53" t="str">
        <f t="shared" si="49"/>
        <v xml:space="preserve"> </v>
      </c>
      <c r="AL80" s="53" t="str">
        <f>IF(AK80="","",IFERROR(IF(VLOOKUP(AK80,Programa!$AA$19:$AB$34,2,0)="","",VLOOKUP(AK80,Programa!$AA$19:$AB$34,2,0)),""))</f>
        <v/>
      </c>
      <c r="AM80" s="53" t="str">
        <f t="shared" si="50"/>
        <v xml:space="preserve"> </v>
      </c>
      <c r="AN80" s="53" t="str">
        <f>IF(AM80="","",IFERROR(IF(VLOOKUP(AM80,Programa!$AA$35:$AB$50,2,0)="","",VLOOKUP(AM80,Programa!$AA$35:$AB$50,2,0)),""))</f>
        <v/>
      </c>
    </row>
    <row r="81" spans="1:40" ht="15.75" customHeight="1" x14ac:dyDescent="0.4">
      <c r="A81" s="291">
        <f t="shared" ref="A81:A127" si="55">+A79+1</f>
        <v>5</v>
      </c>
      <c r="B81" s="243">
        <f>STUD!G39</f>
        <v>0</v>
      </c>
      <c r="C81" s="244">
        <f>SUM(D82:AB82)</f>
        <v>0</v>
      </c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39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243">
        <f>SUM(D82:AB82)</f>
        <v>0</v>
      </c>
      <c r="AE81" s="178">
        <v>8</v>
      </c>
      <c r="AF81" s="171" t="str">
        <f>IF(ISBLANK(STUD!G41)," ",STUD!G41)</f>
        <v xml:space="preserve"> </v>
      </c>
      <c r="AG81" s="183">
        <f t="shared" si="47"/>
        <v>0</v>
      </c>
      <c r="AH81" s="183">
        <f t="shared" si="52"/>
        <v>0</v>
      </c>
      <c r="AI81" s="53" t="str">
        <f t="shared" si="48"/>
        <v xml:space="preserve"> </v>
      </c>
      <c r="AJ81" s="53" t="str">
        <f>IF(AI81="","",IFERROR(IF(VLOOKUP(AI81,Programa!$AA$3:$AB$18,2,0)="","",VLOOKUP(AI81,Programa!$AA$3:$AB$18,2,0)),""))</f>
        <v/>
      </c>
      <c r="AK81" s="53" t="str">
        <f t="shared" si="49"/>
        <v xml:space="preserve"> </v>
      </c>
      <c r="AL81" s="53" t="str">
        <f>IF(AK81="","",IFERROR(IF(VLOOKUP(AK81,Programa!$AA$19:$AB$34,2,0)="","",VLOOKUP(AK81,Programa!$AA$19:$AB$34,2,0)),""))</f>
        <v/>
      </c>
      <c r="AM81" s="53" t="str">
        <f t="shared" si="50"/>
        <v xml:space="preserve"> </v>
      </c>
      <c r="AN81" s="53" t="str">
        <f>IF(AM81="","",IFERROR(IF(VLOOKUP(AM81,Programa!$AA$35:$AB$50,2,0)="","",VLOOKUP(AM81,Programa!$AA$35:$AB$50,2,0)),""))</f>
        <v/>
      </c>
    </row>
    <row r="82" spans="1:40" ht="15.75" customHeight="1" x14ac:dyDescent="0.4">
      <c r="A82" s="242"/>
      <c r="B82" s="243"/>
      <c r="C82" s="245"/>
      <c r="D82" s="138">
        <f t="shared" ref="D82:AB82" si="56">IF(IFERROR(IF(VLOOKUP(D81,D$151:D$155,1,0)&gt;=1,D$150,0),D81)=D$132,D$136,IF(IFERROR(IF(VLOOKUP(D81,D$151:D$155,1,0)&gt;=1,D$150,0),D81)=D$139,D$142,IF(IFERROR(IF(VLOOKUP(D81,D$151:D$155,1,0)&gt;=1,D$150,0),D81)=D$145,D$147,0)))</f>
        <v>0</v>
      </c>
      <c r="E82" s="138">
        <f t="shared" si="56"/>
        <v>0</v>
      </c>
      <c r="F82" s="138">
        <f t="shared" si="56"/>
        <v>0</v>
      </c>
      <c r="G82" s="138">
        <f t="shared" si="56"/>
        <v>0</v>
      </c>
      <c r="H82" s="138">
        <f t="shared" si="56"/>
        <v>0</v>
      </c>
      <c r="I82" s="138">
        <f t="shared" si="56"/>
        <v>0</v>
      </c>
      <c r="J82" s="138">
        <f t="shared" si="56"/>
        <v>0</v>
      </c>
      <c r="K82" s="138">
        <f t="shared" si="56"/>
        <v>0</v>
      </c>
      <c r="L82" s="138">
        <f t="shared" si="56"/>
        <v>0</v>
      </c>
      <c r="M82" s="138">
        <f t="shared" si="56"/>
        <v>0</v>
      </c>
      <c r="N82" s="138">
        <f t="shared" si="56"/>
        <v>0</v>
      </c>
      <c r="O82" s="138">
        <f t="shared" si="56"/>
        <v>0</v>
      </c>
      <c r="P82" s="138">
        <f t="shared" si="56"/>
        <v>0</v>
      </c>
      <c r="Q82" s="138">
        <f t="shared" si="56"/>
        <v>0</v>
      </c>
      <c r="R82" s="138">
        <f t="shared" si="56"/>
        <v>0</v>
      </c>
      <c r="S82" s="138">
        <f t="shared" si="56"/>
        <v>0</v>
      </c>
      <c r="T82" s="138">
        <f t="shared" si="56"/>
        <v>0</v>
      </c>
      <c r="U82" s="138">
        <f t="shared" si="56"/>
        <v>0</v>
      </c>
      <c r="V82" s="138">
        <f t="shared" si="56"/>
        <v>0</v>
      </c>
      <c r="W82" s="138">
        <f t="shared" si="56"/>
        <v>0</v>
      </c>
      <c r="X82" s="138">
        <f t="shared" si="56"/>
        <v>0</v>
      </c>
      <c r="Y82" s="138">
        <f t="shared" si="56"/>
        <v>0</v>
      </c>
      <c r="Z82" s="138">
        <f t="shared" si="56"/>
        <v>0</v>
      </c>
      <c r="AA82" s="138">
        <f t="shared" si="56"/>
        <v>0</v>
      </c>
      <c r="AB82" s="138">
        <f t="shared" si="56"/>
        <v>0</v>
      </c>
      <c r="AC82" s="243"/>
      <c r="AE82" s="179">
        <v>9</v>
      </c>
      <c r="AF82" s="171" t="str">
        <f>IF(ISBLANK(STUD!G44)," ",STUD!G44)</f>
        <v xml:space="preserve"> </v>
      </c>
      <c r="AG82" s="183">
        <f t="shared" si="47"/>
        <v>0</v>
      </c>
      <c r="AH82" s="183">
        <f t="shared" si="52"/>
        <v>0</v>
      </c>
      <c r="AI82" s="53" t="str">
        <f t="shared" si="48"/>
        <v xml:space="preserve"> </v>
      </c>
      <c r="AJ82" s="53" t="str">
        <f>IF(AI82="","",IFERROR(IF(VLOOKUP(AI82,Programa!$AA$3:$AB$18,2,0)="","",VLOOKUP(AI82,Programa!$AA$3:$AB$18,2,0)),""))</f>
        <v/>
      </c>
      <c r="AK82" s="53" t="str">
        <f t="shared" si="49"/>
        <v xml:space="preserve"> </v>
      </c>
      <c r="AL82" s="53" t="str">
        <f>IF(AK82="","",IFERROR(IF(VLOOKUP(AK82,Programa!$AA$19:$AB$34,2,0)="","",VLOOKUP(AK82,Programa!$AA$19:$AB$34,2,0)),""))</f>
        <v/>
      </c>
      <c r="AM82" s="53" t="str">
        <f t="shared" si="50"/>
        <v xml:space="preserve"> </v>
      </c>
      <c r="AN82" s="53" t="str">
        <f>IF(AM82="","",IFERROR(IF(VLOOKUP(AM82,Programa!$AA$35:$AB$50,2,0)="","",VLOOKUP(AM82,Programa!$AA$35:$AB$50,2,0)),""))</f>
        <v/>
      </c>
    </row>
    <row r="83" spans="1:40" ht="15.75" customHeight="1" x14ac:dyDescent="0.4">
      <c r="A83" s="291">
        <f t="shared" si="55"/>
        <v>6</v>
      </c>
      <c r="B83" s="243">
        <f>STUD!G40</f>
        <v>0</v>
      </c>
      <c r="C83" s="244">
        <f>SUM(D84:AB84)</f>
        <v>0</v>
      </c>
      <c r="D83" s="139"/>
      <c r="E83" s="139"/>
      <c r="F83" s="139"/>
      <c r="G83" s="139"/>
      <c r="H83" s="139"/>
      <c r="I83" s="139"/>
      <c r="J83" s="139"/>
      <c r="K83" s="139"/>
      <c r="L83" s="139"/>
      <c r="M83" s="139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243">
        <f>SUM(D84:AB84)</f>
        <v>0</v>
      </c>
      <c r="AE83" s="180">
        <v>10</v>
      </c>
      <c r="AF83" s="171" t="str">
        <f>IF(ISBLANK(STUD!G36)," ",STUD!G36)</f>
        <v xml:space="preserve"> </v>
      </c>
      <c r="AG83" s="183">
        <f t="shared" si="47"/>
        <v>0</v>
      </c>
      <c r="AH83" s="183">
        <f t="shared" si="52"/>
        <v>0</v>
      </c>
      <c r="AI83" s="53" t="str">
        <f t="shared" si="48"/>
        <v xml:space="preserve"> </v>
      </c>
      <c r="AJ83" s="53" t="str">
        <f>IF(AI83="","",IFERROR(IF(VLOOKUP(AI83,Programa!$AA$3:$AB$18,2,0)="","",VLOOKUP(AI83,Programa!$AA$3:$AB$18,2,0)),""))</f>
        <v/>
      </c>
      <c r="AK83" s="53" t="str">
        <f t="shared" si="49"/>
        <v xml:space="preserve"> </v>
      </c>
      <c r="AL83" s="53" t="str">
        <f>IF(AK83="","",IFERROR(IF(VLOOKUP(AK83,Programa!$AA$19:$AB$34,2,0)="","",VLOOKUP(AK83,Programa!$AA$19:$AB$34,2,0)),""))</f>
        <v/>
      </c>
      <c r="AM83" s="53" t="str">
        <f t="shared" si="50"/>
        <v xml:space="preserve"> </v>
      </c>
      <c r="AN83" s="53" t="str">
        <f>IF(AM83="","",IFERROR(IF(VLOOKUP(AM83,Programa!$AA$35:$AB$50,2,0)="","",VLOOKUP(AM83,Programa!$AA$35:$AB$50,2,0)),""))</f>
        <v/>
      </c>
    </row>
    <row r="84" spans="1:40" ht="15.75" customHeight="1" x14ac:dyDescent="0.4">
      <c r="A84" s="242"/>
      <c r="B84" s="243"/>
      <c r="C84" s="245"/>
      <c r="D84" s="138">
        <f t="shared" ref="D84:AB84" si="57">IF(IFERROR(IF(VLOOKUP(D83,D$151:D$155,1,0)&gt;=1,D$150,0),D83)=D$132,D$136,IF(IFERROR(IF(VLOOKUP(D83,D$151:D$155,1,0)&gt;=1,D$150,0),D83)=D$139,D$142,IF(IFERROR(IF(VLOOKUP(D83,D$151:D$155,1,0)&gt;=1,D$150,0),D83)=D$145,D$147,0)))</f>
        <v>0</v>
      </c>
      <c r="E84" s="138">
        <f t="shared" si="57"/>
        <v>0</v>
      </c>
      <c r="F84" s="138">
        <f t="shared" si="57"/>
        <v>0</v>
      </c>
      <c r="G84" s="138">
        <f t="shared" si="57"/>
        <v>0</v>
      </c>
      <c r="H84" s="138">
        <f t="shared" si="57"/>
        <v>0</v>
      </c>
      <c r="I84" s="138">
        <f t="shared" si="57"/>
        <v>0</v>
      </c>
      <c r="J84" s="138">
        <f t="shared" si="57"/>
        <v>0</v>
      </c>
      <c r="K84" s="138">
        <f t="shared" si="57"/>
        <v>0</v>
      </c>
      <c r="L84" s="138">
        <f t="shared" si="57"/>
        <v>0</v>
      </c>
      <c r="M84" s="138">
        <f t="shared" si="57"/>
        <v>0</v>
      </c>
      <c r="N84" s="138">
        <f t="shared" si="57"/>
        <v>0</v>
      </c>
      <c r="O84" s="138">
        <f t="shared" si="57"/>
        <v>0</v>
      </c>
      <c r="P84" s="138">
        <f t="shared" si="57"/>
        <v>0</v>
      </c>
      <c r="Q84" s="138">
        <f t="shared" si="57"/>
        <v>0</v>
      </c>
      <c r="R84" s="138">
        <f t="shared" si="57"/>
        <v>0</v>
      </c>
      <c r="S84" s="138">
        <f t="shared" si="57"/>
        <v>0</v>
      </c>
      <c r="T84" s="138">
        <f t="shared" si="57"/>
        <v>0</v>
      </c>
      <c r="U84" s="138">
        <f t="shared" si="57"/>
        <v>0</v>
      </c>
      <c r="V84" s="138">
        <f t="shared" si="57"/>
        <v>0</v>
      </c>
      <c r="W84" s="138">
        <f t="shared" si="57"/>
        <v>0</v>
      </c>
      <c r="X84" s="138">
        <f t="shared" si="57"/>
        <v>0</v>
      </c>
      <c r="Y84" s="138">
        <f t="shared" si="57"/>
        <v>0</v>
      </c>
      <c r="Z84" s="138">
        <f t="shared" si="57"/>
        <v>0</v>
      </c>
      <c r="AA84" s="138">
        <f t="shared" si="57"/>
        <v>0</v>
      </c>
      <c r="AB84" s="138">
        <f t="shared" si="57"/>
        <v>0</v>
      </c>
      <c r="AC84" s="243"/>
      <c r="AE84" s="196">
        <v>11</v>
      </c>
      <c r="AF84" s="171" t="str">
        <f>IF(ISBLANK(STUD!G46)," ",STUD!G46)</f>
        <v xml:space="preserve"> </v>
      </c>
      <c r="AG84" s="183">
        <f t="shared" si="47"/>
        <v>0</v>
      </c>
      <c r="AH84" s="183">
        <f t="shared" si="52"/>
        <v>0</v>
      </c>
      <c r="AI84" s="53" t="str">
        <f t="shared" si="48"/>
        <v xml:space="preserve"> </v>
      </c>
      <c r="AJ84" s="53" t="str">
        <f>IF(AI84="","",IFERROR(IF(VLOOKUP(AI84,Programa!$AA$3:$AB$18,2,0)="","",VLOOKUP(AI84,Programa!$AA$3:$AB$18,2,0)),""))</f>
        <v/>
      </c>
      <c r="AK84" s="53" t="str">
        <f t="shared" si="49"/>
        <v xml:space="preserve"> </v>
      </c>
      <c r="AL84" s="53" t="str">
        <f>IF(AK84="","",IFERROR(IF(VLOOKUP(AK84,Programa!$AA$19:$AB$34,2,0)="","",VLOOKUP(AK84,Programa!$AA$19:$AB$34,2,0)),""))</f>
        <v/>
      </c>
      <c r="AM84" s="53" t="str">
        <f t="shared" si="50"/>
        <v xml:space="preserve"> </v>
      </c>
      <c r="AN84" s="53" t="str">
        <f>IF(AM84="","",IFERROR(IF(VLOOKUP(AM84,Programa!$AA$35:$AB$50,2,0)="","",VLOOKUP(AM84,Programa!$AA$35:$AB$50,2,0)),""))</f>
        <v/>
      </c>
    </row>
    <row r="85" spans="1:40" ht="15.75" customHeight="1" x14ac:dyDescent="0.4">
      <c r="A85" s="291">
        <f t="shared" si="55"/>
        <v>7</v>
      </c>
      <c r="B85" s="243">
        <f>STUD!G41</f>
        <v>0</v>
      </c>
      <c r="C85" s="244">
        <f>SUM(D86:AB86)</f>
        <v>0</v>
      </c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39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243">
        <f>SUM(D86:AB86)</f>
        <v>0</v>
      </c>
      <c r="AE85" s="197">
        <v>12</v>
      </c>
      <c r="AF85" s="171" t="str">
        <f>IF(ISBLANK(STUD!G50)," ",STUD!G50)</f>
        <v xml:space="preserve"> </v>
      </c>
      <c r="AG85" s="183">
        <f t="shared" si="47"/>
        <v>0</v>
      </c>
      <c r="AH85" s="183">
        <f t="shared" si="52"/>
        <v>0</v>
      </c>
      <c r="AI85" s="53" t="str">
        <f t="shared" si="48"/>
        <v xml:space="preserve"> </v>
      </c>
      <c r="AJ85" s="53" t="str">
        <f>IF(AI85="","",IFERROR(IF(VLOOKUP(AI85,Programa!$AA$3:$AB$18,2,0)="","",VLOOKUP(AI85,Programa!$AA$3:$AB$18,2,0)),""))</f>
        <v/>
      </c>
      <c r="AK85" s="53" t="str">
        <f t="shared" si="49"/>
        <v xml:space="preserve"> </v>
      </c>
      <c r="AL85" s="53" t="str">
        <f>IF(AK85="","",IFERROR(IF(VLOOKUP(AK85,Programa!$AA$19:$AB$34,2,0)="","",VLOOKUP(AK85,Programa!$AA$19:$AB$34,2,0)),""))</f>
        <v/>
      </c>
      <c r="AM85" s="53" t="str">
        <f t="shared" si="50"/>
        <v xml:space="preserve"> </v>
      </c>
      <c r="AN85" s="53" t="str">
        <f>IF(AM85="","",IFERROR(IF(VLOOKUP(AM85,Programa!$AA$35:$AB$50,2,0)="","",VLOOKUP(AM85,Programa!$AA$35:$AB$50,2,0)),""))</f>
        <v/>
      </c>
    </row>
    <row r="86" spans="1:40" ht="15.75" customHeight="1" x14ac:dyDescent="0.4">
      <c r="A86" s="242"/>
      <c r="B86" s="243"/>
      <c r="C86" s="245"/>
      <c r="D86" s="138">
        <f t="shared" ref="D86:AB86" si="58">IF(IFERROR(IF(VLOOKUP(D85,D$151:D$155,1,0)&gt;=1,D$150,0),D85)=D$132,D$136,IF(IFERROR(IF(VLOOKUP(D85,D$151:D$155,1,0)&gt;=1,D$150,0),D85)=D$139,D$142,IF(IFERROR(IF(VLOOKUP(D85,D$151:D$155,1,0)&gt;=1,D$150,0),D85)=D$145,D$147,0)))</f>
        <v>0</v>
      </c>
      <c r="E86" s="138">
        <f t="shared" si="58"/>
        <v>0</v>
      </c>
      <c r="F86" s="138">
        <f t="shared" si="58"/>
        <v>0</v>
      </c>
      <c r="G86" s="138">
        <f t="shared" si="58"/>
        <v>0</v>
      </c>
      <c r="H86" s="138">
        <f t="shared" si="58"/>
        <v>0</v>
      </c>
      <c r="I86" s="138">
        <f t="shared" si="58"/>
        <v>0</v>
      </c>
      <c r="J86" s="138">
        <f t="shared" si="58"/>
        <v>0</v>
      </c>
      <c r="K86" s="138">
        <f t="shared" si="58"/>
        <v>0</v>
      </c>
      <c r="L86" s="138">
        <f t="shared" si="58"/>
        <v>0</v>
      </c>
      <c r="M86" s="138">
        <f t="shared" si="58"/>
        <v>0</v>
      </c>
      <c r="N86" s="138">
        <f t="shared" si="58"/>
        <v>0</v>
      </c>
      <c r="O86" s="138">
        <f t="shared" si="58"/>
        <v>0</v>
      </c>
      <c r="P86" s="138">
        <f t="shared" si="58"/>
        <v>0</v>
      </c>
      <c r="Q86" s="138">
        <f t="shared" si="58"/>
        <v>0</v>
      </c>
      <c r="R86" s="138">
        <f t="shared" si="58"/>
        <v>0</v>
      </c>
      <c r="S86" s="138">
        <f t="shared" si="58"/>
        <v>0</v>
      </c>
      <c r="T86" s="138">
        <f t="shared" si="58"/>
        <v>0</v>
      </c>
      <c r="U86" s="138">
        <f t="shared" si="58"/>
        <v>0</v>
      </c>
      <c r="V86" s="138">
        <f t="shared" si="58"/>
        <v>0</v>
      </c>
      <c r="W86" s="138">
        <f t="shared" si="58"/>
        <v>0</v>
      </c>
      <c r="X86" s="138">
        <f t="shared" si="58"/>
        <v>0</v>
      </c>
      <c r="Y86" s="138">
        <f t="shared" si="58"/>
        <v>0</v>
      </c>
      <c r="Z86" s="138">
        <f t="shared" si="58"/>
        <v>0</v>
      </c>
      <c r="AA86" s="138">
        <f t="shared" si="58"/>
        <v>0</v>
      </c>
      <c r="AB86" s="138">
        <f t="shared" si="58"/>
        <v>0</v>
      </c>
      <c r="AC86" s="243"/>
      <c r="AE86" s="198">
        <v>13</v>
      </c>
      <c r="AF86" s="171" t="str">
        <f>IF(ISBLANK(STUD!G45)," ",STUD!G45)</f>
        <v xml:space="preserve"> </v>
      </c>
      <c r="AG86" s="183">
        <f t="shared" si="47"/>
        <v>0</v>
      </c>
      <c r="AH86" s="183">
        <f t="shared" si="52"/>
        <v>0</v>
      </c>
      <c r="AI86" s="53" t="str">
        <f t="shared" si="48"/>
        <v xml:space="preserve"> </v>
      </c>
      <c r="AJ86" s="53" t="str">
        <f>IF(AI86="","",IFERROR(IF(VLOOKUP(AI86,Programa!$AA$3:$AB$18,2,0)="","",VLOOKUP(AI86,Programa!$AA$3:$AB$18,2,0)),""))</f>
        <v/>
      </c>
      <c r="AK86" s="53" t="str">
        <f t="shared" si="49"/>
        <v xml:space="preserve"> </v>
      </c>
      <c r="AL86" s="53" t="str">
        <f>IF(AK86="","",IFERROR(IF(VLOOKUP(AK86,Programa!$AA$19:$AB$34,2,0)="","",VLOOKUP(AK86,Programa!$AA$19:$AB$34,2,0)),""))</f>
        <v/>
      </c>
      <c r="AM86" s="53" t="str">
        <f t="shared" si="50"/>
        <v xml:space="preserve"> </v>
      </c>
      <c r="AN86" s="53" t="str">
        <f>IF(AM86="","",IFERROR(IF(VLOOKUP(AM86,Programa!$AA$35:$AB$50,2,0)="","",VLOOKUP(AM86,Programa!$AA$35:$AB$50,2,0)),""))</f>
        <v/>
      </c>
    </row>
    <row r="87" spans="1:40" ht="15.75" customHeight="1" x14ac:dyDescent="0.4">
      <c r="A87" s="291">
        <f t="shared" si="55"/>
        <v>8</v>
      </c>
      <c r="B87" s="243">
        <f>STUD!G42</f>
        <v>0</v>
      </c>
      <c r="C87" s="244">
        <f>SUM(D88:AB88)</f>
        <v>0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39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243">
        <f>SUM(D88:AB88)</f>
        <v>0</v>
      </c>
      <c r="AE87" s="199">
        <v>14</v>
      </c>
      <c r="AF87" s="171" t="str">
        <f>IF(ISBLANK(STUD!G42)," ",STUD!G42)</f>
        <v xml:space="preserve"> </v>
      </c>
      <c r="AG87" s="183">
        <f t="shared" si="47"/>
        <v>0</v>
      </c>
      <c r="AH87" s="183">
        <f t="shared" si="52"/>
        <v>0</v>
      </c>
      <c r="AI87" s="53" t="str">
        <f t="shared" si="48"/>
        <v xml:space="preserve"> </v>
      </c>
      <c r="AJ87" s="53" t="str">
        <f>IF(AI87="","",IFERROR(IF(VLOOKUP(AI87,Programa!$AA$3:$AB$18,2,0)="","",VLOOKUP(AI87,Programa!$AA$3:$AB$18,2,0)),""))</f>
        <v/>
      </c>
      <c r="AK87" s="53" t="str">
        <f t="shared" si="49"/>
        <v xml:space="preserve"> </v>
      </c>
      <c r="AL87" s="53" t="str">
        <f>IF(AK87="","",IFERROR(IF(VLOOKUP(AK87,Programa!$AA$19:$AB$34,2,0)="","",VLOOKUP(AK87,Programa!$AA$19:$AB$34,2,0)),""))</f>
        <v/>
      </c>
      <c r="AM87" s="53" t="str">
        <f t="shared" si="50"/>
        <v xml:space="preserve"> </v>
      </c>
      <c r="AN87" s="53" t="str">
        <f>IF(AM87="","",IFERROR(IF(VLOOKUP(AM87,Programa!$AA$35:$AB$50,2,0)="","",VLOOKUP(AM87,Programa!$AA$35:$AB$50,2,0)),""))</f>
        <v/>
      </c>
    </row>
    <row r="88" spans="1:40" ht="15.75" customHeight="1" x14ac:dyDescent="0.4">
      <c r="A88" s="242"/>
      <c r="B88" s="243"/>
      <c r="C88" s="245"/>
      <c r="D88" s="138">
        <f t="shared" ref="D88:AB88" si="59">IF(IFERROR(IF(VLOOKUP(D87,D$151:D$155,1,0)&gt;=1,D$150,0),D87)=D$132,D$136,IF(IFERROR(IF(VLOOKUP(D87,D$151:D$155,1,0)&gt;=1,D$150,0),D87)=D$139,D$142,IF(IFERROR(IF(VLOOKUP(D87,D$151:D$155,1,0)&gt;=1,D$150,0),D87)=D$145,D$147,0)))</f>
        <v>0</v>
      </c>
      <c r="E88" s="138">
        <f t="shared" si="59"/>
        <v>0</v>
      </c>
      <c r="F88" s="138">
        <f t="shared" si="59"/>
        <v>0</v>
      </c>
      <c r="G88" s="138">
        <f t="shared" si="59"/>
        <v>0</v>
      </c>
      <c r="H88" s="138">
        <f t="shared" si="59"/>
        <v>0</v>
      </c>
      <c r="I88" s="138">
        <f t="shared" si="59"/>
        <v>0</v>
      </c>
      <c r="J88" s="138">
        <f t="shared" si="59"/>
        <v>0</v>
      </c>
      <c r="K88" s="138">
        <f t="shared" si="59"/>
        <v>0</v>
      </c>
      <c r="L88" s="138">
        <f t="shared" si="59"/>
        <v>0</v>
      </c>
      <c r="M88" s="138">
        <f t="shared" si="59"/>
        <v>0</v>
      </c>
      <c r="N88" s="138">
        <f t="shared" si="59"/>
        <v>0</v>
      </c>
      <c r="O88" s="138">
        <f t="shared" si="59"/>
        <v>0</v>
      </c>
      <c r="P88" s="138">
        <f t="shared" si="59"/>
        <v>0</v>
      </c>
      <c r="Q88" s="138">
        <f t="shared" si="59"/>
        <v>0</v>
      </c>
      <c r="R88" s="138">
        <f t="shared" si="59"/>
        <v>0</v>
      </c>
      <c r="S88" s="138">
        <f t="shared" si="59"/>
        <v>0</v>
      </c>
      <c r="T88" s="138">
        <f t="shared" si="59"/>
        <v>0</v>
      </c>
      <c r="U88" s="138">
        <f t="shared" si="59"/>
        <v>0</v>
      </c>
      <c r="V88" s="138">
        <f t="shared" si="59"/>
        <v>0</v>
      </c>
      <c r="W88" s="138">
        <f t="shared" si="59"/>
        <v>0</v>
      </c>
      <c r="X88" s="138">
        <f t="shared" si="59"/>
        <v>0</v>
      </c>
      <c r="Y88" s="138">
        <f t="shared" si="59"/>
        <v>0</v>
      </c>
      <c r="Z88" s="138">
        <f t="shared" si="59"/>
        <v>0</v>
      </c>
      <c r="AA88" s="138">
        <f t="shared" si="59"/>
        <v>0</v>
      </c>
      <c r="AB88" s="138">
        <f t="shared" si="59"/>
        <v>0</v>
      </c>
      <c r="AC88" s="243"/>
      <c r="AE88" s="200">
        <v>15</v>
      </c>
      <c r="AF88" s="171" t="str">
        <f>IF(ISBLANK(STUD!G48)," ",STUD!G48)</f>
        <v xml:space="preserve"> </v>
      </c>
      <c r="AG88" s="183">
        <f t="shared" si="47"/>
        <v>0</v>
      </c>
      <c r="AH88" s="183">
        <f t="shared" si="52"/>
        <v>0</v>
      </c>
      <c r="AI88" s="53" t="str">
        <f t="shared" si="48"/>
        <v xml:space="preserve"> </v>
      </c>
      <c r="AJ88" s="53" t="str">
        <f>IF(AI88="","",IFERROR(IF(VLOOKUP(AI88,Programa!$AA$3:$AB$18,2,0)="","",VLOOKUP(AI88,Programa!$AA$3:$AB$18,2,0)),""))</f>
        <v/>
      </c>
      <c r="AK88" s="53" t="str">
        <f t="shared" si="49"/>
        <v xml:space="preserve"> </v>
      </c>
      <c r="AL88" s="53" t="str">
        <f>IF(AK88="","",IFERROR(IF(VLOOKUP(AK88,Programa!$AA$19:$AB$34,2,0)="","",VLOOKUP(AK88,Programa!$AA$19:$AB$34,2,0)),""))</f>
        <v/>
      </c>
      <c r="AM88" s="53" t="str">
        <f t="shared" si="50"/>
        <v xml:space="preserve"> </v>
      </c>
      <c r="AN88" s="53" t="str">
        <f>IF(AM88="","",IFERROR(IF(VLOOKUP(AM88,Programa!$AA$35:$AB$50,2,0)="","",VLOOKUP(AM88,Programa!$AA$35:$AB$50,2,0)),""))</f>
        <v/>
      </c>
    </row>
    <row r="89" spans="1:40" ht="15.75" customHeight="1" x14ac:dyDescent="0.4">
      <c r="A89" s="291">
        <f t="shared" si="55"/>
        <v>9</v>
      </c>
      <c r="B89" s="243">
        <f>STUD!G43</f>
        <v>0</v>
      </c>
      <c r="C89" s="244">
        <f>SUM(D90:AB90)</f>
        <v>0</v>
      </c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39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243">
        <f>SUM(D90:AB90)</f>
        <v>0</v>
      </c>
      <c r="AE89" s="201">
        <v>16</v>
      </c>
      <c r="AF89" s="171" t="str">
        <f>IF(ISBLANK(STUD!G37)," ",STUD!G37)</f>
        <v xml:space="preserve"> </v>
      </c>
      <c r="AG89" s="183">
        <f t="shared" si="47"/>
        <v>0</v>
      </c>
      <c r="AH89" s="183">
        <f t="shared" si="52"/>
        <v>0</v>
      </c>
      <c r="AI89" s="53" t="str">
        <f t="shared" si="48"/>
        <v xml:space="preserve"> </v>
      </c>
      <c r="AJ89" s="53" t="str">
        <f>IF(AI89="","",IFERROR(IF(VLOOKUP(AI89,Programa!$AA$3:$AB$18,2,0)="","",VLOOKUP(AI89,Programa!$AA$3:$AB$18,2,0)),""))</f>
        <v/>
      </c>
      <c r="AK89" s="53" t="str">
        <f t="shared" si="49"/>
        <v xml:space="preserve"> </v>
      </c>
      <c r="AL89" s="53" t="str">
        <f>IF(AK89="","",IFERROR(IF(VLOOKUP(AK89,Programa!$AA$19:$AB$34,2,0)="","",VLOOKUP(AK89,Programa!$AA$19:$AB$34,2,0)),""))</f>
        <v/>
      </c>
      <c r="AM89" s="53" t="str">
        <f t="shared" si="50"/>
        <v xml:space="preserve"> </v>
      </c>
      <c r="AN89" s="53" t="str">
        <f>IF(AM89="","",IFERROR(IF(VLOOKUP(AM89,Programa!$AA$35:$AB$50,2,0)="","",VLOOKUP(AM89,Programa!$AA$35:$AB$50,2,0)),""))</f>
        <v/>
      </c>
    </row>
    <row r="90" spans="1:40" ht="15.75" customHeight="1" x14ac:dyDescent="0.4">
      <c r="A90" s="242"/>
      <c r="B90" s="243"/>
      <c r="C90" s="245"/>
      <c r="D90" s="138">
        <f t="shared" ref="D90:AB90" si="60">IF(IFERROR(IF(VLOOKUP(D89,D$151:D$155,1,0)&gt;=1,D$150,0),D89)=D$132,D$136,IF(IFERROR(IF(VLOOKUP(D89,D$151:D$155,1,0)&gt;=1,D$150,0),D89)=D$139,D$142,IF(IFERROR(IF(VLOOKUP(D89,D$151:D$155,1,0)&gt;=1,D$150,0),D89)=D$145,D$147,0)))</f>
        <v>0</v>
      </c>
      <c r="E90" s="138">
        <f t="shared" si="60"/>
        <v>0</v>
      </c>
      <c r="F90" s="138">
        <f t="shared" si="60"/>
        <v>0</v>
      </c>
      <c r="G90" s="138">
        <f t="shared" si="60"/>
        <v>0</v>
      </c>
      <c r="H90" s="138">
        <f t="shared" si="60"/>
        <v>0</v>
      </c>
      <c r="I90" s="138">
        <f t="shared" si="60"/>
        <v>0</v>
      </c>
      <c r="J90" s="138">
        <f t="shared" si="60"/>
        <v>0</v>
      </c>
      <c r="K90" s="138">
        <f t="shared" si="60"/>
        <v>0</v>
      </c>
      <c r="L90" s="138">
        <f t="shared" si="60"/>
        <v>0</v>
      </c>
      <c r="M90" s="138">
        <f t="shared" si="60"/>
        <v>0</v>
      </c>
      <c r="N90" s="138">
        <f t="shared" si="60"/>
        <v>0</v>
      </c>
      <c r="O90" s="138">
        <f t="shared" si="60"/>
        <v>0</v>
      </c>
      <c r="P90" s="138">
        <f t="shared" si="60"/>
        <v>0</v>
      </c>
      <c r="Q90" s="138">
        <f t="shared" si="60"/>
        <v>0</v>
      </c>
      <c r="R90" s="138">
        <f t="shared" si="60"/>
        <v>0</v>
      </c>
      <c r="S90" s="138">
        <f t="shared" si="60"/>
        <v>0</v>
      </c>
      <c r="T90" s="138">
        <f t="shared" si="60"/>
        <v>0</v>
      </c>
      <c r="U90" s="138">
        <f t="shared" si="60"/>
        <v>0</v>
      </c>
      <c r="V90" s="138">
        <f t="shared" si="60"/>
        <v>0</v>
      </c>
      <c r="W90" s="138">
        <f t="shared" si="60"/>
        <v>0</v>
      </c>
      <c r="X90" s="138">
        <f t="shared" si="60"/>
        <v>0</v>
      </c>
      <c r="Y90" s="138">
        <f t="shared" si="60"/>
        <v>0</v>
      </c>
      <c r="Z90" s="138">
        <f t="shared" si="60"/>
        <v>0</v>
      </c>
      <c r="AA90" s="138">
        <f t="shared" si="60"/>
        <v>0</v>
      </c>
      <c r="AB90" s="138">
        <f t="shared" si="60"/>
        <v>0</v>
      </c>
      <c r="AC90" s="243"/>
      <c r="AE90" s="202">
        <v>17</v>
      </c>
      <c r="AF90" s="171" t="str">
        <f>IF(ISBLANK(STUD!G54)," ",STUD!G54)</f>
        <v xml:space="preserve"> </v>
      </c>
      <c r="AG90" s="183">
        <f t="shared" si="47"/>
        <v>0</v>
      </c>
      <c r="AH90" s="183">
        <f t="shared" si="52"/>
        <v>0</v>
      </c>
      <c r="AI90" s="53" t="str">
        <f t="shared" si="48"/>
        <v xml:space="preserve"> </v>
      </c>
      <c r="AJ90" s="53" t="str">
        <f>IF(AI90="","",IFERROR(IF(VLOOKUP(AI90,Programa!$AA$3:$AB$18,2,0)="","",VLOOKUP(AI90,Programa!$AA$3:$AB$18,2,0)),""))</f>
        <v/>
      </c>
      <c r="AK90" s="53" t="str">
        <f t="shared" si="49"/>
        <v xml:space="preserve"> </v>
      </c>
      <c r="AL90" s="53" t="str">
        <f>IF(AK90="","",IFERROR(IF(VLOOKUP(AK90,Programa!$AA$19:$AB$34,2,0)="","",VLOOKUP(AK90,Programa!$AA$19:$AB$34,2,0)),""))</f>
        <v/>
      </c>
      <c r="AM90" s="53" t="str">
        <f t="shared" si="50"/>
        <v xml:space="preserve"> </v>
      </c>
      <c r="AN90" s="53" t="str">
        <f>IF(AM90="","",IFERROR(IF(VLOOKUP(AM90,Programa!$AA$35:$AB$50,2,0)="","",VLOOKUP(AM90,Programa!$AA$35:$AB$50,2,0)),""))</f>
        <v/>
      </c>
    </row>
    <row r="91" spans="1:40" ht="15.75" customHeight="1" x14ac:dyDescent="0.4">
      <c r="A91" s="291">
        <f t="shared" si="55"/>
        <v>10</v>
      </c>
      <c r="B91" s="243">
        <f>STUD!G44</f>
        <v>0</v>
      </c>
      <c r="C91" s="244">
        <f>SUM(D92:AB92)</f>
        <v>0</v>
      </c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39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243">
        <f>SUM(D92:AB92)</f>
        <v>0</v>
      </c>
      <c r="AE91" s="203">
        <v>18</v>
      </c>
      <c r="AF91" s="171" t="str">
        <f>IF(ISBLANK(STUD!G51)," ",STUD!G51)</f>
        <v xml:space="preserve"> </v>
      </c>
      <c r="AG91" s="183">
        <f t="shared" si="47"/>
        <v>0</v>
      </c>
      <c r="AH91" s="183">
        <f t="shared" si="52"/>
        <v>0</v>
      </c>
      <c r="AI91" s="53" t="str">
        <f t="shared" si="48"/>
        <v xml:space="preserve"> </v>
      </c>
      <c r="AJ91" s="53" t="str">
        <f>IF(AI91="","",IFERROR(IF(VLOOKUP(AI91,Programa!$AA$3:$AB$18,2,0)="","",VLOOKUP(AI91,Programa!$AA$3:$AB$18,2,0)),""))</f>
        <v/>
      </c>
      <c r="AK91" s="53" t="str">
        <f t="shared" si="49"/>
        <v xml:space="preserve"> </v>
      </c>
      <c r="AL91" s="53" t="str">
        <f>IF(AK91="","",IFERROR(IF(VLOOKUP(AK91,Programa!$AA$19:$AB$34,2,0)="","",VLOOKUP(AK91,Programa!$AA$19:$AB$34,2,0)),""))</f>
        <v/>
      </c>
      <c r="AM91" s="53" t="str">
        <f t="shared" si="50"/>
        <v xml:space="preserve"> </v>
      </c>
      <c r="AN91" s="53" t="str">
        <f>IF(AM91="","",IFERROR(IF(VLOOKUP(AM91,Programa!$AA$35:$AB$50,2,0)="","",VLOOKUP(AM91,Programa!$AA$35:$AB$50,2,0)),""))</f>
        <v/>
      </c>
    </row>
    <row r="92" spans="1:40" ht="15.75" customHeight="1" x14ac:dyDescent="0.4">
      <c r="A92" s="242"/>
      <c r="B92" s="243"/>
      <c r="C92" s="245"/>
      <c r="D92" s="138">
        <f t="shared" ref="D92:AB92" si="61">IF(IFERROR(IF(VLOOKUP(D91,D$151:D$155,1,0)&gt;=1,D$150,0),D91)=D$132,D$136,IF(IFERROR(IF(VLOOKUP(D91,D$151:D$155,1,0)&gt;=1,D$150,0),D91)=D$139,D$142,IF(IFERROR(IF(VLOOKUP(D91,D$151:D$155,1,0)&gt;=1,D$150,0),D91)=D$145,D$147,0)))</f>
        <v>0</v>
      </c>
      <c r="E92" s="138">
        <f t="shared" si="61"/>
        <v>0</v>
      </c>
      <c r="F92" s="138">
        <f t="shared" si="61"/>
        <v>0</v>
      </c>
      <c r="G92" s="138">
        <f t="shared" si="61"/>
        <v>0</v>
      </c>
      <c r="H92" s="138">
        <f t="shared" si="61"/>
        <v>0</v>
      </c>
      <c r="I92" s="138">
        <f t="shared" si="61"/>
        <v>0</v>
      </c>
      <c r="J92" s="138">
        <f t="shared" si="61"/>
        <v>0</v>
      </c>
      <c r="K92" s="138">
        <f t="shared" si="61"/>
        <v>0</v>
      </c>
      <c r="L92" s="138">
        <f t="shared" si="61"/>
        <v>0</v>
      </c>
      <c r="M92" s="138">
        <f t="shared" si="61"/>
        <v>0</v>
      </c>
      <c r="N92" s="138">
        <f t="shared" si="61"/>
        <v>0</v>
      </c>
      <c r="O92" s="138">
        <f t="shared" si="61"/>
        <v>0</v>
      </c>
      <c r="P92" s="138">
        <f t="shared" si="61"/>
        <v>0</v>
      </c>
      <c r="Q92" s="138">
        <f t="shared" si="61"/>
        <v>0</v>
      </c>
      <c r="R92" s="138">
        <f t="shared" si="61"/>
        <v>0</v>
      </c>
      <c r="S92" s="138">
        <f t="shared" si="61"/>
        <v>0</v>
      </c>
      <c r="T92" s="138">
        <f t="shared" si="61"/>
        <v>0</v>
      </c>
      <c r="U92" s="138">
        <f t="shared" si="61"/>
        <v>0</v>
      </c>
      <c r="V92" s="138">
        <f t="shared" si="61"/>
        <v>0</v>
      </c>
      <c r="W92" s="138">
        <f t="shared" si="61"/>
        <v>0</v>
      </c>
      <c r="X92" s="138">
        <f t="shared" si="61"/>
        <v>0</v>
      </c>
      <c r="Y92" s="138">
        <f t="shared" si="61"/>
        <v>0</v>
      </c>
      <c r="Z92" s="138">
        <f t="shared" si="61"/>
        <v>0</v>
      </c>
      <c r="AA92" s="138">
        <f t="shared" si="61"/>
        <v>0</v>
      </c>
      <c r="AB92" s="138">
        <f t="shared" si="61"/>
        <v>0</v>
      </c>
      <c r="AC92" s="243"/>
      <c r="AE92" s="204">
        <v>19</v>
      </c>
      <c r="AF92" s="171" t="str">
        <f>IF(ISBLANK(STUD!G52)," ",STUD!G52)</f>
        <v xml:space="preserve"> </v>
      </c>
      <c r="AG92" s="183">
        <f t="shared" si="47"/>
        <v>0</v>
      </c>
      <c r="AH92" s="183">
        <f t="shared" si="52"/>
        <v>0</v>
      </c>
      <c r="AI92" s="53" t="str">
        <f t="shared" si="48"/>
        <v xml:space="preserve"> </v>
      </c>
      <c r="AJ92" s="53" t="str">
        <f>IF(AI92="","",IFERROR(IF(VLOOKUP(AI92,Programa!$AA$3:$AB$18,2,0)="","",VLOOKUP(AI92,Programa!$AA$3:$AB$18,2,0)),""))</f>
        <v/>
      </c>
      <c r="AK92" s="53" t="str">
        <f t="shared" si="49"/>
        <v xml:space="preserve"> </v>
      </c>
      <c r="AL92" s="53" t="str">
        <f>IF(AK92="","",IFERROR(IF(VLOOKUP(AK92,Programa!$AA$19:$AB$34,2,0)="","",VLOOKUP(AK92,Programa!$AA$19:$AB$34,2,0)),""))</f>
        <v/>
      </c>
      <c r="AM92" s="53" t="str">
        <f t="shared" si="50"/>
        <v xml:space="preserve"> </v>
      </c>
      <c r="AN92" s="53" t="str">
        <f>IF(AM92="","",IFERROR(IF(VLOOKUP(AM92,Programa!$AA$35:$AB$50,2,0)="","",VLOOKUP(AM92,Programa!$AA$35:$AB$50,2,0)),""))</f>
        <v/>
      </c>
    </row>
    <row r="93" spans="1:40" ht="15.75" customHeight="1" x14ac:dyDescent="0.4">
      <c r="A93" s="291">
        <f t="shared" si="55"/>
        <v>11</v>
      </c>
      <c r="B93" s="243">
        <f>STUD!G45</f>
        <v>0</v>
      </c>
      <c r="C93" s="244">
        <f>SUM(D94:AB94)</f>
        <v>0</v>
      </c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39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243">
        <f>SUM(D94:AB94)</f>
        <v>0</v>
      </c>
      <c r="AE93" s="205">
        <v>20</v>
      </c>
      <c r="AF93" s="171" t="str">
        <f>IF(ISBLANK(STUD!G53)," ",STUD!G53)</f>
        <v xml:space="preserve"> </v>
      </c>
      <c r="AG93" s="183">
        <f t="shared" si="47"/>
        <v>0</v>
      </c>
      <c r="AH93" s="183">
        <f t="shared" si="52"/>
        <v>0</v>
      </c>
      <c r="AI93" s="53" t="str">
        <f t="shared" si="48"/>
        <v xml:space="preserve"> </v>
      </c>
      <c r="AJ93" s="53" t="str">
        <f>IF(AI93="","",IFERROR(IF(VLOOKUP(AI93,Programa!$AA$3:$AB$18,2,0)="","",VLOOKUP(AI93,Programa!$AA$3:$AB$18,2,0)),""))</f>
        <v/>
      </c>
      <c r="AK93" s="53" t="str">
        <f t="shared" si="49"/>
        <v xml:space="preserve"> </v>
      </c>
      <c r="AL93" s="53" t="str">
        <f>IF(AK93="","",IFERROR(IF(VLOOKUP(AK93,Programa!$AA$19:$AB$34,2,0)="","",VLOOKUP(AK93,Programa!$AA$19:$AB$34,2,0)),""))</f>
        <v/>
      </c>
      <c r="AM93" s="53" t="str">
        <f t="shared" si="50"/>
        <v xml:space="preserve"> </v>
      </c>
      <c r="AN93" s="53" t="str">
        <f>IF(AM93="","",IFERROR(IF(VLOOKUP(AM93,Programa!$AA$35:$AB$50,2,0)="","",VLOOKUP(AM93,Programa!$AA$35:$AB$50,2,0)),""))</f>
        <v/>
      </c>
    </row>
    <row r="94" spans="1:40" ht="15.75" customHeight="1" x14ac:dyDescent="0.4">
      <c r="A94" s="242"/>
      <c r="B94" s="243"/>
      <c r="C94" s="245"/>
      <c r="D94" s="138">
        <f t="shared" ref="D94:AB94" si="62">IF(IFERROR(IF(VLOOKUP(D93,D$151:D$155,1,0)&gt;=1,D$150,0),D93)=D$132,D$136,IF(IFERROR(IF(VLOOKUP(D93,D$151:D$155,1,0)&gt;=1,D$150,0),D93)=D$139,D$142,IF(IFERROR(IF(VLOOKUP(D93,D$151:D$155,1,0)&gt;=1,D$150,0),D93)=D$145,D$147,0)))</f>
        <v>0</v>
      </c>
      <c r="E94" s="138">
        <f t="shared" si="62"/>
        <v>0</v>
      </c>
      <c r="F94" s="138">
        <f t="shared" si="62"/>
        <v>0</v>
      </c>
      <c r="G94" s="138">
        <f t="shared" si="62"/>
        <v>0</v>
      </c>
      <c r="H94" s="138">
        <f t="shared" si="62"/>
        <v>0</v>
      </c>
      <c r="I94" s="138">
        <f t="shared" si="62"/>
        <v>0</v>
      </c>
      <c r="J94" s="138">
        <f t="shared" si="62"/>
        <v>0</v>
      </c>
      <c r="K94" s="138">
        <f t="shared" si="62"/>
        <v>0</v>
      </c>
      <c r="L94" s="138">
        <f t="shared" si="62"/>
        <v>0</v>
      </c>
      <c r="M94" s="138">
        <f t="shared" si="62"/>
        <v>0</v>
      </c>
      <c r="N94" s="138">
        <f t="shared" si="62"/>
        <v>0</v>
      </c>
      <c r="O94" s="138">
        <f t="shared" si="62"/>
        <v>0</v>
      </c>
      <c r="P94" s="138">
        <f t="shared" si="62"/>
        <v>0</v>
      </c>
      <c r="Q94" s="138">
        <f t="shared" si="62"/>
        <v>0</v>
      </c>
      <c r="R94" s="138">
        <f t="shared" si="62"/>
        <v>0</v>
      </c>
      <c r="S94" s="138">
        <f t="shared" si="62"/>
        <v>0</v>
      </c>
      <c r="T94" s="138">
        <f t="shared" si="62"/>
        <v>0</v>
      </c>
      <c r="U94" s="138">
        <f t="shared" si="62"/>
        <v>0</v>
      </c>
      <c r="V94" s="138">
        <f t="shared" si="62"/>
        <v>0</v>
      </c>
      <c r="W94" s="138">
        <f t="shared" si="62"/>
        <v>0</v>
      </c>
      <c r="X94" s="138">
        <f t="shared" si="62"/>
        <v>0</v>
      </c>
      <c r="Y94" s="138">
        <f t="shared" si="62"/>
        <v>0</v>
      </c>
      <c r="Z94" s="138">
        <f t="shared" si="62"/>
        <v>0</v>
      </c>
      <c r="AA94" s="138">
        <f t="shared" si="62"/>
        <v>0</v>
      </c>
      <c r="AB94" s="138">
        <f t="shared" si="62"/>
        <v>0</v>
      </c>
      <c r="AC94" s="243"/>
      <c r="AE94" s="206">
        <v>21</v>
      </c>
      <c r="AF94" s="171" t="str">
        <f>IF(ISBLANK(STUD!G55)," ",STUD!G55)</f>
        <v xml:space="preserve"> </v>
      </c>
      <c r="AG94" s="183">
        <f t="shared" si="47"/>
        <v>0</v>
      </c>
      <c r="AH94" s="183">
        <f t="shared" si="52"/>
        <v>0</v>
      </c>
      <c r="AI94" s="53" t="str">
        <f t="shared" si="48"/>
        <v xml:space="preserve"> </v>
      </c>
      <c r="AJ94" s="53" t="str">
        <f>IF(AI94="","",IFERROR(IF(VLOOKUP(AI94,Programa!$AA$3:$AB$18,2,0)="","",VLOOKUP(AI94,Programa!$AA$3:$AB$18,2,0)),""))</f>
        <v/>
      </c>
      <c r="AK94" s="53" t="str">
        <f t="shared" si="49"/>
        <v xml:space="preserve"> </v>
      </c>
      <c r="AL94" s="53" t="str">
        <f>IF(AK94="","",IFERROR(IF(VLOOKUP(AK94,Programa!$AA$19:$AB$34,2,0)="","",VLOOKUP(AK94,Programa!$AA$19:$AB$34,2,0)),""))</f>
        <v/>
      </c>
      <c r="AM94" s="53" t="str">
        <f t="shared" si="50"/>
        <v xml:space="preserve"> </v>
      </c>
      <c r="AN94" s="53" t="str">
        <f>IF(AM94="","",IFERROR(IF(VLOOKUP(AM94,Programa!$AA$35:$AB$50,2,0)="","",VLOOKUP(AM94,Programa!$AA$35:$AB$50,2,0)),""))</f>
        <v/>
      </c>
    </row>
    <row r="95" spans="1:40" ht="15.75" customHeight="1" x14ac:dyDescent="0.4">
      <c r="A95" s="291">
        <f t="shared" si="55"/>
        <v>12</v>
      </c>
      <c r="B95" s="243">
        <f>STUD!G46</f>
        <v>0</v>
      </c>
      <c r="C95" s="244">
        <f>SUM(D96:AB96)</f>
        <v>0</v>
      </c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39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243">
        <f>SUM(D96:AB96)</f>
        <v>0</v>
      </c>
      <c r="AE95" s="207">
        <v>22</v>
      </c>
      <c r="AF95" s="171" t="str">
        <f>IF(ISBLANK(STUD!G56)," ",STUD!G56)</f>
        <v xml:space="preserve"> </v>
      </c>
      <c r="AG95" s="183">
        <f t="shared" si="47"/>
        <v>0</v>
      </c>
      <c r="AH95" s="183">
        <f t="shared" si="52"/>
        <v>0</v>
      </c>
      <c r="AI95" s="53" t="str">
        <f t="shared" si="48"/>
        <v xml:space="preserve"> </v>
      </c>
      <c r="AJ95" s="53" t="str">
        <f>IF(AI95="","",IFERROR(IF(VLOOKUP(AI95,Programa!$AA$3:$AB$18,2,0)="","",VLOOKUP(AI95,Programa!$AA$3:$AB$18,2,0)),""))</f>
        <v/>
      </c>
      <c r="AK95" s="53" t="str">
        <f t="shared" si="49"/>
        <v xml:space="preserve"> </v>
      </c>
      <c r="AL95" s="53" t="str">
        <f>IF(AK95="","",IFERROR(IF(VLOOKUP(AK95,Programa!$AA$19:$AB$34,2,0)="","",VLOOKUP(AK95,Programa!$AA$19:$AB$34,2,0)),""))</f>
        <v/>
      </c>
      <c r="AM95" s="53" t="str">
        <f t="shared" si="50"/>
        <v xml:space="preserve"> </v>
      </c>
      <c r="AN95" s="53" t="str">
        <f>IF(AM95="","",IFERROR(IF(VLOOKUP(AM95,Programa!$AA$35:$AB$50,2,0)="","",VLOOKUP(AM95,Programa!$AA$35:$AB$50,2,0)),""))</f>
        <v/>
      </c>
    </row>
    <row r="96" spans="1:40" ht="15.75" customHeight="1" x14ac:dyDescent="0.4">
      <c r="A96" s="242"/>
      <c r="B96" s="243"/>
      <c r="C96" s="245"/>
      <c r="D96" s="138">
        <f t="shared" ref="D96:AB96" si="63">IF(IFERROR(IF(VLOOKUP(D95,D$151:D$155,1,0)&gt;=1,D$150,0),D95)=D$132,D$136,IF(IFERROR(IF(VLOOKUP(D95,D$151:D$155,1,0)&gt;=1,D$150,0),D95)=D$139,D$142,IF(IFERROR(IF(VLOOKUP(D95,D$151:D$155,1,0)&gt;=1,D$150,0),D95)=D$145,D$147,0)))</f>
        <v>0</v>
      </c>
      <c r="E96" s="138">
        <f t="shared" si="63"/>
        <v>0</v>
      </c>
      <c r="F96" s="138">
        <f t="shared" si="63"/>
        <v>0</v>
      </c>
      <c r="G96" s="138">
        <f t="shared" si="63"/>
        <v>0</v>
      </c>
      <c r="H96" s="138">
        <f t="shared" si="63"/>
        <v>0</v>
      </c>
      <c r="I96" s="138">
        <f t="shared" si="63"/>
        <v>0</v>
      </c>
      <c r="J96" s="138">
        <f t="shared" si="63"/>
        <v>0</v>
      </c>
      <c r="K96" s="138">
        <f t="shared" si="63"/>
        <v>0</v>
      </c>
      <c r="L96" s="138">
        <f t="shared" si="63"/>
        <v>0</v>
      </c>
      <c r="M96" s="138">
        <f t="shared" si="63"/>
        <v>0</v>
      </c>
      <c r="N96" s="138">
        <f t="shared" si="63"/>
        <v>0</v>
      </c>
      <c r="O96" s="138">
        <f t="shared" si="63"/>
        <v>0</v>
      </c>
      <c r="P96" s="138">
        <f t="shared" si="63"/>
        <v>0</v>
      </c>
      <c r="Q96" s="138">
        <f t="shared" si="63"/>
        <v>0</v>
      </c>
      <c r="R96" s="138">
        <f t="shared" si="63"/>
        <v>0</v>
      </c>
      <c r="S96" s="138">
        <f t="shared" si="63"/>
        <v>0</v>
      </c>
      <c r="T96" s="138">
        <f t="shared" si="63"/>
        <v>0</v>
      </c>
      <c r="U96" s="138">
        <f t="shared" si="63"/>
        <v>0</v>
      </c>
      <c r="V96" s="138">
        <f t="shared" si="63"/>
        <v>0</v>
      </c>
      <c r="W96" s="138">
        <f t="shared" si="63"/>
        <v>0</v>
      </c>
      <c r="X96" s="138">
        <f t="shared" si="63"/>
        <v>0</v>
      </c>
      <c r="Y96" s="138">
        <f t="shared" si="63"/>
        <v>0</v>
      </c>
      <c r="Z96" s="138">
        <f t="shared" si="63"/>
        <v>0</v>
      </c>
      <c r="AA96" s="138">
        <f t="shared" si="63"/>
        <v>0</v>
      </c>
      <c r="AB96" s="138">
        <f t="shared" si="63"/>
        <v>0</v>
      </c>
      <c r="AC96" s="243"/>
      <c r="AE96" s="208">
        <v>23</v>
      </c>
      <c r="AF96" s="171" t="str">
        <f>IF(ISBLANK(STUD!G58)," ",STUD!G58)</f>
        <v xml:space="preserve"> </v>
      </c>
      <c r="AG96" s="183">
        <f t="shared" si="47"/>
        <v>0</v>
      </c>
      <c r="AH96" s="183">
        <f t="shared" si="52"/>
        <v>0</v>
      </c>
      <c r="AI96" s="53" t="str">
        <f t="shared" si="48"/>
        <v xml:space="preserve"> </v>
      </c>
      <c r="AJ96" s="53" t="str">
        <f>IF(AI96="","",IFERROR(IF(VLOOKUP(AI96,Programa!$AA$3:$AB$18,2,0)="","",VLOOKUP(AI96,Programa!$AA$3:$AB$18,2,0)),""))</f>
        <v/>
      </c>
      <c r="AK96" s="53" t="str">
        <f t="shared" si="49"/>
        <v xml:space="preserve"> </v>
      </c>
      <c r="AL96" s="53" t="str">
        <f>IF(AK96="","",IFERROR(IF(VLOOKUP(AK96,Programa!$AA$19:$AB$34,2,0)="","",VLOOKUP(AK96,Programa!$AA$19:$AB$34,2,0)),""))</f>
        <v/>
      </c>
      <c r="AM96" s="53" t="str">
        <f t="shared" si="50"/>
        <v xml:space="preserve"> </v>
      </c>
      <c r="AN96" s="53" t="str">
        <f>IF(AM96="","",IFERROR(IF(VLOOKUP(AM96,Programa!$AA$35:$AB$50,2,0)="","",VLOOKUP(AM96,Programa!$AA$35:$AB$50,2,0)),""))</f>
        <v/>
      </c>
    </row>
    <row r="97" spans="1:40" ht="15.75" customHeight="1" x14ac:dyDescent="0.4">
      <c r="A97" s="291">
        <f t="shared" si="55"/>
        <v>13</v>
      </c>
      <c r="B97" s="243">
        <f>STUD!G47</f>
        <v>0</v>
      </c>
      <c r="C97" s="244">
        <f>SUM(D98:AB98)</f>
        <v>0</v>
      </c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39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243">
        <f>SUM(D98:AB98)</f>
        <v>0</v>
      </c>
      <c r="AE97" s="209">
        <v>24</v>
      </c>
      <c r="AF97" s="171" t="str">
        <f>IF(ISBLANK(STUD!G57)," ",STUD!G57)</f>
        <v xml:space="preserve"> </v>
      </c>
      <c r="AG97" s="183">
        <f t="shared" si="47"/>
        <v>0</v>
      </c>
      <c r="AH97" s="183">
        <f t="shared" si="52"/>
        <v>0</v>
      </c>
      <c r="AI97" s="53" t="str">
        <f t="shared" si="48"/>
        <v xml:space="preserve"> </v>
      </c>
      <c r="AJ97" s="53" t="str">
        <f>IF(AI97="","",IFERROR(IF(VLOOKUP(AI97,Programa!$AA$3:$AB$18,2,0)="","",VLOOKUP(AI97,Programa!$AA$3:$AB$18,2,0)),""))</f>
        <v/>
      </c>
      <c r="AK97" s="53" t="str">
        <f t="shared" si="49"/>
        <v xml:space="preserve"> </v>
      </c>
      <c r="AL97" s="53" t="str">
        <f>IF(AK97="","",IFERROR(IF(VLOOKUP(AK97,Programa!$AA$19:$AB$34,2,0)="","",VLOOKUP(AK97,Programa!$AA$19:$AB$34,2,0)),""))</f>
        <v/>
      </c>
      <c r="AM97" s="53" t="str">
        <f t="shared" si="50"/>
        <v xml:space="preserve"> </v>
      </c>
      <c r="AN97" s="53" t="str">
        <f>IF(AM97="","",IFERROR(IF(VLOOKUP(AM97,Programa!$AA$35:$AB$50,2,0)="","",VLOOKUP(AM97,Programa!$AA$35:$AB$50,2,0)),""))</f>
        <v/>
      </c>
    </row>
    <row r="98" spans="1:40" ht="15.75" customHeight="1" x14ac:dyDescent="0.6">
      <c r="A98" s="242"/>
      <c r="B98" s="243"/>
      <c r="C98" s="245"/>
      <c r="D98" s="138">
        <f t="shared" ref="D98:AB98" si="64">IF(IFERROR(IF(VLOOKUP(D97,D$151:D$155,1,0)&gt;=1,D$150,0),D97)=D$132,D$136,IF(IFERROR(IF(VLOOKUP(D97,D$151:D$155,1,0)&gt;=1,D$150,0),D97)=D$139,D$142,IF(IFERROR(IF(VLOOKUP(D97,D$151:D$155,1,0)&gt;=1,D$150,0),D97)=D$145,D$147,0)))</f>
        <v>0</v>
      </c>
      <c r="E98" s="138">
        <f t="shared" si="64"/>
        <v>0</v>
      </c>
      <c r="F98" s="138">
        <f t="shared" si="64"/>
        <v>0</v>
      </c>
      <c r="G98" s="138">
        <f t="shared" si="64"/>
        <v>0</v>
      </c>
      <c r="H98" s="138">
        <f t="shared" si="64"/>
        <v>0</v>
      </c>
      <c r="I98" s="138">
        <f t="shared" si="64"/>
        <v>0</v>
      </c>
      <c r="J98" s="138">
        <f t="shared" si="64"/>
        <v>0</v>
      </c>
      <c r="K98" s="138">
        <f t="shared" si="64"/>
        <v>0</v>
      </c>
      <c r="L98" s="138">
        <f t="shared" si="64"/>
        <v>0</v>
      </c>
      <c r="M98" s="138">
        <f t="shared" si="64"/>
        <v>0</v>
      </c>
      <c r="N98" s="138">
        <f t="shared" si="64"/>
        <v>0</v>
      </c>
      <c r="O98" s="138">
        <f t="shared" si="64"/>
        <v>0</v>
      </c>
      <c r="P98" s="138">
        <f t="shared" si="64"/>
        <v>0</v>
      </c>
      <c r="Q98" s="138">
        <f t="shared" si="64"/>
        <v>0</v>
      </c>
      <c r="R98" s="138">
        <f t="shared" si="64"/>
        <v>0</v>
      </c>
      <c r="S98" s="138">
        <f t="shared" si="64"/>
        <v>0</v>
      </c>
      <c r="T98" s="138">
        <f t="shared" si="64"/>
        <v>0</v>
      </c>
      <c r="U98" s="138">
        <f t="shared" si="64"/>
        <v>0</v>
      </c>
      <c r="V98" s="138">
        <f t="shared" si="64"/>
        <v>0</v>
      </c>
      <c r="W98" s="138">
        <f t="shared" si="64"/>
        <v>0</v>
      </c>
      <c r="X98" s="138">
        <f t="shared" si="64"/>
        <v>0</v>
      </c>
      <c r="Y98" s="138">
        <f t="shared" si="64"/>
        <v>0</v>
      </c>
      <c r="Z98" s="138">
        <f t="shared" si="64"/>
        <v>0</v>
      </c>
      <c r="AA98" s="138">
        <f t="shared" si="64"/>
        <v>0</v>
      </c>
      <c r="AB98" s="138">
        <f t="shared" si="64"/>
        <v>0</v>
      </c>
      <c r="AC98" s="243"/>
      <c r="AE98" s="215">
        <v>25</v>
      </c>
      <c r="AF98" s="140" t="str">
        <f>IF(ISBLANK(STUD!G59)," ",STUD!G59)</f>
        <v xml:space="preserve"> </v>
      </c>
      <c r="AG98" s="184">
        <f t="shared" si="47"/>
        <v>0</v>
      </c>
      <c r="AH98" s="184">
        <f t="shared" si="52"/>
        <v>0</v>
      </c>
      <c r="AI98" s="53" t="str">
        <f t="shared" si="48"/>
        <v xml:space="preserve"> </v>
      </c>
      <c r="AJ98" s="53" t="str">
        <f>IF(AI98="","",IFERROR(IF(VLOOKUP(AI98,Programa!$AA$3:$AB$18,2,0)="","",VLOOKUP(AI98,Programa!$AA$3:$AB$18,2,0)),""))</f>
        <v/>
      </c>
      <c r="AK98" s="53" t="str">
        <f t="shared" si="49"/>
        <v xml:space="preserve"> </v>
      </c>
      <c r="AL98" s="53" t="str">
        <f>IF(AK98="","",IFERROR(IF(VLOOKUP(AK98,Programa!$AA$19:$AB$34,2,0)="","",VLOOKUP(AK98,Programa!$AA$19:$AB$34,2,0)),""))</f>
        <v/>
      </c>
      <c r="AM98" s="53" t="str">
        <f t="shared" si="50"/>
        <v xml:space="preserve"> </v>
      </c>
      <c r="AN98" s="53" t="str">
        <f>IF(AM98="","",IFERROR(IF(VLOOKUP(AM98,Programa!$AA$35:$AB$50,2,0)="","",VLOOKUP(AM98,Programa!$AA$35:$AB$50,2,0)),""))</f>
        <v/>
      </c>
    </row>
    <row r="99" spans="1:40" ht="15.75" customHeight="1" x14ac:dyDescent="0.6">
      <c r="A99" s="291">
        <f t="shared" si="55"/>
        <v>14</v>
      </c>
      <c r="B99" s="243">
        <f>STUD!G48</f>
        <v>0</v>
      </c>
      <c r="C99" s="244">
        <f>SUM(D100:AB100)</f>
        <v>0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39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243">
        <f>SUM(D100:AB100)</f>
        <v>0</v>
      </c>
      <c r="AE99" s="216">
        <v>26</v>
      </c>
      <c r="AF99" s="140" t="str">
        <f>IF(ISBLANK(STUD!G60)," ",STUD!G60)</f>
        <v xml:space="preserve"> </v>
      </c>
      <c r="AG99" s="184">
        <f t="shared" si="47"/>
        <v>0</v>
      </c>
      <c r="AH99" s="184">
        <f t="shared" si="52"/>
        <v>0</v>
      </c>
      <c r="AI99" s="53" t="str">
        <f t="shared" si="48"/>
        <v xml:space="preserve"> </v>
      </c>
      <c r="AJ99" s="53" t="str">
        <f>IF(AI99="","",IFERROR(IF(VLOOKUP(AI99,Programa!$AA$3:$AB$18,2,0)="","",VLOOKUP(AI99,Programa!$AA$3:$AB$18,2,0)),""))</f>
        <v/>
      </c>
      <c r="AK99" s="53" t="str">
        <f t="shared" si="49"/>
        <v xml:space="preserve"> </v>
      </c>
      <c r="AL99" s="53" t="str">
        <f>IF(AK99="","",IFERROR(IF(VLOOKUP(AK99,Programa!$AA$19:$AB$34,2,0)="","",VLOOKUP(AK99,Programa!$AA$19:$AB$34,2,0)),""))</f>
        <v/>
      </c>
      <c r="AM99" s="53" t="str">
        <f t="shared" si="50"/>
        <v xml:space="preserve"> </v>
      </c>
      <c r="AN99" s="53" t="str">
        <f>IF(AM99="","",IFERROR(IF(VLOOKUP(AM99,Programa!$AA$35:$AB$50,2,0)="","",VLOOKUP(AM99,Programa!$AA$35:$AB$50,2,0)),""))</f>
        <v/>
      </c>
    </row>
    <row r="100" spans="1:40" ht="15.75" customHeight="1" x14ac:dyDescent="0.6">
      <c r="A100" s="242"/>
      <c r="B100" s="243"/>
      <c r="C100" s="245"/>
      <c r="D100" s="138">
        <f t="shared" ref="D100:AB100" si="65">IF(IFERROR(IF(VLOOKUP(D99,D$151:D$155,1,0)&gt;=1,D$150,0),D99)=D$132,D$136,IF(IFERROR(IF(VLOOKUP(D99,D$151:D$155,1,0)&gt;=1,D$150,0),D99)=D$139,D$142,IF(IFERROR(IF(VLOOKUP(D99,D$151:D$155,1,0)&gt;=1,D$150,0),D99)=D$145,D$147,0)))</f>
        <v>0</v>
      </c>
      <c r="E100" s="138">
        <f t="shared" si="65"/>
        <v>0</v>
      </c>
      <c r="F100" s="138">
        <f t="shared" si="65"/>
        <v>0</v>
      </c>
      <c r="G100" s="138">
        <f t="shared" si="65"/>
        <v>0</v>
      </c>
      <c r="H100" s="138">
        <f t="shared" si="65"/>
        <v>0</v>
      </c>
      <c r="I100" s="138">
        <f t="shared" si="65"/>
        <v>0</v>
      </c>
      <c r="J100" s="138">
        <f t="shared" si="65"/>
        <v>0</v>
      </c>
      <c r="K100" s="138">
        <f t="shared" si="65"/>
        <v>0</v>
      </c>
      <c r="L100" s="138">
        <f t="shared" si="65"/>
        <v>0</v>
      </c>
      <c r="M100" s="138">
        <f t="shared" si="65"/>
        <v>0</v>
      </c>
      <c r="N100" s="138">
        <f t="shared" si="65"/>
        <v>0</v>
      </c>
      <c r="O100" s="138">
        <f t="shared" si="65"/>
        <v>0</v>
      </c>
      <c r="P100" s="138">
        <f t="shared" si="65"/>
        <v>0</v>
      </c>
      <c r="Q100" s="138">
        <f t="shared" si="65"/>
        <v>0</v>
      </c>
      <c r="R100" s="138">
        <f t="shared" si="65"/>
        <v>0</v>
      </c>
      <c r="S100" s="138">
        <f t="shared" si="65"/>
        <v>0</v>
      </c>
      <c r="T100" s="138">
        <f t="shared" si="65"/>
        <v>0</v>
      </c>
      <c r="U100" s="138">
        <f t="shared" si="65"/>
        <v>0</v>
      </c>
      <c r="V100" s="138">
        <f t="shared" si="65"/>
        <v>0</v>
      </c>
      <c r="W100" s="138">
        <f t="shared" si="65"/>
        <v>0</v>
      </c>
      <c r="X100" s="138">
        <f t="shared" si="65"/>
        <v>0</v>
      </c>
      <c r="Y100" s="138">
        <f t="shared" si="65"/>
        <v>0</v>
      </c>
      <c r="Z100" s="138">
        <f t="shared" si="65"/>
        <v>0</v>
      </c>
      <c r="AA100" s="138">
        <f t="shared" si="65"/>
        <v>0</v>
      </c>
      <c r="AB100" s="138">
        <f t="shared" si="65"/>
        <v>0</v>
      </c>
      <c r="AC100" s="243"/>
      <c r="AE100" s="217">
        <v>27</v>
      </c>
      <c r="AF100" s="140" t="str">
        <f>IF(ISBLANK(STUD!G61)," ",STUD!G61)</f>
        <v xml:space="preserve"> </v>
      </c>
      <c r="AG100" s="184">
        <f t="shared" si="47"/>
        <v>0</v>
      </c>
      <c r="AH100" s="184">
        <f t="shared" si="52"/>
        <v>0</v>
      </c>
      <c r="AI100" s="53" t="str">
        <f t="shared" si="48"/>
        <v xml:space="preserve"> </v>
      </c>
      <c r="AJ100" s="53" t="str">
        <f>IF(AI100="","",IFERROR(IF(VLOOKUP(AI100,Programa!$AA$3:$AB$18,2,0)="","",VLOOKUP(AI100,Programa!$AA$3:$AB$18,2,0)),""))</f>
        <v/>
      </c>
      <c r="AK100" s="53" t="str">
        <f t="shared" si="49"/>
        <v xml:space="preserve"> </v>
      </c>
      <c r="AL100" s="53" t="str">
        <f>IF(AK100="","",IFERROR(IF(VLOOKUP(AK100,Programa!$AA$19:$AB$34,2,0)="","",VLOOKUP(AK100,Programa!$AA$19:$AB$34,2,0)),""))</f>
        <v/>
      </c>
      <c r="AM100" s="53" t="str">
        <f t="shared" si="50"/>
        <v xml:space="preserve"> </v>
      </c>
      <c r="AN100" s="53" t="str">
        <f>IF(AM100="","",IFERROR(IF(VLOOKUP(AM100,Programa!$AA$35:$AB$50,2,0)="","",VLOOKUP(AM100,Programa!$AA$35:$AB$50,2,0)),""))</f>
        <v/>
      </c>
    </row>
    <row r="101" spans="1:40" ht="15.75" customHeight="1" x14ac:dyDescent="0.6">
      <c r="A101" s="291">
        <f t="shared" si="55"/>
        <v>15</v>
      </c>
      <c r="B101" s="243">
        <f>STUD!G49</f>
        <v>0</v>
      </c>
      <c r="C101" s="244">
        <f>SUM(D102:AB102)</f>
        <v>0</v>
      </c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39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243">
        <f>SUM(D102:AB102)</f>
        <v>0</v>
      </c>
      <c r="AE101" s="218">
        <v>28</v>
      </c>
      <c r="AF101" s="140" t="str">
        <f>IF(ISBLANK(STUD!G62)," ",STUD!G62)</f>
        <v xml:space="preserve"> </v>
      </c>
      <c r="AG101" s="184">
        <f t="shared" si="47"/>
        <v>0</v>
      </c>
      <c r="AH101" s="184">
        <f t="shared" si="52"/>
        <v>0</v>
      </c>
      <c r="AI101" s="53" t="str">
        <f t="shared" si="48"/>
        <v xml:space="preserve"> </v>
      </c>
      <c r="AJ101" s="53" t="str">
        <f>IF(AI101="","",IFERROR(IF(VLOOKUP(AI101,Programa!$AA$3:$AB$18,2,0)="","",VLOOKUP(AI101,Programa!$AA$3:$AB$18,2,0)),""))</f>
        <v/>
      </c>
      <c r="AK101" s="53" t="str">
        <f t="shared" si="49"/>
        <v xml:space="preserve"> </v>
      </c>
      <c r="AL101" s="53" t="str">
        <f>IF(AK101="","",IFERROR(IF(VLOOKUP(AK101,Programa!$AA$19:$AB$34,2,0)="","",VLOOKUP(AK101,Programa!$AA$19:$AB$34,2,0)),""))</f>
        <v/>
      </c>
      <c r="AM101" s="53" t="str">
        <f t="shared" si="50"/>
        <v xml:space="preserve"> </v>
      </c>
      <c r="AN101" s="53" t="str">
        <f>IF(AM101="","",IFERROR(IF(VLOOKUP(AM101,Programa!$AA$35:$AB$50,2,0)="","",VLOOKUP(AM101,Programa!$AA$35:$AB$50,2,0)),""))</f>
        <v/>
      </c>
    </row>
    <row r="102" spans="1:40" ht="15.75" customHeight="1" x14ac:dyDescent="0.4">
      <c r="A102" s="242"/>
      <c r="B102" s="243"/>
      <c r="C102" s="245"/>
      <c r="D102" s="138">
        <f t="shared" ref="D102:AB102" si="66">IF(IFERROR(IF(VLOOKUP(D101,D$151:D$155,1,0)&gt;=1,D$150,0),D101)=D$132,D$136,IF(IFERROR(IF(VLOOKUP(D101,D$151:D$155,1,0)&gt;=1,D$150,0),D101)=D$139,D$142,IF(IFERROR(IF(VLOOKUP(D101,D$151:D$155,1,0)&gt;=1,D$150,0),D101)=D$145,D$147,0)))</f>
        <v>0</v>
      </c>
      <c r="E102" s="138">
        <f t="shared" si="66"/>
        <v>0</v>
      </c>
      <c r="F102" s="138">
        <f t="shared" si="66"/>
        <v>0</v>
      </c>
      <c r="G102" s="138">
        <f t="shared" si="66"/>
        <v>0</v>
      </c>
      <c r="H102" s="138">
        <f t="shared" si="66"/>
        <v>0</v>
      </c>
      <c r="I102" s="138">
        <f t="shared" si="66"/>
        <v>0</v>
      </c>
      <c r="J102" s="138">
        <f t="shared" si="66"/>
        <v>0</v>
      </c>
      <c r="K102" s="138">
        <f t="shared" si="66"/>
        <v>0</v>
      </c>
      <c r="L102" s="138">
        <f t="shared" si="66"/>
        <v>0</v>
      </c>
      <c r="M102" s="138">
        <f t="shared" si="66"/>
        <v>0</v>
      </c>
      <c r="N102" s="138">
        <f t="shared" si="66"/>
        <v>0</v>
      </c>
      <c r="O102" s="138">
        <f t="shared" si="66"/>
        <v>0</v>
      </c>
      <c r="P102" s="138">
        <f t="shared" si="66"/>
        <v>0</v>
      </c>
      <c r="Q102" s="138">
        <f t="shared" si="66"/>
        <v>0</v>
      </c>
      <c r="R102" s="138">
        <f t="shared" si="66"/>
        <v>0</v>
      </c>
      <c r="S102" s="138">
        <f t="shared" si="66"/>
        <v>0</v>
      </c>
      <c r="T102" s="138">
        <f t="shared" si="66"/>
        <v>0</v>
      </c>
      <c r="U102" s="138">
        <f t="shared" si="66"/>
        <v>0</v>
      </c>
      <c r="V102" s="138">
        <f t="shared" si="66"/>
        <v>0</v>
      </c>
      <c r="W102" s="138">
        <f t="shared" si="66"/>
        <v>0</v>
      </c>
      <c r="X102" s="138">
        <f t="shared" si="66"/>
        <v>0</v>
      </c>
      <c r="Y102" s="138">
        <f t="shared" si="66"/>
        <v>0</v>
      </c>
      <c r="Z102" s="138">
        <f t="shared" si="66"/>
        <v>0</v>
      </c>
      <c r="AA102" s="138">
        <f t="shared" si="66"/>
        <v>0</v>
      </c>
      <c r="AB102" s="138">
        <f t="shared" si="66"/>
        <v>0</v>
      </c>
      <c r="AC102" s="243"/>
      <c r="AI102" s="54"/>
      <c r="AJ102" s="54"/>
      <c r="AK102" s="54"/>
      <c r="AL102" s="54"/>
      <c r="AM102" s="54"/>
      <c r="AN102" s="54"/>
    </row>
    <row r="103" spans="1:40" ht="15.75" customHeight="1" x14ac:dyDescent="0.45">
      <c r="A103" s="291">
        <f t="shared" si="55"/>
        <v>16</v>
      </c>
      <c r="B103" s="243">
        <f>STUD!G50</f>
        <v>0</v>
      </c>
      <c r="C103" s="244">
        <f>SUM(D104:AB104)</f>
        <v>0</v>
      </c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243">
        <f>SUM(D104:AB104)</f>
        <v>0</v>
      </c>
      <c r="AE103" s="55" t="s">
        <v>51</v>
      </c>
      <c r="AF103" s="57">
        <f>COUNTA(STUD!B35:B68)</f>
        <v>34</v>
      </c>
      <c r="AG103" s="55" t="s">
        <v>16</v>
      </c>
      <c r="AH103" s="56">
        <f>(AF103-1)*5000</f>
        <v>165000</v>
      </c>
    </row>
    <row r="104" spans="1:40" ht="15.75" customHeight="1" x14ac:dyDescent="0.4">
      <c r="A104" s="242"/>
      <c r="B104" s="243"/>
      <c r="C104" s="245"/>
      <c r="D104" s="138">
        <f t="shared" ref="D104:AB104" si="67">IF(IFERROR(IF(VLOOKUP(D103,D$151:D$155,1,0)&gt;=1,D$150,0),D103)=D$132,D$136,IF(IFERROR(IF(VLOOKUP(D103,D$151:D$155,1,0)&gt;=1,D$150,0),D103)=D$139,D$142,IF(IFERROR(IF(VLOOKUP(D103,D$151:D$155,1,0)&gt;=1,D$150,0),D103)=D$145,D$147,0)))</f>
        <v>0</v>
      </c>
      <c r="E104" s="138">
        <f t="shared" si="67"/>
        <v>0</v>
      </c>
      <c r="F104" s="138">
        <f t="shared" si="67"/>
        <v>0</v>
      </c>
      <c r="G104" s="138">
        <f t="shared" si="67"/>
        <v>0</v>
      </c>
      <c r="H104" s="138">
        <f t="shared" si="67"/>
        <v>0</v>
      </c>
      <c r="I104" s="138">
        <f t="shared" si="67"/>
        <v>0</v>
      </c>
      <c r="J104" s="138">
        <f t="shared" si="67"/>
        <v>0</v>
      </c>
      <c r="K104" s="138">
        <f t="shared" si="67"/>
        <v>0</v>
      </c>
      <c r="L104" s="138">
        <f t="shared" si="67"/>
        <v>0</v>
      </c>
      <c r="M104" s="138">
        <f t="shared" si="67"/>
        <v>0</v>
      </c>
      <c r="N104" s="138">
        <f t="shared" si="67"/>
        <v>0</v>
      </c>
      <c r="O104" s="138">
        <f t="shared" si="67"/>
        <v>0</v>
      </c>
      <c r="P104" s="138">
        <f t="shared" si="67"/>
        <v>0</v>
      </c>
      <c r="Q104" s="138">
        <f t="shared" si="67"/>
        <v>0</v>
      </c>
      <c r="R104" s="138">
        <f t="shared" si="67"/>
        <v>0</v>
      </c>
      <c r="S104" s="138">
        <f t="shared" si="67"/>
        <v>0</v>
      </c>
      <c r="T104" s="138">
        <f t="shared" si="67"/>
        <v>0</v>
      </c>
      <c r="U104" s="138">
        <f t="shared" si="67"/>
        <v>0</v>
      </c>
      <c r="V104" s="138">
        <f t="shared" si="67"/>
        <v>0</v>
      </c>
      <c r="W104" s="138">
        <f t="shared" si="67"/>
        <v>0</v>
      </c>
      <c r="X104" s="138">
        <f t="shared" si="67"/>
        <v>0</v>
      </c>
      <c r="Y104" s="138">
        <f t="shared" si="67"/>
        <v>0</v>
      </c>
      <c r="Z104" s="138">
        <f t="shared" si="67"/>
        <v>0</v>
      </c>
      <c r="AA104" s="138">
        <f t="shared" si="67"/>
        <v>0</v>
      </c>
      <c r="AB104" s="138">
        <f t="shared" si="67"/>
        <v>0</v>
      </c>
      <c r="AC104" s="243"/>
      <c r="AE104" s="58" t="s">
        <v>38</v>
      </c>
      <c r="AF104" s="58"/>
      <c r="AG104" s="59">
        <f>($AH$103-$AG$106)*80%</f>
        <v>118800</v>
      </c>
      <c r="AH104" s="59"/>
    </row>
    <row r="105" spans="1:40" ht="15.75" hidden="1" customHeight="1" x14ac:dyDescent="0.4">
      <c r="A105" s="291">
        <f t="shared" si="55"/>
        <v>17</v>
      </c>
      <c r="B105" s="243">
        <f>STUD!G51</f>
        <v>0</v>
      </c>
      <c r="C105" s="244">
        <f>SUM(D106:AB106)</f>
        <v>0</v>
      </c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243">
        <f>SUM(D106:AB106)</f>
        <v>0</v>
      </c>
      <c r="AE105" s="58" t="s">
        <v>39</v>
      </c>
      <c r="AF105" s="58"/>
      <c r="AG105" s="59">
        <f>($AH$103-$AG$106)*20%</f>
        <v>29700</v>
      </c>
      <c r="AH105" s="59"/>
    </row>
    <row r="106" spans="1:40" ht="15.75" hidden="1" customHeight="1" x14ac:dyDescent="0.4">
      <c r="A106" s="242"/>
      <c r="B106" s="243"/>
      <c r="C106" s="245"/>
      <c r="D106" s="138">
        <f t="shared" ref="D106:AB106" si="68">IF(IFERROR(IF(VLOOKUP(D105,D$151:D$155,1,0)&gt;=1,D$150,0),D105)=D$132,D$136,IF(IFERROR(IF(VLOOKUP(D105,D$151:D$155,1,0)&gt;=1,D$150,0),D105)=D$139,D$142,IF(IFERROR(IF(VLOOKUP(D105,D$151:D$155,1,0)&gt;=1,D$150,0),D105)=D$145,D$147,0)))</f>
        <v>0</v>
      </c>
      <c r="E106" s="138">
        <f t="shared" si="68"/>
        <v>0</v>
      </c>
      <c r="F106" s="138">
        <f t="shared" si="68"/>
        <v>0</v>
      </c>
      <c r="G106" s="138">
        <f t="shared" si="68"/>
        <v>0</v>
      </c>
      <c r="H106" s="138">
        <f t="shared" si="68"/>
        <v>0</v>
      </c>
      <c r="I106" s="138">
        <f t="shared" si="68"/>
        <v>0</v>
      </c>
      <c r="J106" s="138">
        <f t="shared" si="68"/>
        <v>0</v>
      </c>
      <c r="K106" s="138">
        <f t="shared" si="68"/>
        <v>0</v>
      </c>
      <c r="L106" s="138">
        <f t="shared" si="68"/>
        <v>0</v>
      </c>
      <c r="M106" s="138">
        <f t="shared" si="68"/>
        <v>0</v>
      </c>
      <c r="N106" s="138">
        <f t="shared" si="68"/>
        <v>0</v>
      </c>
      <c r="O106" s="138">
        <f t="shared" si="68"/>
        <v>0</v>
      </c>
      <c r="P106" s="138">
        <f t="shared" si="68"/>
        <v>0</v>
      </c>
      <c r="Q106" s="138">
        <f t="shared" si="68"/>
        <v>0</v>
      </c>
      <c r="R106" s="138">
        <f t="shared" si="68"/>
        <v>0</v>
      </c>
      <c r="S106" s="138">
        <f t="shared" si="68"/>
        <v>0</v>
      </c>
      <c r="T106" s="138">
        <f t="shared" si="68"/>
        <v>0</v>
      </c>
      <c r="U106" s="138">
        <f t="shared" si="68"/>
        <v>0</v>
      </c>
      <c r="V106" s="138">
        <f t="shared" si="68"/>
        <v>0</v>
      </c>
      <c r="W106" s="138">
        <f t="shared" si="68"/>
        <v>0</v>
      </c>
      <c r="X106" s="138">
        <f t="shared" si="68"/>
        <v>0</v>
      </c>
      <c r="Y106" s="138">
        <f t="shared" si="68"/>
        <v>0</v>
      </c>
      <c r="Z106" s="138">
        <f t="shared" si="68"/>
        <v>0</v>
      </c>
      <c r="AA106" s="138">
        <f t="shared" si="68"/>
        <v>0</v>
      </c>
      <c r="AB106" s="138">
        <f t="shared" si="68"/>
        <v>0</v>
      </c>
      <c r="AC106" s="243"/>
      <c r="AE106" s="58" t="s">
        <v>40</v>
      </c>
      <c r="AF106" s="58"/>
      <c r="AG106" s="60">
        <f>(AH103*10%)</f>
        <v>16500</v>
      </c>
      <c r="AH106" s="60"/>
    </row>
    <row r="107" spans="1:40" ht="15.75" hidden="1" customHeight="1" x14ac:dyDescent="0.4">
      <c r="A107" s="291">
        <f t="shared" si="55"/>
        <v>18</v>
      </c>
      <c r="B107" s="243">
        <f>STUD!G52</f>
        <v>0</v>
      </c>
      <c r="C107" s="244">
        <f>SUM(D108:AB108)</f>
        <v>0</v>
      </c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39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243">
        <f>SUM(D108:AB108)</f>
        <v>0</v>
      </c>
    </row>
    <row r="108" spans="1:40" ht="15.75" hidden="1" customHeight="1" x14ac:dyDescent="0.4">
      <c r="A108" s="242"/>
      <c r="B108" s="243"/>
      <c r="C108" s="245"/>
      <c r="D108" s="138">
        <f t="shared" ref="D108:AB108" si="69">IF(IFERROR(IF(VLOOKUP(D107,D$151:D$155,1,0)&gt;=1,D$150,0),D107)=D$132,D$136,IF(IFERROR(IF(VLOOKUP(D107,D$151:D$155,1,0)&gt;=1,D$150,0),D107)=D$139,D$142,IF(IFERROR(IF(VLOOKUP(D107,D$151:D$155,1,0)&gt;=1,D$150,0),D107)=D$145,D$147,0)))</f>
        <v>0</v>
      </c>
      <c r="E108" s="138">
        <f t="shared" si="69"/>
        <v>0</v>
      </c>
      <c r="F108" s="138">
        <f t="shared" si="69"/>
        <v>0</v>
      </c>
      <c r="G108" s="138">
        <f t="shared" si="69"/>
        <v>0</v>
      </c>
      <c r="H108" s="138">
        <f t="shared" si="69"/>
        <v>0</v>
      </c>
      <c r="I108" s="138">
        <f t="shared" si="69"/>
        <v>0</v>
      </c>
      <c r="J108" s="138">
        <f t="shared" si="69"/>
        <v>0</v>
      </c>
      <c r="K108" s="138">
        <f t="shared" si="69"/>
        <v>0</v>
      </c>
      <c r="L108" s="138">
        <f t="shared" si="69"/>
        <v>0</v>
      </c>
      <c r="M108" s="138">
        <f t="shared" si="69"/>
        <v>0</v>
      </c>
      <c r="N108" s="138">
        <f t="shared" si="69"/>
        <v>0</v>
      </c>
      <c r="O108" s="138">
        <f t="shared" si="69"/>
        <v>0</v>
      </c>
      <c r="P108" s="138">
        <f t="shared" si="69"/>
        <v>0</v>
      </c>
      <c r="Q108" s="138">
        <f t="shared" si="69"/>
        <v>0</v>
      </c>
      <c r="R108" s="138">
        <f t="shared" si="69"/>
        <v>0</v>
      </c>
      <c r="S108" s="138">
        <f t="shared" si="69"/>
        <v>0</v>
      </c>
      <c r="T108" s="138">
        <f t="shared" si="69"/>
        <v>0</v>
      </c>
      <c r="U108" s="138">
        <f t="shared" si="69"/>
        <v>0</v>
      </c>
      <c r="V108" s="138">
        <f t="shared" si="69"/>
        <v>0</v>
      </c>
      <c r="W108" s="138">
        <f t="shared" si="69"/>
        <v>0</v>
      </c>
      <c r="X108" s="138">
        <f t="shared" si="69"/>
        <v>0</v>
      </c>
      <c r="Y108" s="138">
        <f t="shared" si="69"/>
        <v>0</v>
      </c>
      <c r="Z108" s="138">
        <f t="shared" si="69"/>
        <v>0</v>
      </c>
      <c r="AA108" s="138">
        <f t="shared" si="69"/>
        <v>0</v>
      </c>
      <c r="AB108" s="138">
        <f t="shared" si="69"/>
        <v>0</v>
      </c>
      <c r="AC108" s="243"/>
    </row>
    <row r="109" spans="1:40" ht="15.75" hidden="1" customHeight="1" x14ac:dyDescent="0.4">
      <c r="A109" s="291">
        <f t="shared" si="55"/>
        <v>19</v>
      </c>
      <c r="B109" s="243">
        <f>STUD!G53</f>
        <v>0</v>
      </c>
      <c r="C109" s="244">
        <f>SUM(D110:AB110)</f>
        <v>0</v>
      </c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39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243">
        <f>SUM(D110:AB110)</f>
        <v>0</v>
      </c>
    </row>
    <row r="110" spans="1:40" ht="15.75" hidden="1" customHeight="1" x14ac:dyDescent="0.4">
      <c r="A110" s="242"/>
      <c r="B110" s="243"/>
      <c r="C110" s="245"/>
      <c r="D110" s="138">
        <f t="shared" ref="D110:AB110" si="70">IF(IFERROR(IF(VLOOKUP(D109,D$151:D$155,1,0)&gt;=1,D$150,0),D109)=D$132,D$136,IF(IFERROR(IF(VLOOKUP(D109,D$151:D$155,1,0)&gt;=1,D$150,0),D109)=D$139,D$142,IF(IFERROR(IF(VLOOKUP(D109,D$151:D$155,1,0)&gt;=1,D$150,0),D109)=D$145,D$147,0)))</f>
        <v>0</v>
      </c>
      <c r="E110" s="138">
        <f t="shared" si="70"/>
        <v>0</v>
      </c>
      <c r="F110" s="138">
        <f t="shared" si="70"/>
        <v>0</v>
      </c>
      <c r="G110" s="138">
        <f t="shared" si="70"/>
        <v>0</v>
      </c>
      <c r="H110" s="138">
        <f t="shared" si="70"/>
        <v>0</v>
      </c>
      <c r="I110" s="138">
        <f t="shared" si="70"/>
        <v>0</v>
      </c>
      <c r="J110" s="138">
        <f t="shared" si="70"/>
        <v>0</v>
      </c>
      <c r="K110" s="138">
        <f t="shared" si="70"/>
        <v>0</v>
      </c>
      <c r="L110" s="138">
        <f t="shared" si="70"/>
        <v>0</v>
      </c>
      <c r="M110" s="138">
        <f t="shared" si="70"/>
        <v>0</v>
      </c>
      <c r="N110" s="138">
        <f t="shared" si="70"/>
        <v>0</v>
      </c>
      <c r="O110" s="138">
        <f t="shared" si="70"/>
        <v>0</v>
      </c>
      <c r="P110" s="138">
        <f t="shared" si="70"/>
        <v>0</v>
      </c>
      <c r="Q110" s="138">
        <f t="shared" si="70"/>
        <v>0</v>
      </c>
      <c r="R110" s="138">
        <f t="shared" si="70"/>
        <v>0</v>
      </c>
      <c r="S110" s="138">
        <f t="shared" si="70"/>
        <v>0</v>
      </c>
      <c r="T110" s="138">
        <f t="shared" si="70"/>
        <v>0</v>
      </c>
      <c r="U110" s="138">
        <f t="shared" si="70"/>
        <v>0</v>
      </c>
      <c r="V110" s="138">
        <f t="shared" si="70"/>
        <v>0</v>
      </c>
      <c r="W110" s="138">
        <f t="shared" si="70"/>
        <v>0</v>
      </c>
      <c r="X110" s="138">
        <f t="shared" si="70"/>
        <v>0</v>
      </c>
      <c r="Y110" s="138">
        <f t="shared" si="70"/>
        <v>0</v>
      </c>
      <c r="Z110" s="138">
        <f t="shared" si="70"/>
        <v>0</v>
      </c>
      <c r="AA110" s="138">
        <f t="shared" si="70"/>
        <v>0</v>
      </c>
      <c r="AB110" s="138">
        <f t="shared" si="70"/>
        <v>0</v>
      </c>
      <c r="AC110" s="243"/>
    </row>
    <row r="111" spans="1:40" ht="15.75" hidden="1" customHeight="1" x14ac:dyDescent="0.4">
      <c r="A111" s="291">
        <f t="shared" si="55"/>
        <v>20</v>
      </c>
      <c r="B111" s="243">
        <f>STUD!G54</f>
        <v>0</v>
      </c>
      <c r="C111" s="244">
        <f>SUM(D112:AB112)</f>
        <v>0</v>
      </c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39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243">
        <f>SUM(D112:AB112)</f>
        <v>0</v>
      </c>
    </row>
    <row r="112" spans="1:40" ht="15.75" hidden="1" customHeight="1" x14ac:dyDescent="0.4">
      <c r="A112" s="242"/>
      <c r="B112" s="243"/>
      <c r="C112" s="245"/>
      <c r="D112" s="138">
        <f t="shared" ref="D112:AB112" si="71">IF(IFERROR(IF(VLOOKUP(D111,D$151:D$155,1,0)&gt;=1,D$150,0),D111)=D$132,D$136,IF(IFERROR(IF(VLOOKUP(D111,D$151:D$155,1,0)&gt;=1,D$150,0),D111)=D$139,D$142,IF(IFERROR(IF(VLOOKUP(D111,D$151:D$155,1,0)&gt;=1,D$150,0),D111)=D$145,D$147,0)))</f>
        <v>0</v>
      </c>
      <c r="E112" s="138">
        <f t="shared" si="71"/>
        <v>0</v>
      </c>
      <c r="F112" s="138">
        <f t="shared" si="71"/>
        <v>0</v>
      </c>
      <c r="G112" s="138">
        <f t="shared" si="71"/>
        <v>0</v>
      </c>
      <c r="H112" s="138">
        <f t="shared" si="71"/>
        <v>0</v>
      </c>
      <c r="I112" s="138">
        <f t="shared" si="71"/>
        <v>0</v>
      </c>
      <c r="J112" s="138">
        <f t="shared" si="71"/>
        <v>0</v>
      </c>
      <c r="K112" s="138">
        <f t="shared" si="71"/>
        <v>0</v>
      </c>
      <c r="L112" s="138">
        <f t="shared" si="71"/>
        <v>0</v>
      </c>
      <c r="M112" s="138">
        <f t="shared" si="71"/>
        <v>0</v>
      </c>
      <c r="N112" s="138">
        <f t="shared" si="71"/>
        <v>0</v>
      </c>
      <c r="O112" s="138">
        <f t="shared" si="71"/>
        <v>0</v>
      </c>
      <c r="P112" s="138">
        <f t="shared" si="71"/>
        <v>0</v>
      </c>
      <c r="Q112" s="138">
        <f t="shared" si="71"/>
        <v>0</v>
      </c>
      <c r="R112" s="138">
        <f t="shared" si="71"/>
        <v>0</v>
      </c>
      <c r="S112" s="138">
        <f t="shared" si="71"/>
        <v>0</v>
      </c>
      <c r="T112" s="138">
        <f t="shared" si="71"/>
        <v>0</v>
      </c>
      <c r="U112" s="138">
        <f t="shared" si="71"/>
        <v>0</v>
      </c>
      <c r="V112" s="138">
        <f t="shared" si="71"/>
        <v>0</v>
      </c>
      <c r="W112" s="138">
        <f t="shared" si="71"/>
        <v>0</v>
      </c>
      <c r="X112" s="138">
        <f t="shared" si="71"/>
        <v>0</v>
      </c>
      <c r="Y112" s="138">
        <f t="shared" si="71"/>
        <v>0</v>
      </c>
      <c r="Z112" s="138">
        <f t="shared" si="71"/>
        <v>0</v>
      </c>
      <c r="AA112" s="138">
        <f t="shared" si="71"/>
        <v>0</v>
      </c>
      <c r="AB112" s="138">
        <f t="shared" si="71"/>
        <v>0</v>
      </c>
      <c r="AC112" s="243"/>
    </row>
    <row r="113" spans="1:29" ht="15.75" hidden="1" customHeight="1" x14ac:dyDescent="0.4">
      <c r="A113" s="291">
        <f t="shared" si="55"/>
        <v>21</v>
      </c>
      <c r="B113" s="243">
        <f>STUD!G55</f>
        <v>0</v>
      </c>
      <c r="C113" s="244">
        <f>SUM(D114:AB114)</f>
        <v>0</v>
      </c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243">
        <f>SUM(D114:AB114)</f>
        <v>0</v>
      </c>
    </row>
    <row r="114" spans="1:29" ht="15.75" hidden="1" customHeight="1" x14ac:dyDescent="0.4">
      <c r="A114" s="242"/>
      <c r="B114" s="243"/>
      <c r="C114" s="245"/>
      <c r="D114" s="138">
        <f t="shared" ref="D114:AB114" si="72">IF(IFERROR(IF(VLOOKUP(D113,D$151:D$155,1,0)&gt;=1,D$150,0),D113)=D$132,D$136,IF(IFERROR(IF(VLOOKUP(D113,D$151:D$155,1,0)&gt;=1,D$150,0),D113)=D$139,D$142,IF(IFERROR(IF(VLOOKUP(D113,D$151:D$155,1,0)&gt;=1,D$150,0),D113)=D$145,D$147,0)))</f>
        <v>0</v>
      </c>
      <c r="E114" s="138">
        <f t="shared" si="72"/>
        <v>0</v>
      </c>
      <c r="F114" s="138">
        <f t="shared" si="72"/>
        <v>0</v>
      </c>
      <c r="G114" s="138">
        <f t="shared" si="72"/>
        <v>0</v>
      </c>
      <c r="H114" s="138">
        <f t="shared" si="72"/>
        <v>0</v>
      </c>
      <c r="I114" s="138">
        <f t="shared" si="72"/>
        <v>0</v>
      </c>
      <c r="J114" s="138">
        <f t="shared" si="72"/>
        <v>0</v>
      </c>
      <c r="K114" s="138">
        <f t="shared" si="72"/>
        <v>0</v>
      </c>
      <c r="L114" s="138">
        <f t="shared" si="72"/>
        <v>0</v>
      </c>
      <c r="M114" s="138">
        <f t="shared" si="72"/>
        <v>0</v>
      </c>
      <c r="N114" s="138">
        <f t="shared" si="72"/>
        <v>0</v>
      </c>
      <c r="O114" s="138">
        <f t="shared" si="72"/>
        <v>0</v>
      </c>
      <c r="P114" s="138">
        <f t="shared" si="72"/>
        <v>0</v>
      </c>
      <c r="Q114" s="138">
        <f t="shared" si="72"/>
        <v>0</v>
      </c>
      <c r="R114" s="138">
        <f t="shared" si="72"/>
        <v>0</v>
      </c>
      <c r="S114" s="138">
        <f t="shared" si="72"/>
        <v>0</v>
      </c>
      <c r="T114" s="138">
        <f t="shared" si="72"/>
        <v>0</v>
      </c>
      <c r="U114" s="138">
        <f t="shared" si="72"/>
        <v>0</v>
      </c>
      <c r="V114" s="138">
        <f t="shared" si="72"/>
        <v>0</v>
      </c>
      <c r="W114" s="138">
        <f t="shared" si="72"/>
        <v>0</v>
      </c>
      <c r="X114" s="138">
        <f t="shared" si="72"/>
        <v>0</v>
      </c>
      <c r="Y114" s="138">
        <f t="shared" si="72"/>
        <v>0</v>
      </c>
      <c r="Z114" s="138">
        <f t="shared" si="72"/>
        <v>0</v>
      </c>
      <c r="AA114" s="138">
        <f t="shared" si="72"/>
        <v>0</v>
      </c>
      <c r="AB114" s="138">
        <f t="shared" si="72"/>
        <v>0</v>
      </c>
      <c r="AC114" s="243"/>
    </row>
    <row r="115" spans="1:29" ht="15.75" hidden="1" customHeight="1" x14ac:dyDescent="0.4">
      <c r="A115" s="291">
        <f t="shared" si="55"/>
        <v>22</v>
      </c>
      <c r="B115" s="243">
        <f>STUD!G56</f>
        <v>0</v>
      </c>
      <c r="C115" s="244">
        <f>SUM(D116:AB116)</f>
        <v>0</v>
      </c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243">
        <f>SUM(D116:AB116)</f>
        <v>0</v>
      </c>
    </row>
    <row r="116" spans="1:29" ht="15.75" hidden="1" customHeight="1" x14ac:dyDescent="0.4">
      <c r="A116" s="242"/>
      <c r="B116" s="243"/>
      <c r="C116" s="245"/>
      <c r="D116" s="138">
        <f t="shared" ref="D116:AB116" si="73">IF(IFERROR(IF(VLOOKUP(D115,D$151:D$155,1,0)&gt;=1,D$150,0),D115)=D$132,D$136,IF(IFERROR(IF(VLOOKUP(D115,D$151:D$155,1,0)&gt;=1,D$150,0),D115)=D$139,D$142,IF(IFERROR(IF(VLOOKUP(D115,D$151:D$155,1,0)&gt;=1,D$150,0),D115)=D$145,D$147,0)))</f>
        <v>0</v>
      </c>
      <c r="E116" s="138">
        <f t="shared" si="73"/>
        <v>0</v>
      </c>
      <c r="F116" s="138">
        <f t="shared" si="73"/>
        <v>0</v>
      </c>
      <c r="G116" s="138">
        <f t="shared" si="73"/>
        <v>0</v>
      </c>
      <c r="H116" s="138">
        <f t="shared" si="73"/>
        <v>0</v>
      </c>
      <c r="I116" s="138">
        <f t="shared" si="73"/>
        <v>0</v>
      </c>
      <c r="J116" s="138">
        <f t="shared" si="73"/>
        <v>0</v>
      </c>
      <c r="K116" s="138">
        <f t="shared" si="73"/>
        <v>0</v>
      </c>
      <c r="L116" s="138">
        <f t="shared" si="73"/>
        <v>0</v>
      </c>
      <c r="M116" s="138">
        <f t="shared" si="73"/>
        <v>0</v>
      </c>
      <c r="N116" s="138">
        <f t="shared" si="73"/>
        <v>0</v>
      </c>
      <c r="O116" s="138">
        <f t="shared" si="73"/>
        <v>0</v>
      </c>
      <c r="P116" s="138">
        <f t="shared" si="73"/>
        <v>0</v>
      </c>
      <c r="Q116" s="138">
        <f t="shared" si="73"/>
        <v>0</v>
      </c>
      <c r="R116" s="138">
        <f t="shared" si="73"/>
        <v>0</v>
      </c>
      <c r="S116" s="138">
        <f t="shared" si="73"/>
        <v>0</v>
      </c>
      <c r="T116" s="138">
        <f t="shared" si="73"/>
        <v>0</v>
      </c>
      <c r="U116" s="138">
        <f t="shared" si="73"/>
        <v>0</v>
      </c>
      <c r="V116" s="138">
        <f t="shared" si="73"/>
        <v>0</v>
      </c>
      <c r="W116" s="138">
        <f t="shared" si="73"/>
        <v>0</v>
      </c>
      <c r="X116" s="138">
        <f t="shared" si="73"/>
        <v>0</v>
      </c>
      <c r="Y116" s="138">
        <f t="shared" si="73"/>
        <v>0</v>
      </c>
      <c r="Z116" s="138">
        <f t="shared" si="73"/>
        <v>0</v>
      </c>
      <c r="AA116" s="138">
        <f t="shared" si="73"/>
        <v>0</v>
      </c>
      <c r="AB116" s="138">
        <f t="shared" si="73"/>
        <v>0</v>
      </c>
      <c r="AC116" s="243"/>
    </row>
    <row r="117" spans="1:29" ht="15.75" hidden="1" customHeight="1" x14ac:dyDescent="0.4">
      <c r="A117" s="291">
        <f t="shared" si="55"/>
        <v>23</v>
      </c>
      <c r="B117" s="243">
        <f>STUD!G57</f>
        <v>0</v>
      </c>
      <c r="C117" s="244">
        <f>SUM(D118:AB118)</f>
        <v>0</v>
      </c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226"/>
      <c r="Z117" s="226"/>
      <c r="AA117" s="226"/>
      <c r="AB117" s="226"/>
      <c r="AC117" s="243">
        <f>SUM(D118:AB118)</f>
        <v>0</v>
      </c>
    </row>
    <row r="118" spans="1:29" ht="15.75" hidden="1" customHeight="1" x14ac:dyDescent="0.4">
      <c r="A118" s="242"/>
      <c r="B118" s="243"/>
      <c r="C118" s="245"/>
      <c r="D118" s="138">
        <f t="shared" ref="D118:AB118" si="74">IF(IFERROR(IF(VLOOKUP(D117,D$151:D$155,1,0)&gt;=1,D$150,0),D117)=D$132,D$136,IF(IFERROR(IF(VLOOKUP(D117,D$151:D$155,1,0)&gt;=1,D$150,0),D117)=D$139,D$142,IF(IFERROR(IF(VLOOKUP(D117,D$151:D$155,1,0)&gt;=1,D$150,0),D117)=D$145,D$147,0)))</f>
        <v>0</v>
      </c>
      <c r="E118" s="138">
        <f t="shared" si="74"/>
        <v>0</v>
      </c>
      <c r="F118" s="138">
        <f t="shared" si="74"/>
        <v>0</v>
      </c>
      <c r="G118" s="138">
        <f t="shared" si="74"/>
        <v>0</v>
      </c>
      <c r="H118" s="138">
        <f t="shared" si="74"/>
        <v>0</v>
      </c>
      <c r="I118" s="138">
        <f t="shared" si="74"/>
        <v>0</v>
      </c>
      <c r="J118" s="138">
        <f t="shared" si="74"/>
        <v>0</v>
      </c>
      <c r="K118" s="138">
        <f t="shared" si="74"/>
        <v>0</v>
      </c>
      <c r="L118" s="138">
        <f t="shared" si="74"/>
        <v>0</v>
      </c>
      <c r="M118" s="138">
        <f t="shared" si="74"/>
        <v>0</v>
      </c>
      <c r="N118" s="138">
        <f t="shared" si="74"/>
        <v>0</v>
      </c>
      <c r="O118" s="138">
        <f t="shared" si="74"/>
        <v>0</v>
      </c>
      <c r="P118" s="138">
        <f t="shared" si="74"/>
        <v>0</v>
      </c>
      <c r="Q118" s="138">
        <f t="shared" si="74"/>
        <v>0</v>
      </c>
      <c r="R118" s="138">
        <f t="shared" si="74"/>
        <v>0</v>
      </c>
      <c r="S118" s="138">
        <f t="shared" si="74"/>
        <v>0</v>
      </c>
      <c r="T118" s="138">
        <f t="shared" si="74"/>
        <v>0</v>
      </c>
      <c r="U118" s="138">
        <f t="shared" si="74"/>
        <v>0</v>
      </c>
      <c r="V118" s="138">
        <f t="shared" si="74"/>
        <v>0</v>
      </c>
      <c r="W118" s="138">
        <f t="shared" si="74"/>
        <v>0</v>
      </c>
      <c r="X118" s="138">
        <f t="shared" si="74"/>
        <v>0</v>
      </c>
      <c r="Y118" s="138">
        <f t="shared" si="74"/>
        <v>0</v>
      </c>
      <c r="Z118" s="138">
        <f t="shared" si="74"/>
        <v>0</v>
      </c>
      <c r="AA118" s="138">
        <f t="shared" si="74"/>
        <v>0</v>
      </c>
      <c r="AB118" s="138">
        <f t="shared" si="74"/>
        <v>0</v>
      </c>
      <c r="AC118" s="243"/>
    </row>
    <row r="119" spans="1:29" ht="15.75" hidden="1" customHeight="1" x14ac:dyDescent="0.4">
      <c r="A119" s="291">
        <f t="shared" si="55"/>
        <v>24</v>
      </c>
      <c r="B119" s="243">
        <f>STUD!G58</f>
        <v>0</v>
      </c>
      <c r="C119" s="244">
        <f>SUM(D120:AB120)</f>
        <v>0</v>
      </c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226"/>
      <c r="Z119" s="226"/>
      <c r="AA119" s="226"/>
      <c r="AB119" s="226"/>
      <c r="AC119" s="243">
        <f>SUM(D120:AB120)</f>
        <v>0</v>
      </c>
    </row>
    <row r="120" spans="1:29" ht="15.75" hidden="1" customHeight="1" x14ac:dyDescent="0.4">
      <c r="A120" s="242"/>
      <c r="B120" s="243"/>
      <c r="C120" s="245"/>
      <c r="D120" s="138">
        <f t="shared" ref="D120:AB120" si="75">IF(IFERROR(IF(VLOOKUP(D119,D$151:D$155,1,0)&gt;=1,D$150,0),D119)=D$132,D$136,IF(IFERROR(IF(VLOOKUP(D119,D$151:D$155,1,0)&gt;=1,D$150,0),D119)=D$139,D$142,IF(IFERROR(IF(VLOOKUP(D119,D$151:D$155,1,0)&gt;=1,D$150,0),D119)=D$145,D$147,0)))</f>
        <v>0</v>
      </c>
      <c r="E120" s="138">
        <f t="shared" si="75"/>
        <v>0</v>
      </c>
      <c r="F120" s="138">
        <f t="shared" si="75"/>
        <v>0</v>
      </c>
      <c r="G120" s="138">
        <f t="shared" si="75"/>
        <v>0</v>
      </c>
      <c r="H120" s="138">
        <f t="shared" si="75"/>
        <v>0</v>
      </c>
      <c r="I120" s="138">
        <f t="shared" si="75"/>
        <v>0</v>
      </c>
      <c r="J120" s="138">
        <f t="shared" si="75"/>
        <v>0</v>
      </c>
      <c r="K120" s="138">
        <f t="shared" si="75"/>
        <v>0</v>
      </c>
      <c r="L120" s="138">
        <f t="shared" si="75"/>
        <v>0</v>
      </c>
      <c r="M120" s="138">
        <f t="shared" si="75"/>
        <v>0</v>
      </c>
      <c r="N120" s="138">
        <f t="shared" si="75"/>
        <v>0</v>
      </c>
      <c r="O120" s="138">
        <f t="shared" si="75"/>
        <v>0</v>
      </c>
      <c r="P120" s="138">
        <f t="shared" si="75"/>
        <v>0</v>
      </c>
      <c r="Q120" s="138">
        <f t="shared" si="75"/>
        <v>0</v>
      </c>
      <c r="R120" s="138">
        <f t="shared" si="75"/>
        <v>0</v>
      </c>
      <c r="S120" s="138">
        <f t="shared" si="75"/>
        <v>0</v>
      </c>
      <c r="T120" s="138">
        <f t="shared" si="75"/>
        <v>0</v>
      </c>
      <c r="U120" s="138">
        <f t="shared" si="75"/>
        <v>0</v>
      </c>
      <c r="V120" s="138">
        <f t="shared" si="75"/>
        <v>0</v>
      </c>
      <c r="W120" s="138">
        <f t="shared" si="75"/>
        <v>0</v>
      </c>
      <c r="X120" s="138">
        <f t="shared" si="75"/>
        <v>0</v>
      </c>
      <c r="Y120" s="138">
        <f t="shared" si="75"/>
        <v>0</v>
      </c>
      <c r="Z120" s="138">
        <f t="shared" si="75"/>
        <v>0</v>
      </c>
      <c r="AA120" s="138">
        <f t="shared" si="75"/>
        <v>0</v>
      </c>
      <c r="AB120" s="138">
        <f t="shared" si="75"/>
        <v>0</v>
      </c>
      <c r="AC120" s="243"/>
    </row>
    <row r="121" spans="1:29" ht="15.75" hidden="1" customHeight="1" x14ac:dyDescent="0.4">
      <c r="A121" s="292">
        <f t="shared" si="55"/>
        <v>25</v>
      </c>
      <c r="B121" s="243">
        <f>STUD!G59</f>
        <v>0</v>
      </c>
      <c r="C121" s="244">
        <f>SUM(D122:AB122)</f>
        <v>0</v>
      </c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9"/>
      <c r="Z121" s="119"/>
      <c r="AA121" s="119"/>
      <c r="AB121" s="119"/>
      <c r="AC121" s="243">
        <f>SUM(D122:AB122)</f>
        <v>0</v>
      </c>
    </row>
    <row r="122" spans="1:29" ht="15.75" hidden="1" customHeight="1" x14ac:dyDescent="0.4">
      <c r="A122" s="242"/>
      <c r="B122" s="243"/>
      <c r="C122" s="245"/>
      <c r="D122" s="108">
        <f t="shared" ref="D122:AB122" si="76">IF(IFERROR(IF(VLOOKUP(D121,D$151:D$155,1,0)&gt;=1,D$150,0),D121)=D$132,D$136,IF(IFERROR(IF(VLOOKUP(D121,D$151:D$155,1,0)&gt;=1,D$150,0),D121)=D$139,D$142,IF(IFERROR(IF(VLOOKUP(D121,D$151:D$155,1,0)&gt;=1,D$150,0),D121)=D$145,D$147,0)))</f>
        <v>0</v>
      </c>
      <c r="E122" s="108">
        <f t="shared" si="76"/>
        <v>0</v>
      </c>
      <c r="F122" s="108">
        <f t="shared" si="76"/>
        <v>0</v>
      </c>
      <c r="G122" s="108">
        <f t="shared" si="76"/>
        <v>0</v>
      </c>
      <c r="H122" s="108">
        <f t="shared" si="76"/>
        <v>0</v>
      </c>
      <c r="I122" s="108">
        <f t="shared" si="76"/>
        <v>0</v>
      </c>
      <c r="J122" s="108">
        <f t="shared" si="76"/>
        <v>0</v>
      </c>
      <c r="K122" s="108">
        <f t="shared" si="76"/>
        <v>0</v>
      </c>
      <c r="L122" s="108">
        <f t="shared" si="76"/>
        <v>0</v>
      </c>
      <c r="M122" s="108">
        <f t="shared" si="76"/>
        <v>0</v>
      </c>
      <c r="N122" s="108">
        <f t="shared" si="76"/>
        <v>0</v>
      </c>
      <c r="O122" s="108">
        <f t="shared" si="76"/>
        <v>0</v>
      </c>
      <c r="P122" s="108">
        <f t="shared" si="76"/>
        <v>0</v>
      </c>
      <c r="Q122" s="108">
        <f t="shared" si="76"/>
        <v>0</v>
      </c>
      <c r="R122" s="108">
        <f t="shared" si="76"/>
        <v>0</v>
      </c>
      <c r="S122" s="108">
        <f t="shared" si="76"/>
        <v>0</v>
      </c>
      <c r="T122" s="108">
        <f t="shared" si="76"/>
        <v>0</v>
      </c>
      <c r="U122" s="108">
        <f t="shared" si="76"/>
        <v>0</v>
      </c>
      <c r="V122" s="108">
        <f t="shared" si="76"/>
        <v>0</v>
      </c>
      <c r="W122" s="108">
        <f t="shared" si="76"/>
        <v>0</v>
      </c>
      <c r="X122" s="108">
        <f t="shared" si="76"/>
        <v>0</v>
      </c>
      <c r="Y122" s="108">
        <f t="shared" si="76"/>
        <v>0</v>
      </c>
      <c r="Z122" s="108">
        <f t="shared" si="76"/>
        <v>0</v>
      </c>
      <c r="AA122" s="108">
        <f t="shared" si="76"/>
        <v>0</v>
      </c>
      <c r="AB122" s="108">
        <f t="shared" si="76"/>
        <v>0</v>
      </c>
      <c r="AC122" s="243"/>
    </row>
    <row r="123" spans="1:29" ht="15.75" hidden="1" customHeight="1" x14ac:dyDescent="0.4">
      <c r="A123" s="292">
        <f t="shared" si="55"/>
        <v>26</v>
      </c>
      <c r="B123" s="243">
        <f>STUD!G60</f>
        <v>0</v>
      </c>
      <c r="C123" s="244">
        <f>SUM(D124:AB124)</f>
        <v>0</v>
      </c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9"/>
      <c r="Y123" s="119"/>
      <c r="Z123" s="119"/>
      <c r="AA123" s="119"/>
      <c r="AB123" s="119"/>
      <c r="AC123" s="243">
        <f>SUM(D124:AB124)</f>
        <v>0</v>
      </c>
    </row>
    <row r="124" spans="1:29" ht="19.5" hidden="1" x14ac:dyDescent="0.4">
      <c r="A124" s="286"/>
      <c r="B124" s="243"/>
      <c r="C124" s="245"/>
      <c r="D124" s="108">
        <f t="shared" ref="D124:AB124" si="77">IF(IFERROR(IF(VLOOKUP(D123,D$151:D$155,1,0)&gt;=1,D$150,0),D123)=D$132,D$136,IF(IFERROR(IF(VLOOKUP(D123,D$151:D$155,1,0)&gt;=1,D$150,0),D123)=D$139,D$142,IF(IFERROR(IF(VLOOKUP(D123,D$151:D$155,1,0)&gt;=1,D$150,0),D123)=D$145,D$147,0)))</f>
        <v>0</v>
      </c>
      <c r="E124" s="108">
        <f t="shared" si="77"/>
        <v>0</v>
      </c>
      <c r="F124" s="108">
        <f t="shared" si="77"/>
        <v>0</v>
      </c>
      <c r="G124" s="108">
        <f t="shared" si="77"/>
        <v>0</v>
      </c>
      <c r="H124" s="108">
        <f t="shared" si="77"/>
        <v>0</v>
      </c>
      <c r="I124" s="108">
        <f t="shared" si="77"/>
        <v>0</v>
      </c>
      <c r="J124" s="108">
        <f t="shared" si="77"/>
        <v>0</v>
      </c>
      <c r="K124" s="108">
        <f t="shared" si="77"/>
        <v>0</v>
      </c>
      <c r="L124" s="108">
        <f t="shared" si="77"/>
        <v>0</v>
      </c>
      <c r="M124" s="108">
        <f t="shared" si="77"/>
        <v>0</v>
      </c>
      <c r="N124" s="108">
        <f t="shared" si="77"/>
        <v>0</v>
      </c>
      <c r="O124" s="108">
        <f t="shared" si="77"/>
        <v>0</v>
      </c>
      <c r="P124" s="108">
        <f t="shared" si="77"/>
        <v>0</v>
      </c>
      <c r="Q124" s="108">
        <f t="shared" si="77"/>
        <v>0</v>
      </c>
      <c r="R124" s="108">
        <f t="shared" si="77"/>
        <v>0</v>
      </c>
      <c r="S124" s="108">
        <f t="shared" si="77"/>
        <v>0</v>
      </c>
      <c r="T124" s="108">
        <f t="shared" si="77"/>
        <v>0</v>
      </c>
      <c r="U124" s="108">
        <f t="shared" si="77"/>
        <v>0</v>
      </c>
      <c r="V124" s="108">
        <f t="shared" si="77"/>
        <v>0</v>
      </c>
      <c r="W124" s="108">
        <f t="shared" si="77"/>
        <v>0</v>
      </c>
      <c r="X124" s="108">
        <f t="shared" si="77"/>
        <v>0</v>
      </c>
      <c r="Y124" s="108">
        <f t="shared" si="77"/>
        <v>0</v>
      </c>
      <c r="Z124" s="108">
        <f t="shared" si="77"/>
        <v>0</v>
      </c>
      <c r="AA124" s="108">
        <f t="shared" si="77"/>
        <v>0</v>
      </c>
      <c r="AB124" s="108">
        <f t="shared" si="77"/>
        <v>0</v>
      </c>
      <c r="AC124" s="243"/>
    </row>
    <row r="125" spans="1:29" ht="19.5" hidden="1" x14ac:dyDescent="0.4">
      <c r="A125" s="292">
        <f t="shared" si="55"/>
        <v>27</v>
      </c>
      <c r="B125" s="243">
        <f>STUD!G61</f>
        <v>0</v>
      </c>
      <c r="C125" s="283">
        <f>SUM(D126:AB126)</f>
        <v>0</v>
      </c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9"/>
      <c r="Y125" s="119"/>
      <c r="Z125" s="119"/>
      <c r="AA125" s="119"/>
      <c r="AB125" s="119"/>
      <c r="AC125" s="263">
        <f>SUM(D126:AB126)</f>
        <v>0</v>
      </c>
    </row>
    <row r="126" spans="1:29" ht="19.5" hidden="1" x14ac:dyDescent="0.4">
      <c r="A126" s="282"/>
      <c r="B126" s="243"/>
      <c r="C126" s="284"/>
      <c r="D126" s="108">
        <f t="shared" ref="D126:AB126" si="78">IF(IFERROR(IF(VLOOKUP(D125,D$151:D$155,1,0)&gt;=1,D$150,0),D125)=D$132,D$136,IF(IFERROR(IF(VLOOKUP(D125,D$151:D$155,1,0)&gt;=1,D$150,0),D125)=D$139,D$142,IF(IFERROR(IF(VLOOKUP(D125,D$151:D$155,1,0)&gt;=1,D$150,0),D125)=D$145,D$147,0)))</f>
        <v>0</v>
      </c>
      <c r="E126" s="108">
        <f t="shared" si="78"/>
        <v>0</v>
      </c>
      <c r="F126" s="108">
        <f t="shared" si="78"/>
        <v>0</v>
      </c>
      <c r="G126" s="108">
        <f t="shared" si="78"/>
        <v>0</v>
      </c>
      <c r="H126" s="108">
        <f t="shared" si="78"/>
        <v>0</v>
      </c>
      <c r="I126" s="108">
        <f t="shared" si="78"/>
        <v>0</v>
      </c>
      <c r="J126" s="108">
        <f t="shared" si="78"/>
        <v>0</v>
      </c>
      <c r="K126" s="108">
        <f t="shared" si="78"/>
        <v>0</v>
      </c>
      <c r="L126" s="108">
        <f t="shared" si="78"/>
        <v>0</v>
      </c>
      <c r="M126" s="108">
        <f t="shared" si="78"/>
        <v>0</v>
      </c>
      <c r="N126" s="108">
        <f t="shared" si="78"/>
        <v>0</v>
      </c>
      <c r="O126" s="108">
        <f t="shared" si="78"/>
        <v>0</v>
      </c>
      <c r="P126" s="108">
        <f t="shared" si="78"/>
        <v>0</v>
      </c>
      <c r="Q126" s="108">
        <f t="shared" si="78"/>
        <v>0</v>
      </c>
      <c r="R126" s="108">
        <f t="shared" si="78"/>
        <v>0</v>
      </c>
      <c r="S126" s="108">
        <f t="shared" si="78"/>
        <v>0</v>
      </c>
      <c r="T126" s="108">
        <f t="shared" si="78"/>
        <v>0</v>
      </c>
      <c r="U126" s="108">
        <f t="shared" si="78"/>
        <v>0</v>
      </c>
      <c r="V126" s="108">
        <f t="shared" si="78"/>
        <v>0</v>
      </c>
      <c r="W126" s="108">
        <f t="shared" si="78"/>
        <v>0</v>
      </c>
      <c r="X126" s="108">
        <f t="shared" si="78"/>
        <v>0</v>
      </c>
      <c r="Y126" s="108">
        <f t="shared" si="78"/>
        <v>0</v>
      </c>
      <c r="Z126" s="108">
        <f t="shared" si="78"/>
        <v>0</v>
      </c>
      <c r="AA126" s="108">
        <f t="shared" si="78"/>
        <v>0</v>
      </c>
      <c r="AB126" s="108">
        <f t="shared" si="78"/>
        <v>0</v>
      </c>
      <c r="AC126" s="263"/>
    </row>
    <row r="127" spans="1:29" ht="19.5" hidden="1" x14ac:dyDescent="0.4">
      <c r="A127" s="292">
        <f t="shared" si="55"/>
        <v>28</v>
      </c>
      <c r="B127" s="243">
        <f>STUD!G62</f>
        <v>0</v>
      </c>
      <c r="C127" s="283">
        <f>SUM(D128:AB128)</f>
        <v>0</v>
      </c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9"/>
      <c r="Y127" s="119"/>
      <c r="Z127" s="119"/>
      <c r="AA127" s="119"/>
      <c r="AB127" s="119"/>
      <c r="AC127" s="263">
        <f>SUM(D128:AB128)</f>
        <v>0</v>
      </c>
    </row>
    <row r="128" spans="1:29" ht="19.5" hidden="1" x14ac:dyDescent="0.4">
      <c r="A128" s="282"/>
      <c r="B128" s="243"/>
      <c r="C128" s="284"/>
      <c r="D128" s="108">
        <f t="shared" ref="D128:AB128" si="79">IF(IFERROR(IF(VLOOKUP(D127,D$151:D$155,1,0)&gt;=1,D$150,0),D127)=D$132,D$136,IF(IFERROR(IF(VLOOKUP(D127,D$151:D$155,1,0)&gt;=1,D$150,0),D127)=D$139,D$142,IF(IFERROR(IF(VLOOKUP(D127,D$151:D$155,1,0)&gt;=1,D$150,0),D127)=D$145,D$147,0)))</f>
        <v>0</v>
      </c>
      <c r="E128" s="108">
        <f t="shared" si="79"/>
        <v>0</v>
      </c>
      <c r="F128" s="108">
        <f t="shared" si="79"/>
        <v>0</v>
      </c>
      <c r="G128" s="108">
        <f t="shared" si="79"/>
        <v>0</v>
      </c>
      <c r="H128" s="108">
        <f t="shared" si="79"/>
        <v>0</v>
      </c>
      <c r="I128" s="108">
        <f t="shared" si="79"/>
        <v>0</v>
      </c>
      <c r="J128" s="108">
        <f t="shared" si="79"/>
        <v>0</v>
      </c>
      <c r="K128" s="108">
        <f t="shared" si="79"/>
        <v>0</v>
      </c>
      <c r="L128" s="108">
        <f t="shared" si="79"/>
        <v>0</v>
      </c>
      <c r="M128" s="108">
        <f t="shared" si="79"/>
        <v>0</v>
      </c>
      <c r="N128" s="108">
        <f t="shared" si="79"/>
        <v>0</v>
      </c>
      <c r="O128" s="108">
        <f t="shared" si="79"/>
        <v>0</v>
      </c>
      <c r="P128" s="108">
        <f t="shared" si="79"/>
        <v>0</v>
      </c>
      <c r="Q128" s="108">
        <f t="shared" si="79"/>
        <v>0</v>
      </c>
      <c r="R128" s="108">
        <f t="shared" si="79"/>
        <v>0</v>
      </c>
      <c r="S128" s="108">
        <f t="shared" si="79"/>
        <v>0</v>
      </c>
      <c r="T128" s="108">
        <f t="shared" si="79"/>
        <v>0</v>
      </c>
      <c r="U128" s="108">
        <f t="shared" si="79"/>
        <v>0</v>
      </c>
      <c r="V128" s="108">
        <f t="shared" si="79"/>
        <v>0</v>
      </c>
      <c r="W128" s="108">
        <f t="shared" si="79"/>
        <v>0</v>
      </c>
      <c r="X128" s="108">
        <f t="shared" si="79"/>
        <v>0</v>
      </c>
      <c r="Y128" s="108">
        <f t="shared" si="79"/>
        <v>0</v>
      </c>
      <c r="Z128" s="108">
        <f t="shared" si="79"/>
        <v>0</v>
      </c>
      <c r="AA128" s="108">
        <f t="shared" si="79"/>
        <v>0</v>
      </c>
      <c r="AB128" s="108">
        <f t="shared" si="79"/>
        <v>0</v>
      </c>
      <c r="AC128" s="263"/>
    </row>
    <row r="129" spans="1:29" hidden="1" x14ac:dyDescent="0.4">
      <c r="A129" s="13"/>
      <c r="B129" s="10"/>
      <c r="C129" s="10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0"/>
    </row>
    <row r="130" spans="1:29" ht="13.5" thickBot="1" x14ac:dyDescent="0.45">
      <c r="A130" s="3"/>
    </row>
    <row r="131" spans="1:29" ht="19.899999999999999" thickBot="1" x14ac:dyDescent="0.65">
      <c r="A131" s="3"/>
      <c r="C131" s="17" t="s">
        <v>21</v>
      </c>
      <c r="D131" s="18">
        <v>1</v>
      </c>
      <c r="E131" s="18">
        <v>2</v>
      </c>
      <c r="F131" s="18">
        <v>3</v>
      </c>
      <c r="G131" s="18">
        <v>4</v>
      </c>
      <c r="H131" s="18">
        <v>5</v>
      </c>
      <c r="I131" s="18">
        <v>6</v>
      </c>
      <c r="J131" s="18">
        <v>7</v>
      </c>
      <c r="K131" s="18">
        <v>8</v>
      </c>
      <c r="L131" s="18">
        <v>9</v>
      </c>
      <c r="M131" s="18">
        <v>10</v>
      </c>
      <c r="N131" s="18">
        <v>11</v>
      </c>
      <c r="O131" s="18">
        <v>12</v>
      </c>
      <c r="P131" s="18">
        <v>13</v>
      </c>
      <c r="Q131" s="18">
        <v>14</v>
      </c>
      <c r="R131" s="18">
        <v>15</v>
      </c>
      <c r="S131" s="18">
        <v>16</v>
      </c>
      <c r="T131" s="18">
        <v>17</v>
      </c>
      <c r="U131" s="18">
        <v>18</v>
      </c>
      <c r="V131" s="18">
        <v>19</v>
      </c>
      <c r="W131" s="18">
        <v>20</v>
      </c>
      <c r="X131" s="18">
        <v>21</v>
      </c>
      <c r="Y131" s="18">
        <v>22</v>
      </c>
      <c r="Z131" s="18">
        <v>23</v>
      </c>
      <c r="AA131" s="4">
        <v>24</v>
      </c>
      <c r="AB131" s="4">
        <v>25</v>
      </c>
    </row>
    <row r="132" spans="1:29" ht="19.5" x14ac:dyDescent="0.6">
      <c r="A132" s="3"/>
      <c r="C132" s="19" t="s">
        <v>22</v>
      </c>
      <c r="D132" s="20"/>
      <c r="E132" s="20"/>
      <c r="F132" s="20"/>
      <c r="G132" s="20"/>
      <c r="H132" s="20"/>
      <c r="I132" s="20"/>
      <c r="J132" s="20"/>
      <c r="K132" s="20"/>
      <c r="L132" s="20"/>
      <c r="M132" s="41"/>
      <c r="N132" s="41"/>
      <c r="O132" s="41"/>
      <c r="P132" s="20"/>
      <c r="Q132" s="20"/>
      <c r="R132" s="20"/>
      <c r="S132" s="41"/>
      <c r="T132" s="41"/>
      <c r="U132" s="41"/>
      <c r="V132" s="20"/>
      <c r="W132" s="20"/>
      <c r="X132" s="41"/>
      <c r="Y132" s="5"/>
      <c r="Z132" s="5"/>
      <c r="AA132" s="5"/>
      <c r="AB132" s="5"/>
    </row>
    <row r="133" spans="1:29" ht="19.5" x14ac:dyDescent="0.6">
      <c r="A133" s="3"/>
      <c r="C133" s="22" t="s">
        <v>23</v>
      </c>
      <c r="D133" s="37"/>
      <c r="E133" s="37"/>
      <c r="F133" s="37"/>
      <c r="G133" s="37"/>
      <c r="H133" s="37"/>
      <c r="I133" s="37"/>
      <c r="J133" s="37"/>
      <c r="K133" s="37"/>
      <c r="L133" s="37"/>
      <c r="M133" s="42"/>
      <c r="N133" s="43"/>
      <c r="O133" s="43"/>
      <c r="P133" s="37"/>
      <c r="Q133" s="37"/>
      <c r="R133" s="37"/>
      <c r="S133" s="43"/>
      <c r="T133" s="43"/>
      <c r="U133" s="43"/>
      <c r="V133" s="37"/>
      <c r="W133" s="37"/>
      <c r="X133" s="43"/>
      <c r="Y133" s="6"/>
      <c r="Z133" s="6"/>
      <c r="AA133" s="6"/>
      <c r="AB133" s="6"/>
    </row>
    <row r="134" spans="1:29" ht="19.5" x14ac:dyDescent="0.6">
      <c r="A134" s="3"/>
      <c r="C134" s="22" t="s">
        <v>24</v>
      </c>
      <c r="D134" s="37"/>
      <c r="E134" s="37"/>
      <c r="F134" s="37"/>
      <c r="G134" s="37"/>
      <c r="H134" s="37"/>
      <c r="I134" s="37"/>
      <c r="J134" s="37"/>
      <c r="K134" s="37"/>
      <c r="L134" s="37"/>
      <c r="M134" s="43"/>
      <c r="N134" s="43"/>
      <c r="O134" s="43"/>
      <c r="P134" s="37"/>
      <c r="Q134" s="37"/>
      <c r="R134" s="37"/>
      <c r="S134" s="43"/>
      <c r="T134" s="43"/>
      <c r="U134" s="43"/>
      <c r="V134" s="37"/>
      <c r="W134" s="37"/>
      <c r="X134" s="43"/>
      <c r="Y134" s="6"/>
      <c r="Z134" s="6"/>
      <c r="AA134" s="6"/>
      <c r="AB134" s="6"/>
    </row>
    <row r="135" spans="1:29" ht="19.5" x14ac:dyDescent="0.6">
      <c r="A135" s="3"/>
      <c r="C135" s="22" t="s">
        <v>25</v>
      </c>
      <c r="D135" s="37"/>
      <c r="E135" s="37"/>
      <c r="F135" s="37"/>
      <c r="G135" s="37"/>
      <c r="H135" s="37"/>
      <c r="I135" s="37"/>
      <c r="J135" s="37"/>
      <c r="K135" s="37"/>
      <c r="L135" s="37"/>
      <c r="M135" s="43"/>
      <c r="N135" s="43"/>
      <c r="O135" s="43"/>
      <c r="P135" s="37"/>
      <c r="Q135" s="37"/>
      <c r="R135" s="37"/>
      <c r="S135" s="43"/>
      <c r="T135" s="43"/>
      <c r="U135" s="43"/>
      <c r="V135" s="37"/>
      <c r="W135" s="37"/>
      <c r="X135" s="43"/>
      <c r="Y135" s="6"/>
      <c r="Z135" s="6"/>
      <c r="AA135" s="6"/>
      <c r="AB135" s="6"/>
    </row>
    <row r="136" spans="1:29" ht="19.899999999999999" thickBot="1" x14ac:dyDescent="0.65">
      <c r="A136" s="3"/>
      <c r="C136" s="24" t="s">
        <v>26</v>
      </c>
      <c r="D136" s="40">
        <f>IF(D130="U",D137*2,D137)</f>
        <v>0</v>
      </c>
      <c r="E136" s="40">
        <f t="shared" ref="E136:AC136" si="80">IF(E130="U",E137*2,E137)</f>
        <v>0</v>
      </c>
      <c r="F136" s="40">
        <f t="shared" si="80"/>
        <v>0</v>
      </c>
      <c r="G136" s="40">
        <f t="shared" si="80"/>
        <v>0</v>
      </c>
      <c r="H136" s="40">
        <f t="shared" si="80"/>
        <v>0</v>
      </c>
      <c r="I136" s="40">
        <f t="shared" si="80"/>
        <v>0</v>
      </c>
      <c r="J136" s="40">
        <f t="shared" si="80"/>
        <v>0</v>
      </c>
      <c r="K136" s="40">
        <f t="shared" si="80"/>
        <v>0</v>
      </c>
      <c r="L136" s="40">
        <f t="shared" si="80"/>
        <v>0</v>
      </c>
      <c r="M136" s="40">
        <f t="shared" si="80"/>
        <v>0</v>
      </c>
      <c r="N136" s="40">
        <f t="shared" si="80"/>
        <v>0</v>
      </c>
      <c r="O136" s="40">
        <f t="shared" si="80"/>
        <v>0</v>
      </c>
      <c r="P136" s="40">
        <f t="shared" si="80"/>
        <v>0</v>
      </c>
      <c r="Q136" s="40">
        <f t="shared" si="80"/>
        <v>0</v>
      </c>
      <c r="R136" s="40">
        <f t="shared" si="80"/>
        <v>0</v>
      </c>
      <c r="S136" s="40">
        <f t="shared" si="80"/>
        <v>0</v>
      </c>
      <c r="T136" s="40">
        <f t="shared" si="80"/>
        <v>0</v>
      </c>
      <c r="U136" s="40">
        <f t="shared" si="80"/>
        <v>0</v>
      </c>
      <c r="V136" s="40">
        <f t="shared" si="80"/>
        <v>0</v>
      </c>
      <c r="W136" s="40">
        <f t="shared" si="80"/>
        <v>0</v>
      </c>
      <c r="X136" s="40">
        <f t="shared" si="80"/>
        <v>0</v>
      </c>
      <c r="Y136" s="40">
        <f t="shared" si="80"/>
        <v>0</v>
      </c>
      <c r="Z136" s="40">
        <f t="shared" si="80"/>
        <v>0</v>
      </c>
      <c r="AA136" s="40">
        <f t="shared" si="80"/>
        <v>0</v>
      </c>
      <c r="AB136" s="40">
        <f t="shared" si="80"/>
        <v>0</v>
      </c>
      <c r="AC136" s="40">
        <f t="shared" si="80"/>
        <v>0</v>
      </c>
    </row>
    <row r="137" spans="1:29" ht="19.5" x14ac:dyDescent="0.6">
      <c r="A137" s="3"/>
      <c r="C137" s="26"/>
      <c r="D137" s="27">
        <f>SUM(D133:D135)</f>
        <v>0</v>
      </c>
      <c r="E137" s="27">
        <f t="shared" ref="E137:AC137" si="81">SUM(E133:E135)</f>
        <v>0</v>
      </c>
      <c r="F137" s="27">
        <f t="shared" si="81"/>
        <v>0</v>
      </c>
      <c r="G137" s="27">
        <f t="shared" si="81"/>
        <v>0</v>
      </c>
      <c r="H137" s="27">
        <f t="shared" si="81"/>
        <v>0</v>
      </c>
      <c r="I137" s="27">
        <f t="shared" si="81"/>
        <v>0</v>
      </c>
      <c r="J137" s="27">
        <f t="shared" si="81"/>
        <v>0</v>
      </c>
      <c r="K137" s="27">
        <f t="shared" si="81"/>
        <v>0</v>
      </c>
      <c r="L137" s="27">
        <f t="shared" si="81"/>
        <v>0</v>
      </c>
      <c r="M137" s="27">
        <f t="shared" si="81"/>
        <v>0</v>
      </c>
      <c r="N137" s="27">
        <f t="shared" si="81"/>
        <v>0</v>
      </c>
      <c r="O137" s="27">
        <f t="shared" si="81"/>
        <v>0</v>
      </c>
      <c r="P137" s="27">
        <f t="shared" si="81"/>
        <v>0</v>
      </c>
      <c r="Q137" s="27">
        <f t="shared" si="81"/>
        <v>0</v>
      </c>
      <c r="R137" s="27">
        <f t="shared" si="81"/>
        <v>0</v>
      </c>
      <c r="S137" s="27">
        <f t="shared" si="81"/>
        <v>0</v>
      </c>
      <c r="T137" s="27">
        <f t="shared" si="81"/>
        <v>0</v>
      </c>
      <c r="U137" s="27">
        <f t="shared" si="81"/>
        <v>0</v>
      </c>
      <c r="V137" s="27">
        <f t="shared" si="81"/>
        <v>0</v>
      </c>
      <c r="W137" s="27">
        <f t="shared" si="81"/>
        <v>0</v>
      </c>
      <c r="X137" s="27">
        <f t="shared" si="81"/>
        <v>0</v>
      </c>
      <c r="Y137" s="27">
        <f t="shared" si="81"/>
        <v>0</v>
      </c>
      <c r="Z137" s="27">
        <f t="shared" si="81"/>
        <v>0</v>
      </c>
      <c r="AA137" s="27">
        <f t="shared" si="81"/>
        <v>0</v>
      </c>
      <c r="AB137" s="27">
        <f t="shared" si="81"/>
        <v>0</v>
      </c>
      <c r="AC137" s="27">
        <f t="shared" si="81"/>
        <v>0</v>
      </c>
    </row>
    <row r="138" spans="1:29" ht="19.899999999999999" thickBot="1" x14ac:dyDescent="0.65">
      <c r="A138" s="3"/>
      <c r="C138" s="28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8"/>
    </row>
    <row r="139" spans="1:29" ht="19.5" x14ac:dyDescent="0.6">
      <c r="A139" s="3"/>
      <c r="C139" s="30" t="s">
        <v>27</v>
      </c>
      <c r="D139" s="20"/>
      <c r="E139" s="20"/>
      <c r="F139" s="20"/>
      <c r="G139" s="20"/>
      <c r="H139" s="20"/>
      <c r="I139" s="20"/>
      <c r="J139" s="20"/>
      <c r="K139" s="20"/>
      <c r="L139" s="20"/>
      <c r="M139" s="41"/>
      <c r="N139" s="41"/>
      <c r="O139" s="41"/>
      <c r="P139" s="20"/>
      <c r="Q139" s="20"/>
      <c r="R139" s="20"/>
      <c r="S139" s="41"/>
      <c r="T139" s="41"/>
      <c r="U139" s="41"/>
      <c r="V139" s="20"/>
      <c r="W139" s="20"/>
      <c r="X139" s="21"/>
      <c r="Y139" s="5"/>
      <c r="Z139" s="5"/>
      <c r="AA139" s="5"/>
      <c r="AB139" s="5"/>
    </row>
    <row r="140" spans="1:29" ht="19.5" x14ac:dyDescent="0.6">
      <c r="A140" s="3"/>
      <c r="C140" s="22" t="s">
        <v>24</v>
      </c>
      <c r="D140" s="37"/>
      <c r="E140" s="37"/>
      <c r="F140" s="37"/>
      <c r="G140" s="37"/>
      <c r="H140" s="37"/>
      <c r="I140" s="37"/>
      <c r="J140" s="37"/>
      <c r="K140" s="37"/>
      <c r="L140" s="37"/>
      <c r="M140" s="43"/>
      <c r="N140" s="43"/>
      <c r="O140" s="43"/>
      <c r="P140" s="37"/>
      <c r="Q140" s="37"/>
      <c r="R140" s="37"/>
      <c r="S140" s="43"/>
      <c r="T140" s="43"/>
      <c r="U140" s="43"/>
      <c r="V140" s="37"/>
      <c r="W140" s="37"/>
      <c r="X140" s="38"/>
      <c r="Y140" s="6"/>
      <c r="Z140" s="6"/>
      <c r="AA140" s="6"/>
      <c r="AB140" s="6"/>
    </row>
    <row r="141" spans="1:29" ht="19.5" x14ac:dyDescent="0.6">
      <c r="A141" s="3"/>
      <c r="C141" s="22" t="s">
        <v>25</v>
      </c>
      <c r="D141" s="37"/>
      <c r="E141" s="37"/>
      <c r="F141" s="37"/>
      <c r="G141" s="37"/>
      <c r="H141" s="37"/>
      <c r="I141" s="37"/>
      <c r="J141" s="37"/>
      <c r="K141" s="37"/>
      <c r="L141" s="37"/>
      <c r="M141" s="43"/>
      <c r="N141" s="43"/>
      <c r="O141" s="43"/>
      <c r="P141" s="37"/>
      <c r="Q141" s="37"/>
      <c r="R141" s="37"/>
      <c r="S141" s="43"/>
      <c r="T141" s="43"/>
      <c r="U141" s="43"/>
      <c r="V141" s="37"/>
      <c r="W141" s="37"/>
      <c r="X141" s="38"/>
      <c r="Y141" s="6"/>
      <c r="Z141" s="6"/>
      <c r="AA141" s="6"/>
      <c r="AB141" s="6"/>
    </row>
    <row r="142" spans="1:29" ht="19.899999999999999" thickBot="1" x14ac:dyDescent="0.65">
      <c r="A142" s="3"/>
      <c r="C142" s="24" t="s">
        <v>28</v>
      </c>
      <c r="D142" s="40">
        <f>IF(D130="U",D143*2,D143)</f>
        <v>0</v>
      </c>
      <c r="E142" s="40">
        <f t="shared" ref="E142:Z142" si="82">IF(E130="U",E143*2,E143)</f>
        <v>0</v>
      </c>
      <c r="F142" s="40">
        <f t="shared" si="82"/>
        <v>0</v>
      </c>
      <c r="G142" s="40">
        <f t="shared" si="82"/>
        <v>0</v>
      </c>
      <c r="H142" s="40">
        <f t="shared" si="82"/>
        <v>0</v>
      </c>
      <c r="I142" s="40">
        <f t="shared" si="82"/>
        <v>0</v>
      </c>
      <c r="J142" s="40">
        <f t="shared" si="82"/>
        <v>0</v>
      </c>
      <c r="K142" s="40">
        <f t="shared" si="82"/>
        <v>0</v>
      </c>
      <c r="L142" s="40">
        <f t="shared" si="82"/>
        <v>0</v>
      </c>
      <c r="M142" s="40">
        <f t="shared" si="82"/>
        <v>0</v>
      </c>
      <c r="N142" s="40">
        <f t="shared" si="82"/>
        <v>0</v>
      </c>
      <c r="O142" s="40">
        <f t="shared" si="82"/>
        <v>0</v>
      </c>
      <c r="P142" s="40">
        <f t="shared" si="82"/>
        <v>0</v>
      </c>
      <c r="Q142" s="40">
        <f t="shared" si="82"/>
        <v>0</v>
      </c>
      <c r="R142" s="40">
        <f t="shared" si="82"/>
        <v>0</v>
      </c>
      <c r="S142" s="40">
        <f t="shared" si="82"/>
        <v>0</v>
      </c>
      <c r="T142" s="40">
        <f t="shared" si="82"/>
        <v>0</v>
      </c>
      <c r="U142" s="40">
        <f t="shared" si="82"/>
        <v>0</v>
      </c>
      <c r="V142" s="40">
        <f t="shared" si="82"/>
        <v>0</v>
      </c>
      <c r="W142" s="40">
        <f t="shared" si="82"/>
        <v>0</v>
      </c>
      <c r="X142" s="40">
        <f t="shared" si="82"/>
        <v>0</v>
      </c>
      <c r="Y142" s="40">
        <f t="shared" si="82"/>
        <v>0</v>
      </c>
      <c r="Z142" s="40">
        <f t="shared" si="82"/>
        <v>0</v>
      </c>
      <c r="AA142" s="7">
        <f>+SUM(AA140:AA141)</f>
        <v>0</v>
      </c>
      <c r="AB142" s="7">
        <f>+SUM(AB140:AB141)</f>
        <v>0</v>
      </c>
    </row>
    <row r="143" spans="1:29" ht="19.5" x14ac:dyDescent="0.6">
      <c r="A143" s="3"/>
      <c r="C143" s="26"/>
      <c r="D143" s="27">
        <f>SUM(D140:D141)</f>
        <v>0</v>
      </c>
      <c r="E143" s="27">
        <f t="shared" ref="E143:Z143" si="83">SUM(E140:E141)</f>
        <v>0</v>
      </c>
      <c r="F143" s="27">
        <f t="shared" si="83"/>
        <v>0</v>
      </c>
      <c r="G143" s="27">
        <f t="shared" si="83"/>
        <v>0</v>
      </c>
      <c r="H143" s="27">
        <f t="shared" si="83"/>
        <v>0</v>
      </c>
      <c r="I143" s="27">
        <f t="shared" si="83"/>
        <v>0</v>
      </c>
      <c r="J143" s="27">
        <f t="shared" si="83"/>
        <v>0</v>
      </c>
      <c r="K143" s="27">
        <f t="shared" si="83"/>
        <v>0</v>
      </c>
      <c r="L143" s="27">
        <f t="shared" si="83"/>
        <v>0</v>
      </c>
      <c r="M143" s="27">
        <f t="shared" si="83"/>
        <v>0</v>
      </c>
      <c r="N143" s="27">
        <f t="shared" si="83"/>
        <v>0</v>
      </c>
      <c r="O143" s="27">
        <f t="shared" si="83"/>
        <v>0</v>
      </c>
      <c r="P143" s="27">
        <f t="shared" si="83"/>
        <v>0</v>
      </c>
      <c r="Q143" s="27">
        <f t="shared" si="83"/>
        <v>0</v>
      </c>
      <c r="R143" s="27">
        <f t="shared" si="83"/>
        <v>0</v>
      </c>
      <c r="S143" s="27">
        <f t="shared" si="83"/>
        <v>0</v>
      </c>
      <c r="T143" s="27">
        <f t="shared" si="83"/>
        <v>0</v>
      </c>
      <c r="U143" s="27">
        <f t="shared" si="83"/>
        <v>0</v>
      </c>
      <c r="V143" s="27">
        <f t="shared" si="83"/>
        <v>0</v>
      </c>
      <c r="W143" s="27">
        <f t="shared" si="83"/>
        <v>0</v>
      </c>
      <c r="X143" s="27">
        <f t="shared" si="83"/>
        <v>0</v>
      </c>
      <c r="Y143" s="27">
        <f t="shared" si="83"/>
        <v>0</v>
      </c>
      <c r="Z143" s="27">
        <f t="shared" si="83"/>
        <v>0</v>
      </c>
      <c r="AA143" s="12"/>
      <c r="AB143" s="12"/>
    </row>
    <row r="144" spans="1:29" ht="19.899999999999999" thickBot="1" x14ac:dyDescent="0.65">
      <c r="A144" s="3"/>
      <c r="C144" s="28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8"/>
    </row>
    <row r="145" spans="1:28" ht="19.5" x14ac:dyDescent="0.6">
      <c r="A145" s="3"/>
      <c r="C145" s="30" t="s">
        <v>29</v>
      </c>
      <c r="D145" s="20"/>
      <c r="E145" s="20"/>
      <c r="F145" s="20"/>
      <c r="G145" s="20"/>
      <c r="H145" s="20"/>
      <c r="I145" s="20"/>
      <c r="J145" s="20"/>
      <c r="K145" s="20"/>
      <c r="L145" s="20"/>
      <c r="M145" s="41"/>
      <c r="N145" s="20"/>
      <c r="O145" s="20"/>
      <c r="P145" s="20"/>
      <c r="Q145" s="20"/>
      <c r="R145" s="20"/>
      <c r="S145" s="41"/>
      <c r="T145" s="41"/>
      <c r="U145" s="41"/>
      <c r="V145" s="20"/>
      <c r="W145" s="20"/>
      <c r="X145" s="21"/>
      <c r="Y145" s="5"/>
      <c r="Z145" s="5"/>
      <c r="AA145" s="5"/>
      <c r="AB145" s="5"/>
    </row>
    <row r="146" spans="1:28" ht="19.5" x14ac:dyDescent="0.6">
      <c r="A146" s="3"/>
      <c r="C146" s="22" t="s">
        <v>25</v>
      </c>
      <c r="D146" s="39"/>
      <c r="E146" s="39"/>
      <c r="F146" s="39"/>
      <c r="G146" s="39"/>
      <c r="H146" s="39"/>
      <c r="I146" s="39"/>
      <c r="J146" s="39"/>
      <c r="K146" s="39"/>
      <c r="L146" s="39"/>
      <c r="M146" s="44"/>
      <c r="N146" s="39"/>
      <c r="O146" s="39"/>
      <c r="P146" s="39"/>
      <c r="Q146" s="39"/>
      <c r="R146" s="39"/>
      <c r="S146" s="44"/>
      <c r="T146" s="44"/>
      <c r="U146" s="44"/>
      <c r="V146" s="39"/>
      <c r="W146" s="39"/>
      <c r="X146" s="38"/>
      <c r="Y146" s="6"/>
      <c r="Z146" s="6"/>
      <c r="AA146" s="6"/>
      <c r="AB146" s="6"/>
    </row>
    <row r="147" spans="1:28" ht="19.899999999999999" thickBot="1" x14ac:dyDescent="0.65">
      <c r="A147" s="3"/>
      <c r="C147" s="24" t="s">
        <v>30</v>
      </c>
      <c r="D147" s="40">
        <f>IF(D130="U",D148*2,D148)</f>
        <v>0</v>
      </c>
      <c r="E147" s="40">
        <f t="shared" ref="E147:Z147" si="84">IF(E130="U",E148*2,E148)</f>
        <v>0</v>
      </c>
      <c r="F147" s="40">
        <f t="shared" si="84"/>
        <v>0</v>
      </c>
      <c r="G147" s="40">
        <f t="shared" si="84"/>
        <v>0</v>
      </c>
      <c r="H147" s="40">
        <f t="shared" si="84"/>
        <v>0</v>
      </c>
      <c r="I147" s="40">
        <f t="shared" si="84"/>
        <v>0</v>
      </c>
      <c r="J147" s="40">
        <f t="shared" si="84"/>
        <v>0</v>
      </c>
      <c r="K147" s="40">
        <f t="shared" si="84"/>
        <v>0</v>
      </c>
      <c r="L147" s="40">
        <f t="shared" si="84"/>
        <v>0</v>
      </c>
      <c r="M147" s="40">
        <f t="shared" si="84"/>
        <v>0</v>
      </c>
      <c r="N147" s="40">
        <f t="shared" si="84"/>
        <v>0</v>
      </c>
      <c r="O147" s="40">
        <f t="shared" si="84"/>
        <v>0</v>
      </c>
      <c r="P147" s="40">
        <f t="shared" si="84"/>
        <v>0</v>
      </c>
      <c r="Q147" s="40">
        <f t="shared" si="84"/>
        <v>0</v>
      </c>
      <c r="R147" s="40">
        <f t="shared" si="84"/>
        <v>0</v>
      </c>
      <c r="S147" s="40">
        <f t="shared" si="84"/>
        <v>0</v>
      </c>
      <c r="T147" s="40">
        <f t="shared" si="84"/>
        <v>0</v>
      </c>
      <c r="U147" s="40">
        <f t="shared" si="84"/>
        <v>0</v>
      </c>
      <c r="V147" s="40">
        <f t="shared" si="84"/>
        <v>0</v>
      </c>
      <c r="W147" s="40">
        <f t="shared" si="84"/>
        <v>0</v>
      </c>
      <c r="X147" s="40">
        <f t="shared" si="84"/>
        <v>0</v>
      </c>
      <c r="Y147" s="40">
        <f t="shared" si="84"/>
        <v>0</v>
      </c>
      <c r="Z147" s="40">
        <f t="shared" si="84"/>
        <v>0</v>
      </c>
      <c r="AA147" s="7">
        <f>+SUM(AA146)</f>
        <v>0</v>
      </c>
      <c r="AB147" s="7">
        <f>+SUM(AB146)</f>
        <v>0</v>
      </c>
    </row>
    <row r="148" spans="1:28" ht="19.5" x14ac:dyDescent="0.6">
      <c r="A148" s="3"/>
      <c r="C148" s="26"/>
      <c r="D148" s="27">
        <f>D146</f>
        <v>0</v>
      </c>
      <c r="E148" s="27">
        <f t="shared" ref="E148:Z148" si="85">E146</f>
        <v>0</v>
      </c>
      <c r="F148" s="27">
        <f t="shared" si="85"/>
        <v>0</v>
      </c>
      <c r="G148" s="27">
        <f t="shared" si="85"/>
        <v>0</v>
      </c>
      <c r="H148" s="27">
        <f t="shared" si="85"/>
        <v>0</v>
      </c>
      <c r="I148" s="27">
        <f t="shared" si="85"/>
        <v>0</v>
      </c>
      <c r="J148" s="27">
        <f t="shared" si="85"/>
        <v>0</v>
      </c>
      <c r="K148" s="27">
        <f t="shared" si="85"/>
        <v>0</v>
      </c>
      <c r="L148" s="27">
        <f t="shared" si="85"/>
        <v>0</v>
      </c>
      <c r="M148" s="27">
        <f t="shared" si="85"/>
        <v>0</v>
      </c>
      <c r="N148" s="27">
        <f t="shared" si="85"/>
        <v>0</v>
      </c>
      <c r="O148" s="27">
        <f t="shared" si="85"/>
        <v>0</v>
      </c>
      <c r="P148" s="27">
        <f t="shared" si="85"/>
        <v>0</v>
      </c>
      <c r="Q148" s="27">
        <f t="shared" si="85"/>
        <v>0</v>
      </c>
      <c r="R148" s="27">
        <f t="shared" si="85"/>
        <v>0</v>
      </c>
      <c r="S148" s="27">
        <f t="shared" si="85"/>
        <v>0</v>
      </c>
      <c r="T148" s="27">
        <f t="shared" si="85"/>
        <v>0</v>
      </c>
      <c r="U148" s="27">
        <f t="shared" si="85"/>
        <v>0</v>
      </c>
      <c r="V148" s="27">
        <f t="shared" si="85"/>
        <v>0</v>
      </c>
      <c r="W148" s="27">
        <f t="shared" si="85"/>
        <v>0</v>
      </c>
      <c r="X148" s="27">
        <f t="shared" si="85"/>
        <v>0</v>
      </c>
      <c r="Y148" s="27">
        <f t="shared" si="85"/>
        <v>0</v>
      </c>
      <c r="Z148" s="27">
        <f t="shared" si="85"/>
        <v>0</v>
      </c>
      <c r="AA148" s="12"/>
      <c r="AB148" s="12"/>
    </row>
    <row r="149" spans="1:28" ht="19.899999999999999" thickBot="1" x14ac:dyDescent="0.65">
      <c r="A149" s="3"/>
      <c r="C149" s="28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8"/>
    </row>
    <row r="150" spans="1:28" ht="19.5" x14ac:dyDescent="0.6">
      <c r="A150" s="3"/>
      <c r="C150" s="31" t="s">
        <v>31</v>
      </c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3"/>
      <c r="Y150" s="5"/>
      <c r="Z150" s="5"/>
      <c r="AA150" s="5"/>
      <c r="AB150" s="5"/>
    </row>
    <row r="151" spans="1:28" ht="19.5" x14ac:dyDescent="0.6">
      <c r="A151" s="3"/>
      <c r="C151" s="34" t="s">
        <v>32</v>
      </c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23"/>
      <c r="Y151" s="6"/>
      <c r="Z151" s="6"/>
      <c r="AA151" s="6"/>
      <c r="AB151" s="6"/>
    </row>
    <row r="152" spans="1:28" ht="19.5" x14ac:dyDescent="0.6">
      <c r="A152" s="3"/>
      <c r="C152" s="34" t="s">
        <v>33</v>
      </c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25"/>
      <c r="R152" s="36"/>
      <c r="S152" s="23"/>
      <c r="T152" s="36"/>
      <c r="U152" s="36"/>
      <c r="V152" s="36"/>
      <c r="W152" s="36"/>
      <c r="X152" s="23"/>
      <c r="Y152" s="6"/>
      <c r="Z152" s="6"/>
      <c r="AA152" s="6"/>
      <c r="AB152" s="6"/>
    </row>
    <row r="153" spans="1:28" ht="19.5" x14ac:dyDescent="0.6">
      <c r="A153" s="3"/>
      <c r="C153" s="34" t="s">
        <v>34</v>
      </c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8"/>
      <c r="Z153" s="8"/>
      <c r="AA153" s="8"/>
      <c r="AB153" s="8"/>
    </row>
    <row r="154" spans="1:28" ht="19.5" x14ac:dyDescent="0.6">
      <c r="A154" s="3"/>
      <c r="C154" s="34" t="s">
        <v>35</v>
      </c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8"/>
      <c r="Z154" s="8"/>
      <c r="AA154" s="8"/>
      <c r="AB154" s="8"/>
    </row>
    <row r="155" spans="1:28" ht="19.5" x14ac:dyDescent="0.6">
      <c r="A155" s="3"/>
      <c r="C155" s="34" t="s">
        <v>36</v>
      </c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8"/>
      <c r="Z155" s="8"/>
      <c r="AA155" s="8"/>
      <c r="AB155" s="8"/>
    </row>
    <row r="156" spans="1:28" x14ac:dyDescent="0.4">
      <c r="A156" s="3"/>
    </row>
  </sheetData>
  <sortState xmlns:xlrd2="http://schemas.microsoft.com/office/spreadsheetml/2017/richdata2" ref="AQ4:AX20">
    <sortCondition descending="1" ref="AX3"/>
    <sortCondition descending="1" ref="AQ3"/>
  </sortState>
  <mergeCells count="245">
    <mergeCell ref="A125:A126"/>
    <mergeCell ref="B125:B126"/>
    <mergeCell ref="C125:C126"/>
    <mergeCell ref="AC125:AC126"/>
    <mergeCell ref="A127:A128"/>
    <mergeCell ref="B127:B128"/>
    <mergeCell ref="C127:C128"/>
    <mergeCell ref="AC127:AC128"/>
    <mergeCell ref="A121:A122"/>
    <mergeCell ref="B121:B122"/>
    <mergeCell ref="C121:C122"/>
    <mergeCell ref="AC121:AC122"/>
    <mergeCell ref="A123:A124"/>
    <mergeCell ref="B123:B124"/>
    <mergeCell ref="C123:C124"/>
    <mergeCell ref="AC123:AC124"/>
    <mergeCell ref="A117:A118"/>
    <mergeCell ref="B117:B118"/>
    <mergeCell ref="C117:C118"/>
    <mergeCell ref="AC117:AC118"/>
    <mergeCell ref="A119:A120"/>
    <mergeCell ref="B119:B120"/>
    <mergeCell ref="C119:C120"/>
    <mergeCell ref="AC119:AC120"/>
    <mergeCell ref="A113:A114"/>
    <mergeCell ref="B113:B114"/>
    <mergeCell ref="C113:C114"/>
    <mergeCell ref="AC113:AC114"/>
    <mergeCell ref="A115:A116"/>
    <mergeCell ref="B115:B116"/>
    <mergeCell ref="C115:C116"/>
    <mergeCell ref="AC115:AC116"/>
    <mergeCell ref="A109:A110"/>
    <mergeCell ref="B109:B110"/>
    <mergeCell ref="C109:C110"/>
    <mergeCell ref="AC109:AC110"/>
    <mergeCell ref="A111:A112"/>
    <mergeCell ref="B111:B112"/>
    <mergeCell ref="C111:C112"/>
    <mergeCell ref="AC111:AC112"/>
    <mergeCell ref="A105:A106"/>
    <mergeCell ref="B105:B106"/>
    <mergeCell ref="C105:C106"/>
    <mergeCell ref="AC105:AC106"/>
    <mergeCell ref="A107:A108"/>
    <mergeCell ref="B107:B108"/>
    <mergeCell ref="C107:C108"/>
    <mergeCell ref="AC107:AC108"/>
    <mergeCell ref="A101:A102"/>
    <mergeCell ref="B101:B102"/>
    <mergeCell ref="C101:C102"/>
    <mergeCell ref="AC101:AC102"/>
    <mergeCell ref="A103:A104"/>
    <mergeCell ref="B103:B104"/>
    <mergeCell ref="C103:C104"/>
    <mergeCell ref="AC103:AC104"/>
    <mergeCell ref="A97:A98"/>
    <mergeCell ref="B97:B98"/>
    <mergeCell ref="C97:C98"/>
    <mergeCell ref="AC97:AC98"/>
    <mergeCell ref="A99:A100"/>
    <mergeCell ref="B99:B100"/>
    <mergeCell ref="C99:C100"/>
    <mergeCell ref="AC99:AC100"/>
    <mergeCell ref="A93:A94"/>
    <mergeCell ref="B93:B94"/>
    <mergeCell ref="C93:C94"/>
    <mergeCell ref="AC93:AC94"/>
    <mergeCell ref="A95:A96"/>
    <mergeCell ref="B95:B96"/>
    <mergeCell ref="C95:C96"/>
    <mergeCell ref="AC95:AC96"/>
    <mergeCell ref="A89:A90"/>
    <mergeCell ref="B89:B90"/>
    <mergeCell ref="C89:C90"/>
    <mergeCell ref="AC89:AC90"/>
    <mergeCell ref="A91:A92"/>
    <mergeCell ref="B91:B92"/>
    <mergeCell ref="C91:C92"/>
    <mergeCell ref="AC91:AC92"/>
    <mergeCell ref="A85:A86"/>
    <mergeCell ref="B85:B86"/>
    <mergeCell ref="C85:C86"/>
    <mergeCell ref="AC85:AC86"/>
    <mergeCell ref="A87:A88"/>
    <mergeCell ref="B87:B88"/>
    <mergeCell ref="C87:C88"/>
    <mergeCell ref="AC87:AC88"/>
    <mergeCell ref="A81:A82"/>
    <mergeCell ref="B81:B82"/>
    <mergeCell ref="C81:C82"/>
    <mergeCell ref="AC81:AC82"/>
    <mergeCell ref="A83:A84"/>
    <mergeCell ref="B83:B84"/>
    <mergeCell ref="C83:C84"/>
    <mergeCell ref="AC83:AC84"/>
    <mergeCell ref="A77:A78"/>
    <mergeCell ref="B77:B78"/>
    <mergeCell ref="C77:C78"/>
    <mergeCell ref="AC77:AC78"/>
    <mergeCell ref="A79:A80"/>
    <mergeCell ref="B79:B80"/>
    <mergeCell ref="C79:C80"/>
    <mergeCell ref="AC79:AC80"/>
    <mergeCell ref="A73:A74"/>
    <mergeCell ref="B73:B74"/>
    <mergeCell ref="C73:C74"/>
    <mergeCell ref="AC73:AC74"/>
    <mergeCell ref="A75:A76"/>
    <mergeCell ref="B75:B76"/>
    <mergeCell ref="C75:C76"/>
    <mergeCell ref="AC75:AC76"/>
    <mergeCell ref="A67:A68"/>
    <mergeCell ref="B67:B68"/>
    <mergeCell ref="C67:C68"/>
    <mergeCell ref="AC67:AC68"/>
    <mergeCell ref="A69:AC71"/>
    <mergeCell ref="AE72:AH72"/>
    <mergeCell ref="A63:A64"/>
    <mergeCell ref="B63:B64"/>
    <mergeCell ref="C63:C64"/>
    <mergeCell ref="AC63:AC64"/>
    <mergeCell ref="A65:A66"/>
    <mergeCell ref="B65:B66"/>
    <mergeCell ref="C65:C66"/>
    <mergeCell ref="AC65:AC66"/>
    <mergeCell ref="A59:A60"/>
    <mergeCell ref="B59:B60"/>
    <mergeCell ref="C59:C60"/>
    <mergeCell ref="AC59:AC60"/>
    <mergeCell ref="A61:A62"/>
    <mergeCell ref="B61:B62"/>
    <mergeCell ref="C61:C62"/>
    <mergeCell ref="AC61:AC62"/>
    <mergeCell ref="A55:A56"/>
    <mergeCell ref="B55:B56"/>
    <mergeCell ref="C55:C56"/>
    <mergeCell ref="AC55:AC56"/>
    <mergeCell ref="A57:A58"/>
    <mergeCell ref="B57:B58"/>
    <mergeCell ref="C57:C58"/>
    <mergeCell ref="AC57:AC58"/>
    <mergeCell ref="A51:A52"/>
    <mergeCell ref="B51:B52"/>
    <mergeCell ref="C51:C52"/>
    <mergeCell ref="AC51:AC52"/>
    <mergeCell ref="A53:A54"/>
    <mergeCell ref="B53:B54"/>
    <mergeCell ref="C53:C54"/>
    <mergeCell ref="AC53:AC54"/>
    <mergeCell ref="A47:A48"/>
    <mergeCell ref="B47:B48"/>
    <mergeCell ref="C47:C48"/>
    <mergeCell ref="AC47:AC48"/>
    <mergeCell ref="A49:A50"/>
    <mergeCell ref="B49:B50"/>
    <mergeCell ref="C49:C50"/>
    <mergeCell ref="AC49:AC50"/>
    <mergeCell ref="A43:A44"/>
    <mergeCell ref="B43:B44"/>
    <mergeCell ref="C43:C44"/>
    <mergeCell ref="AC43:AC44"/>
    <mergeCell ref="A45:A46"/>
    <mergeCell ref="B45:B46"/>
    <mergeCell ref="C45:C46"/>
    <mergeCell ref="AC45:AC46"/>
    <mergeCell ref="A39:A40"/>
    <mergeCell ref="B39:B40"/>
    <mergeCell ref="C39:C40"/>
    <mergeCell ref="AC39:AC40"/>
    <mergeCell ref="A41:A42"/>
    <mergeCell ref="B41:B42"/>
    <mergeCell ref="C41:C42"/>
    <mergeCell ref="AC41:AC42"/>
    <mergeCell ref="A35:A36"/>
    <mergeCell ref="B35:B36"/>
    <mergeCell ref="C35:C36"/>
    <mergeCell ref="AC35:AC36"/>
    <mergeCell ref="A37:A38"/>
    <mergeCell ref="B37:B38"/>
    <mergeCell ref="C37:C38"/>
    <mergeCell ref="AC37:AC38"/>
    <mergeCell ref="A31:A32"/>
    <mergeCell ref="B31:B32"/>
    <mergeCell ref="C31:C32"/>
    <mergeCell ref="AC31:AC32"/>
    <mergeCell ref="A33:A34"/>
    <mergeCell ref="B33:B34"/>
    <mergeCell ref="C33:C34"/>
    <mergeCell ref="AC33:AC34"/>
    <mergeCell ref="A27:A28"/>
    <mergeCell ref="B27:B28"/>
    <mergeCell ref="C27:C28"/>
    <mergeCell ref="AC27:AC28"/>
    <mergeCell ref="A29:A30"/>
    <mergeCell ref="B29:B30"/>
    <mergeCell ref="C29:C30"/>
    <mergeCell ref="AC29:AC30"/>
    <mergeCell ref="A23:A24"/>
    <mergeCell ref="B23:B24"/>
    <mergeCell ref="C23:C24"/>
    <mergeCell ref="AC23:AC24"/>
    <mergeCell ref="A25:A26"/>
    <mergeCell ref="B25:B26"/>
    <mergeCell ref="C25:C26"/>
    <mergeCell ref="AC25:AC26"/>
    <mergeCell ref="A19:A20"/>
    <mergeCell ref="B19:B20"/>
    <mergeCell ref="C19:C20"/>
    <mergeCell ref="AC19:AC20"/>
    <mergeCell ref="A21:A22"/>
    <mergeCell ref="B21:B22"/>
    <mergeCell ref="C21:C22"/>
    <mergeCell ref="AC21:AC22"/>
    <mergeCell ref="A15:A16"/>
    <mergeCell ref="B15:B16"/>
    <mergeCell ref="C15:C16"/>
    <mergeCell ref="AC15:AC16"/>
    <mergeCell ref="A17:A18"/>
    <mergeCell ref="B17:B18"/>
    <mergeCell ref="C17:C18"/>
    <mergeCell ref="AC17:AC18"/>
    <mergeCell ref="A13:A14"/>
    <mergeCell ref="B13:B14"/>
    <mergeCell ref="C13:C14"/>
    <mergeCell ref="AC13:AC14"/>
    <mergeCell ref="A7:A8"/>
    <mergeCell ref="B7:B8"/>
    <mergeCell ref="C7:C8"/>
    <mergeCell ref="AC7:AC8"/>
    <mergeCell ref="A9:A10"/>
    <mergeCell ref="B9:B10"/>
    <mergeCell ref="C9:C10"/>
    <mergeCell ref="AC9:AC10"/>
    <mergeCell ref="A1:AC3"/>
    <mergeCell ref="AE2:AH2"/>
    <mergeCell ref="AP2:AY2"/>
    <mergeCell ref="A5:A6"/>
    <mergeCell ref="B5:B6"/>
    <mergeCell ref="C5:C6"/>
    <mergeCell ref="AC5:AC6"/>
    <mergeCell ref="A11:A12"/>
    <mergeCell ref="B11:B12"/>
    <mergeCell ref="C11:C12"/>
    <mergeCell ref="AC11:AC12"/>
  </mergeCells>
  <conditionalFormatting sqref="D6:AB6 D8:AB8 D10:AB10 D12:AB12 D14:AB14 D16:AB16 D18:AB18 D20:AB20 D22:AB22 D24:AB24 D26:AB26 D28:AB28 D30:AB30 D32:AB32 D34:AB34 D36:AB36 D38:AB38 D40:AB40 D42:AB42 D44:AB44 D46:AB46 D48:AB48 D50:AB50 D52:AB52 D58:AB58 D60:AB60 D62:AB62 D64:AB64 D66:AB66 D68:AB68 D74:AB74 D76:AB76 D78:AB78 D80:AB80 D82:AB82 D84:AB84 D86:AB86 D88:AB88 D90:AB90 D92:AB92 D94:AB94 D96:AB96 D98:AB98 D100:AB100 D102:AB102 D104:AB104 D106:AB106 D108:AB108 D110:AB110 D112:AB112 D114:AB114 D116:AB116 D118:AB118 D120:AB120 D122:AB122 D124:AB124 D126:AB126 D128:AB129">
    <cfRule type="cellIs" dxfId="9" priority="5" operator="greaterThan">
      <formula>0</formula>
    </cfRule>
  </conditionalFormatting>
  <conditionalFormatting sqref="AF4:AH31 AQ4:AY31">
    <cfRule type="expression" dxfId="8" priority="3">
      <formula>AND(ROW()&gt;=4,ROW()&lt;=5)</formula>
    </cfRule>
    <cfRule type="expression" dxfId="7" priority="4">
      <formula>TRUE</formula>
    </cfRule>
  </conditionalFormatting>
  <conditionalFormatting sqref="AF74:AH101">
    <cfRule type="expression" dxfId="6" priority="1">
      <formula>AND(ROW()&gt;=74,ROW()&lt;=75)</formula>
    </cfRule>
    <cfRule type="expression" dxfId="5" priority="2">
      <formula>TRUE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Ordenar_Tres_TablasSab">
                <anchor moveWithCells="1" sizeWithCells="1">
                  <from>
                    <xdr:col>20</xdr:col>
                    <xdr:colOff>342900</xdr:colOff>
                    <xdr:row>0</xdr:row>
                    <xdr:rowOff>123825</xdr:rowOff>
                  </from>
                  <to>
                    <xdr:col>22</xdr:col>
                    <xdr:colOff>276225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Limpiar_Por_Rangos">
                <anchor moveWithCells="1" sizeWithCells="1">
                  <from>
                    <xdr:col>18</xdr:col>
                    <xdr:colOff>419100</xdr:colOff>
                    <xdr:row>1</xdr:row>
                    <xdr:rowOff>38100</xdr:rowOff>
                  </from>
                  <to>
                    <xdr:col>20</xdr:col>
                    <xdr:colOff>133350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/>
  <dimension ref="A1:BG156"/>
  <sheetViews>
    <sheetView showGridLines="0" zoomScaleNormal="100" workbookViewId="0">
      <selection activeCell="S76" sqref="S76"/>
    </sheetView>
  </sheetViews>
  <sheetFormatPr baseColWidth="10" defaultColWidth="14.3984375" defaultRowHeight="13.15" x14ac:dyDescent="0.4"/>
  <cols>
    <col min="1" max="1" width="4.59765625" style="1" bestFit="1" customWidth="1"/>
    <col min="2" max="2" width="30.1328125" style="2" bestFit="1" customWidth="1"/>
    <col min="3" max="3" width="13.73046875" style="2" bestFit="1" customWidth="1"/>
    <col min="4" max="4" width="7.86328125" style="2" bestFit="1" customWidth="1"/>
    <col min="5" max="5" width="7" style="2" bestFit="1" customWidth="1"/>
    <col min="6" max="10" width="6.3984375" style="2" bestFit="1" customWidth="1"/>
    <col min="11" max="11" width="7.86328125" style="2" bestFit="1" customWidth="1"/>
    <col min="12" max="12" width="6.3984375" style="2" bestFit="1" customWidth="1"/>
    <col min="13" max="15" width="7.86328125" style="2" bestFit="1" customWidth="1"/>
    <col min="16" max="16" width="7" style="2" bestFit="1" customWidth="1"/>
    <col min="17" max="17" width="7.86328125" style="2" bestFit="1" customWidth="1"/>
    <col min="18" max="18" width="7.3984375" style="2" customWidth="1"/>
    <col min="19" max="19" width="7.1328125" style="2" customWidth="1"/>
    <col min="20" max="20" width="6.59765625" style="2" customWidth="1"/>
    <col min="21" max="21" width="6.86328125" style="2" customWidth="1"/>
    <col min="22" max="23" width="7.1328125" style="2" customWidth="1"/>
    <col min="24" max="24" width="6.86328125" style="2" customWidth="1"/>
    <col min="25" max="25" width="6.73046875" style="2" customWidth="1"/>
    <col min="26" max="28" width="4.86328125" style="2" customWidth="1"/>
    <col min="29" max="29" width="9.73046875" style="2" customWidth="1"/>
    <col min="30" max="30" width="3.265625" style="2" customWidth="1"/>
    <col min="31" max="31" width="11.265625" style="2" bestFit="1" customWidth="1"/>
    <col min="32" max="32" width="30.1328125" style="2" bestFit="1" customWidth="1"/>
    <col min="33" max="33" width="11.73046875" style="2" bestFit="1" customWidth="1"/>
    <col min="34" max="34" width="9" style="2" bestFit="1" customWidth="1"/>
    <col min="35" max="36" width="14.3984375" style="2"/>
    <col min="37" max="37" width="16.265625" style="2" bestFit="1" customWidth="1"/>
    <col min="38" max="38" width="14.3984375" style="2"/>
    <col min="39" max="39" width="16.265625" style="2" bestFit="1" customWidth="1"/>
    <col min="40" max="40" width="18.59765625" style="2" bestFit="1" customWidth="1"/>
    <col min="41" max="42" width="14.3984375" style="2"/>
    <col min="43" max="43" width="20.86328125" style="2" bestFit="1" customWidth="1"/>
    <col min="44" max="16384" width="14.3984375" style="2"/>
  </cols>
  <sheetData>
    <row r="1" spans="1:59" s="46" customFormat="1" ht="11.25" customHeight="1" x14ac:dyDescent="0.4">
      <c r="A1" s="267" t="s">
        <v>17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  <c r="W1" s="267"/>
      <c r="X1" s="267"/>
      <c r="Y1" s="267"/>
      <c r="Z1" s="267"/>
      <c r="AA1" s="267"/>
      <c r="AB1" s="267"/>
      <c r="AC1" s="267"/>
    </row>
    <row r="2" spans="1:59" ht="22.5" customHeight="1" x14ac:dyDescent="0.5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E2" s="264" t="s">
        <v>54</v>
      </c>
      <c r="AF2" s="265"/>
      <c r="AG2" s="265"/>
      <c r="AH2" s="266"/>
      <c r="AI2" s="52">
        <v>9</v>
      </c>
      <c r="AJ2" s="52"/>
      <c r="AK2" s="52">
        <v>10</v>
      </c>
      <c r="AL2" s="52"/>
      <c r="AM2" s="52">
        <v>11</v>
      </c>
      <c r="AN2" s="52"/>
      <c r="AP2" s="264" t="s">
        <v>55</v>
      </c>
      <c r="AQ2" s="265"/>
      <c r="AR2" s="265"/>
      <c r="AS2" s="265"/>
      <c r="AT2" s="265"/>
      <c r="AU2" s="265"/>
      <c r="AV2" s="265"/>
      <c r="AW2" s="265"/>
      <c r="AX2" s="265"/>
      <c r="AY2" s="265"/>
      <c r="AZ2" s="266"/>
      <c r="BB2" s="264" t="s">
        <v>56</v>
      </c>
      <c r="BC2" s="265"/>
      <c r="BD2" s="265"/>
      <c r="BE2" s="265"/>
      <c r="BF2" s="265"/>
      <c r="BG2" s="266"/>
    </row>
    <row r="3" spans="1:59" ht="19.5" x14ac:dyDescent="0.5">
      <c r="A3" s="268"/>
      <c r="B3" s="268"/>
      <c r="C3" s="268"/>
      <c r="D3" s="268"/>
      <c r="E3" s="268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E3" s="47" t="s">
        <v>37</v>
      </c>
      <c r="AF3" s="89" t="s">
        <v>14</v>
      </c>
      <c r="AG3" s="90" t="s">
        <v>15</v>
      </c>
      <c r="AH3" s="90" t="s">
        <v>52</v>
      </c>
      <c r="AI3" s="51" t="str">
        <f>"Prono Carrera "&amp;AI2</f>
        <v>Prono Carrera 9</v>
      </c>
      <c r="AJ3" s="51" t="s">
        <v>42</v>
      </c>
      <c r="AK3" s="51" t="str">
        <f>"Prono Carrera "&amp;AK2</f>
        <v>Prono Carrera 10</v>
      </c>
      <c r="AL3" s="51" t="s">
        <v>42</v>
      </c>
      <c r="AM3" s="51" t="str">
        <f>"Prono Carrera "&amp;AM2</f>
        <v>Prono Carrera 11</v>
      </c>
      <c r="AN3" s="51" t="s">
        <v>42</v>
      </c>
      <c r="AP3" s="141" t="s">
        <v>37</v>
      </c>
      <c r="AQ3" s="142" t="s">
        <v>14</v>
      </c>
      <c r="AR3" s="143" t="s">
        <v>44</v>
      </c>
      <c r="AS3" s="143" t="s">
        <v>45</v>
      </c>
      <c r="AT3" s="143" t="s">
        <v>46</v>
      </c>
      <c r="AU3" s="143" t="s">
        <v>47</v>
      </c>
      <c r="AV3" s="143" t="s">
        <v>48</v>
      </c>
      <c r="AW3" s="143" t="s">
        <v>49</v>
      </c>
      <c r="AX3" s="143" t="s">
        <v>50</v>
      </c>
      <c r="AY3" s="143" t="s">
        <v>15</v>
      </c>
      <c r="AZ3" s="143" t="s">
        <v>52</v>
      </c>
      <c r="BB3" s="47" t="s">
        <v>37</v>
      </c>
      <c r="BC3" s="89" t="s">
        <v>14</v>
      </c>
      <c r="BD3" s="90" t="s">
        <v>49</v>
      </c>
      <c r="BE3" s="90" t="s">
        <v>50</v>
      </c>
      <c r="BF3" s="90" t="s">
        <v>15</v>
      </c>
      <c r="BG3" s="90" t="s">
        <v>52</v>
      </c>
    </row>
    <row r="4" spans="1:59" ht="15" customHeight="1" x14ac:dyDescent="0.4">
      <c r="A4" s="115" t="s">
        <v>0</v>
      </c>
      <c r="B4" s="115" t="s">
        <v>14</v>
      </c>
      <c r="C4" s="115" t="s">
        <v>18</v>
      </c>
      <c r="D4" s="115">
        <v>1</v>
      </c>
      <c r="E4" s="115">
        <v>2</v>
      </c>
      <c r="F4" s="115">
        <v>3</v>
      </c>
      <c r="G4" s="115">
        <v>4</v>
      </c>
      <c r="H4" s="115">
        <v>5</v>
      </c>
      <c r="I4" s="115">
        <v>6</v>
      </c>
      <c r="J4" s="115">
        <v>7</v>
      </c>
      <c r="K4" s="115">
        <v>8</v>
      </c>
      <c r="L4" s="115">
        <v>9</v>
      </c>
      <c r="M4" s="115">
        <v>10</v>
      </c>
      <c r="N4" s="115">
        <v>11</v>
      </c>
      <c r="O4" s="115">
        <v>12</v>
      </c>
      <c r="P4" s="115">
        <v>13</v>
      </c>
      <c r="Q4" s="115">
        <v>14</v>
      </c>
      <c r="R4" s="115">
        <v>15</v>
      </c>
      <c r="S4" s="115">
        <v>16</v>
      </c>
      <c r="T4" s="115">
        <v>17</v>
      </c>
      <c r="U4" s="115">
        <v>18</v>
      </c>
      <c r="V4" s="115">
        <v>19</v>
      </c>
      <c r="W4" s="115">
        <v>20</v>
      </c>
      <c r="X4" s="115">
        <v>21</v>
      </c>
      <c r="Y4" s="115">
        <v>22</v>
      </c>
      <c r="Z4" s="115">
        <v>23</v>
      </c>
      <c r="AA4" s="115">
        <v>24</v>
      </c>
      <c r="AB4" s="115">
        <v>25</v>
      </c>
      <c r="AC4" s="115" t="s">
        <v>19</v>
      </c>
      <c r="AE4" s="49">
        <v>1</v>
      </c>
      <c r="AF4" s="91" t="str">
        <f>IF(ISBLANK(STUD!B5)," ",STUD!B5)</f>
        <v>KUME</v>
      </c>
      <c r="AG4" s="91">
        <f t="shared" ref="AG4:AG18" si="0">IFERROR(VLOOKUP(AF4,$B$5:$C$68,2,0),0)</f>
        <v>0</v>
      </c>
      <c r="AH4" s="91"/>
      <c r="AI4" s="88">
        <f t="shared" ref="AI4:AI31" si="1">IFERROR(
   VLOOKUP(AF4, $B$5:$Y$68, CHOOSE($AI$2, 3, 4, 5, 6, 7, 8, 9, 10, 11, 12, 13, 14, 15, 16, 17, 18, 19, 20, 21, 22, 23, 24, 25, 26, 27, 28, 29), 0),
   " "
)</f>
        <v>0</v>
      </c>
      <c r="AJ4" s="53" t="str">
        <f>IF(AI4="","",IFERROR(IF(VLOOKUP(AI4,Programa!$AF$3:$AG$18,2,0)="","",VLOOKUP(AI4,Programa!$AF$3:$AG$18,2,0)),""))</f>
        <v/>
      </c>
      <c r="AK4" s="53">
        <f t="shared" ref="AK4:AK31" si="2">IFERROR(
   VLOOKUP(AF4, $B$5:$Y$68, CHOOSE($AK$2, 3, 4, 5, 6, 7, 8, 9, 10, 11, 12, 13, 14, 15, 16, 17, 18, 19, 20, 21, 22, 23, 24, 25, 26, 27, 28, 29), 0),
   " "
)</f>
        <v>0</v>
      </c>
      <c r="AL4" s="53" t="str">
        <f>IF(AK4="","",IFERROR(IF(VLOOKUP(AK4,Programa!$AF$19:$AG$34,2,0)="","",VLOOKUP(AK4,Programa!$AA$19:$AB$34,2,0)),""))</f>
        <v/>
      </c>
      <c r="AM4" s="53">
        <f t="shared" ref="AM4:AM31" si="3">IFERROR(
   VLOOKUP(AF4, $B$5:$Y$68, CHOOSE($AM$2, 3, 4, 5, 6, 7, 8, 9, 10, 11, 12, 13, 14, 15, 16, 17, 18, 19, 20, 21, 22, 23, 24, 25, 26, 27, 28, 29), 0),
   " "
)</f>
        <v>0</v>
      </c>
      <c r="AN4" s="53" t="str">
        <f>IF(AM4="","",IFERROR(IF(VLOOKUP(AM4,Programa!$AF$35:$AG$50,2,0)="","",VLOOKUP(AM4,Programa!$AA$35:$AB$50,2,0)),""))</f>
        <v/>
      </c>
      <c r="AP4" s="144">
        <v>1</v>
      </c>
      <c r="AQ4" s="145" t="str">
        <f>IF(ISBLANK(STUD!B4)," ",STUD!B4)</f>
        <v>PAP</v>
      </c>
      <c r="AR4" s="185">
        <f>IFERROR(VLOOKUP(AQ4,Lunes!$AF$4:$AG$31,2,0),0)</f>
        <v>0</v>
      </c>
      <c r="AS4" s="185">
        <f>IFERROR(VLOOKUP(AQ4,Martes!$AF$4:$AH$31,2,0),0)</f>
        <v>26.8</v>
      </c>
      <c r="AT4" s="185">
        <f>IFERROR(VLOOKUP(AQ4,Miercoles!$AF$4:$AG$31,2,0),0)</f>
        <v>79.199999999999989</v>
      </c>
      <c r="AU4" s="185">
        <f>IFERROR(VLOOKUP(AQ4,Jueves!$AF$4:$AG$26,2,0),0)</f>
        <v>26.200000000000003</v>
      </c>
      <c r="AV4" s="185">
        <f>IFERROR(VLOOKUP(AQ4,Viernes!$AF$4:$AG$31,2,0),0)</f>
        <v>48.3</v>
      </c>
      <c r="AW4" s="185">
        <f>IFERROR(VLOOKUP(AQ4,Sabado!$AF$4:$AG$31,2,0),0)</f>
        <v>0</v>
      </c>
      <c r="AX4" s="185">
        <f t="shared" ref="AX4:AX18" si="4">IFERROR(VLOOKUP(AQ4,$B$5:$C$68,2,0),0)</f>
        <v>0</v>
      </c>
      <c r="AY4" s="185">
        <f t="shared" ref="AY4:AY18" si="5">SUM(AR4:AX4)</f>
        <v>180.5</v>
      </c>
      <c r="AZ4" s="185"/>
      <c r="BB4" s="49">
        <v>1</v>
      </c>
      <c r="BC4" s="91" t="str">
        <f>IF(ISBLANK(STUD!B2)," ",STUD!B2)</f>
        <v>SOSAMAFIA</v>
      </c>
      <c r="BD4" s="91">
        <f>IFERROR(VLOOKUP(BC4,Sabado!$AF$4:$AG$31,2,0),0)</f>
        <v>0</v>
      </c>
      <c r="BE4" s="91">
        <f t="shared" ref="BE4:BE18" si="6">IFERROR(VLOOKUP(BC4,$B$5:$C$68,2,0),0)</f>
        <v>0</v>
      </c>
      <c r="BF4" s="91">
        <f t="shared" ref="BF4:BF18" si="7">SUM(BD4:BE4)</f>
        <v>0</v>
      </c>
      <c r="BG4" s="91"/>
    </row>
    <row r="5" spans="1:59" ht="15.75" customHeight="1" x14ac:dyDescent="0.4">
      <c r="A5" s="252">
        <v>1</v>
      </c>
      <c r="B5" s="253" t="str">
        <f>+STUD!B2</f>
        <v>SOSAMAFIA</v>
      </c>
      <c r="C5" s="244">
        <f>SUM(D6:AB6)</f>
        <v>0</v>
      </c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30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243">
        <f>SUM(D6:AB6)</f>
        <v>0</v>
      </c>
      <c r="AE5" s="50">
        <v>2</v>
      </c>
      <c r="AF5" s="91" t="str">
        <f>IF(ISBLANK(STUD!B6)," ",STUD!B6)</f>
        <v>TRES COPAS</v>
      </c>
      <c r="AG5" s="91">
        <f t="shared" si="0"/>
        <v>0</v>
      </c>
      <c r="AH5" s="91">
        <f t="shared" ref="AH5:AH31" si="8">$AG$4-AG5</f>
        <v>0</v>
      </c>
      <c r="AI5" s="88">
        <f t="shared" si="1"/>
        <v>0</v>
      </c>
      <c r="AJ5" s="53" t="str">
        <f>IF(AI5="","",IFERROR(IF(VLOOKUP(AI5,Programa!$AF$3:$AG$18,2,0)="","",VLOOKUP(AI5,Programa!$AF$3:$AG$18,2,0)),""))</f>
        <v/>
      </c>
      <c r="AK5" s="53">
        <f t="shared" si="2"/>
        <v>0</v>
      </c>
      <c r="AL5" s="53" t="str">
        <f>IF(AK5="","",IFERROR(IF(VLOOKUP(AK5,Programa!$AF$19:$AG$34,2,0)="","",VLOOKUP(AK5,Programa!$AA$19:$AB$34,2,0)),""))</f>
        <v/>
      </c>
      <c r="AM5" s="53">
        <f t="shared" si="3"/>
        <v>0</v>
      </c>
      <c r="AN5" s="53" t="str">
        <f>IF(AM5="","",IFERROR(IF(VLOOKUP(AM5,Programa!$AF$35:$AG$50,2,0)="","",VLOOKUP(AM5,Programa!$AA$35:$AB$50,2,0)),""))</f>
        <v/>
      </c>
      <c r="AP5" s="155">
        <v>2</v>
      </c>
      <c r="AQ5" s="145" t="str">
        <f>IF(ISBLANK(STUD!B6)," ",STUD!B6)</f>
        <v>TRES COPAS</v>
      </c>
      <c r="AR5" s="185">
        <f>IFERROR(VLOOKUP(AQ5,Lunes!$AF$4:$AG$31,2,0),0)</f>
        <v>1.1000000000000001</v>
      </c>
      <c r="AS5" s="185">
        <f>IFERROR(VLOOKUP(AQ5,Martes!$AF$4:$AH$31,2,0),0)</f>
        <v>27</v>
      </c>
      <c r="AT5" s="185">
        <f>IFERROR(VLOOKUP(AQ5,Miercoles!$AF$4:$AG$31,2,0),0)</f>
        <v>30</v>
      </c>
      <c r="AU5" s="185">
        <f>IFERROR(VLOOKUP(AQ5,Jueves!$AF$4:$AG$26,2,0),0)</f>
        <v>54.599999999999994</v>
      </c>
      <c r="AV5" s="185">
        <f>IFERROR(VLOOKUP(AQ5,Viernes!$AF$4:$AG$31,2,0),0)</f>
        <v>27.199999999999996</v>
      </c>
      <c r="AW5" s="185">
        <f>IFERROR(VLOOKUP(AQ5,Sabado!$AF$4:$AG$31,2,0),0)</f>
        <v>0</v>
      </c>
      <c r="AX5" s="185">
        <f t="shared" si="4"/>
        <v>0</v>
      </c>
      <c r="AY5" s="185">
        <f t="shared" si="5"/>
        <v>139.89999999999998</v>
      </c>
      <c r="AZ5" s="185">
        <f>$AY$4-AY5</f>
        <v>40.600000000000023</v>
      </c>
      <c r="BB5" s="50">
        <v>2</v>
      </c>
      <c r="BC5" s="91" t="str">
        <f>IF(ISBLANK(STUD!B3)," ",STUD!B3)</f>
        <v>EL JOYERO</v>
      </c>
      <c r="BD5" s="91">
        <f>IFERROR(VLOOKUP(BC5,Sabado!$AF$4:$AG$31,2,0),0)</f>
        <v>0</v>
      </c>
      <c r="BE5" s="91">
        <f t="shared" si="6"/>
        <v>0</v>
      </c>
      <c r="BF5" s="91">
        <f t="shared" si="7"/>
        <v>0</v>
      </c>
      <c r="BG5" s="91">
        <f>$BF$4-BF5</f>
        <v>0</v>
      </c>
    </row>
    <row r="6" spans="1:59" ht="15" customHeight="1" x14ac:dyDescent="0.4">
      <c r="A6" s="242"/>
      <c r="B6" s="253"/>
      <c r="C6" s="245"/>
      <c r="D6" s="138">
        <f t="shared" ref="D6:AB6" si="9">IF(IFERROR(IF(VLOOKUP(D5,D$151:D$155,1,0)&gt;=1,D$150,0),D5)=D$132,D$136,IF(IFERROR(IF(VLOOKUP(D5,D$151:D$155,1,0)&gt;=1,D$150,0),D5)=D$139,D$142,IF(IFERROR(IF(VLOOKUP(D5,D$151:D$155,1,0)&gt;=1,D$150,0),D5)=D$145,D$147,0)))</f>
        <v>0</v>
      </c>
      <c r="E6" s="138">
        <f t="shared" si="9"/>
        <v>0</v>
      </c>
      <c r="F6" s="138">
        <f t="shared" si="9"/>
        <v>0</v>
      </c>
      <c r="G6" s="138">
        <f t="shared" si="9"/>
        <v>0</v>
      </c>
      <c r="H6" s="138">
        <f t="shared" si="9"/>
        <v>0</v>
      </c>
      <c r="I6" s="138">
        <f t="shared" si="9"/>
        <v>0</v>
      </c>
      <c r="J6" s="138">
        <f t="shared" si="9"/>
        <v>0</v>
      </c>
      <c r="K6" s="138">
        <f t="shared" si="9"/>
        <v>0</v>
      </c>
      <c r="L6" s="138">
        <f t="shared" si="9"/>
        <v>0</v>
      </c>
      <c r="M6" s="138">
        <f t="shared" si="9"/>
        <v>0</v>
      </c>
      <c r="N6" s="138">
        <f t="shared" si="9"/>
        <v>0</v>
      </c>
      <c r="O6" s="138">
        <f t="shared" si="9"/>
        <v>0</v>
      </c>
      <c r="P6" s="138">
        <f t="shared" si="9"/>
        <v>0</v>
      </c>
      <c r="Q6" s="138">
        <f t="shared" si="9"/>
        <v>0</v>
      </c>
      <c r="R6" s="138">
        <f t="shared" si="9"/>
        <v>0</v>
      </c>
      <c r="S6" s="138">
        <f t="shared" si="9"/>
        <v>0</v>
      </c>
      <c r="T6" s="138">
        <f t="shared" si="9"/>
        <v>0</v>
      </c>
      <c r="U6" s="138">
        <f t="shared" si="9"/>
        <v>0</v>
      </c>
      <c r="V6" s="138">
        <f t="shared" si="9"/>
        <v>0</v>
      </c>
      <c r="W6" s="138">
        <f t="shared" si="9"/>
        <v>0</v>
      </c>
      <c r="X6" s="138">
        <f t="shared" si="9"/>
        <v>0</v>
      </c>
      <c r="Y6" s="138">
        <f t="shared" si="9"/>
        <v>0</v>
      </c>
      <c r="Z6" s="138">
        <f t="shared" si="9"/>
        <v>0</v>
      </c>
      <c r="AA6" s="138">
        <f t="shared" si="9"/>
        <v>0</v>
      </c>
      <c r="AB6" s="138">
        <f t="shared" si="9"/>
        <v>0</v>
      </c>
      <c r="AC6" s="243"/>
      <c r="AE6" s="62">
        <v>3</v>
      </c>
      <c r="AF6" s="91" t="str">
        <f>IF(ISBLANK(STUD!B4)," ",STUD!B4)</f>
        <v>PAP</v>
      </c>
      <c r="AG6" s="91">
        <f t="shared" si="0"/>
        <v>0</v>
      </c>
      <c r="AH6" s="91">
        <f t="shared" si="8"/>
        <v>0</v>
      </c>
      <c r="AI6" s="88">
        <f t="shared" si="1"/>
        <v>0</v>
      </c>
      <c r="AJ6" s="53" t="str">
        <f>IF(AI6="","",IFERROR(IF(VLOOKUP(AI6,Programa!$AF$3:$AG$18,2,0)="","",VLOOKUP(AI6,Programa!$AF$3:$AG$18,2,0)),""))</f>
        <v/>
      </c>
      <c r="AK6" s="53">
        <f t="shared" si="2"/>
        <v>0</v>
      </c>
      <c r="AL6" s="53" t="str">
        <f>IF(AK6="","",IFERROR(IF(VLOOKUP(AK6,Programa!$AF$19:$AG$34,2,0)="","",VLOOKUP(AK6,Programa!$AA$19:$AB$34,2,0)),""))</f>
        <v/>
      </c>
      <c r="AM6" s="53">
        <f t="shared" si="3"/>
        <v>0</v>
      </c>
      <c r="AN6" s="53" t="str">
        <f>IF(AM6="","",IFERROR(IF(VLOOKUP(AM6,Programa!$AF$35:$AG$50,2,0)="","",VLOOKUP(AM6,Programa!$AA$35:$AB$50,2,0)),""))</f>
        <v/>
      </c>
      <c r="AP6" s="152">
        <v>3</v>
      </c>
      <c r="AQ6" s="145" t="str">
        <f>IF(ISBLANK(STUD!B8)," ",STUD!B8)</f>
        <v>MIS SOBRINOS</v>
      </c>
      <c r="AR6" s="185">
        <f>IFERROR(VLOOKUP(AQ6,Lunes!$AF$4:$AG$31,2,0),0)</f>
        <v>7.9</v>
      </c>
      <c r="AS6" s="185">
        <f>IFERROR(VLOOKUP(AQ6,Martes!$AF$4:$AH$31,2,0),0)</f>
        <v>11.5</v>
      </c>
      <c r="AT6" s="185">
        <f>IFERROR(VLOOKUP(AQ6,Miercoles!$AF$4:$AG$31,2,0),0)</f>
        <v>32.9</v>
      </c>
      <c r="AU6" s="185">
        <f>IFERROR(VLOOKUP(AQ6,Jueves!$AF$4:$AG$26,2,0),0)</f>
        <v>39.599999999999994</v>
      </c>
      <c r="AV6" s="185">
        <f>IFERROR(VLOOKUP(AQ6,Viernes!$AF$4:$AG$31,2,0),0)</f>
        <v>25</v>
      </c>
      <c r="AW6" s="185">
        <f>IFERROR(VLOOKUP(AQ6,Sabado!$AF$4:$AG$31,2,0),0)</f>
        <v>0</v>
      </c>
      <c r="AX6" s="185">
        <f t="shared" si="4"/>
        <v>0</v>
      </c>
      <c r="AY6" s="185">
        <f t="shared" si="5"/>
        <v>116.89999999999999</v>
      </c>
      <c r="AZ6" s="185">
        <f t="shared" ref="AZ6:AZ31" si="10">$AY$4-AY6</f>
        <v>63.600000000000009</v>
      </c>
      <c r="BB6" s="62">
        <v>3</v>
      </c>
      <c r="BC6" s="91" t="str">
        <f>IF(ISBLANK(STUD!B4)," ",STUD!B4)</f>
        <v>PAP</v>
      </c>
      <c r="BD6" s="91">
        <f>IFERROR(VLOOKUP(BC6,Sabado!$AF$4:$AG$31,2,0),0)</f>
        <v>0</v>
      </c>
      <c r="BE6" s="91">
        <f t="shared" si="6"/>
        <v>0</v>
      </c>
      <c r="BF6" s="91">
        <f t="shared" si="7"/>
        <v>0</v>
      </c>
      <c r="BG6" s="91">
        <f t="shared" ref="BG6:BG31" si="11">$BF$4-BF6</f>
        <v>0</v>
      </c>
    </row>
    <row r="7" spans="1:59" ht="15.75" customHeight="1" x14ac:dyDescent="0.4">
      <c r="A7" s="252">
        <f>+A5+1</f>
        <v>2</v>
      </c>
      <c r="B7" s="253" t="str">
        <f>+STUD!B3</f>
        <v>EL JOYERO</v>
      </c>
      <c r="C7" s="244">
        <f>SUM(D8:AB8)</f>
        <v>0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243">
        <f>SUM(D8:AB8)</f>
        <v>0</v>
      </c>
      <c r="AE7" s="63">
        <v>4</v>
      </c>
      <c r="AF7" s="91" t="str">
        <f>IF(ISBLANK(STUD!B8)," ",STUD!B8)</f>
        <v>MIS SOBRINOS</v>
      </c>
      <c r="AG7" s="91">
        <f t="shared" si="0"/>
        <v>0</v>
      </c>
      <c r="AH7" s="92">
        <f t="shared" si="8"/>
        <v>0</v>
      </c>
      <c r="AI7" s="88">
        <f t="shared" si="1"/>
        <v>0</v>
      </c>
      <c r="AJ7" s="53" t="str">
        <f>IF(AI7="","",IFERROR(IF(VLOOKUP(AI7,Programa!$AF$3:$AG$18,2,0)="","",VLOOKUP(AI7,Programa!$AF$3:$AG$18,2,0)),""))</f>
        <v/>
      </c>
      <c r="AK7" s="53">
        <f t="shared" si="2"/>
        <v>0</v>
      </c>
      <c r="AL7" s="53" t="str">
        <f>IF(AK7="","",IFERROR(IF(VLOOKUP(AK7,Programa!$AF$19:$AG$34,2,0)="","",VLOOKUP(AK7,Programa!$AA$19:$AB$34,2,0)),""))</f>
        <v/>
      </c>
      <c r="AM7" s="53">
        <f t="shared" si="3"/>
        <v>0</v>
      </c>
      <c r="AN7" s="53" t="str">
        <f>IF(AM7="","",IFERROR(IF(VLOOKUP(AM7,Programa!$AF$35:$AG$50,2,0)="","",VLOOKUP(AM7,Programa!$AA$35:$AB$50,2,0)),""))</f>
        <v/>
      </c>
      <c r="AP7" s="148">
        <v>4</v>
      </c>
      <c r="AQ7" s="145" t="str">
        <f>IF(ISBLANK(STUD!B2)," ",STUD!B2)</f>
        <v>SOSAMAFIA</v>
      </c>
      <c r="AR7" s="185">
        <f>IFERROR(VLOOKUP(AQ7,Lunes!$AF$4:$AG$31,2,0),0)</f>
        <v>4</v>
      </c>
      <c r="AS7" s="185">
        <f>IFERROR(VLOOKUP(AQ7,Martes!$AF$4:$AH$31,2,0),0)</f>
        <v>14.9</v>
      </c>
      <c r="AT7" s="185">
        <f>IFERROR(VLOOKUP(AQ7,Miercoles!$AF$4:$AG$31,2,0),0)</f>
        <v>39.200000000000003</v>
      </c>
      <c r="AU7" s="185">
        <f>IFERROR(VLOOKUP(AQ7,Jueves!$AF$4:$AG$26,2,0),0)</f>
        <v>46.4</v>
      </c>
      <c r="AV7" s="185">
        <f>IFERROR(VLOOKUP(AQ7,Viernes!$AF$4:$AG$31,2,0),0)</f>
        <v>19.899999999999999</v>
      </c>
      <c r="AW7" s="185">
        <f>IFERROR(VLOOKUP(AQ7,Sabado!$AF$4:$AG$31,2,0),0)</f>
        <v>0</v>
      </c>
      <c r="AX7" s="185">
        <f t="shared" si="4"/>
        <v>0</v>
      </c>
      <c r="AY7" s="185">
        <f t="shared" si="5"/>
        <v>124.4</v>
      </c>
      <c r="AZ7" s="185">
        <f t="shared" si="10"/>
        <v>56.099999999999994</v>
      </c>
      <c r="BB7" s="63">
        <v>4</v>
      </c>
      <c r="BC7" s="91" t="str">
        <f>IF(ISBLANK(STUD!B5)," ",STUD!B5)</f>
        <v>KUME</v>
      </c>
      <c r="BD7" s="91">
        <f>IFERROR(VLOOKUP(BC7,Sabado!$AF$4:$AG$31,2,0),0)</f>
        <v>0</v>
      </c>
      <c r="BE7" s="91">
        <f t="shared" si="6"/>
        <v>0</v>
      </c>
      <c r="BF7" s="91">
        <f t="shared" si="7"/>
        <v>0</v>
      </c>
      <c r="BG7" s="91">
        <f t="shared" si="11"/>
        <v>0</v>
      </c>
    </row>
    <row r="8" spans="1:59" ht="15" customHeight="1" x14ac:dyDescent="0.4">
      <c r="A8" s="242"/>
      <c r="B8" s="253"/>
      <c r="C8" s="245"/>
      <c r="D8" s="138">
        <f t="shared" ref="D8:AB8" si="12">IF(IFERROR(IF(VLOOKUP(D7,D$151:D$155,1,0)&gt;=1,D$150,0),D7)=D$132,D$136,IF(IFERROR(IF(VLOOKUP(D7,D$151:D$155,1,0)&gt;=1,D$150,0),D7)=D$139,D$142,IF(IFERROR(IF(VLOOKUP(D7,D$151:D$155,1,0)&gt;=1,D$150,0),D7)=D$145,D$147,0)))</f>
        <v>0</v>
      </c>
      <c r="E8" s="138">
        <f t="shared" si="12"/>
        <v>0</v>
      </c>
      <c r="F8" s="138">
        <f t="shared" si="12"/>
        <v>0</v>
      </c>
      <c r="G8" s="138">
        <f t="shared" si="12"/>
        <v>0</v>
      </c>
      <c r="H8" s="138">
        <f t="shared" si="12"/>
        <v>0</v>
      </c>
      <c r="I8" s="138">
        <f t="shared" si="12"/>
        <v>0</v>
      </c>
      <c r="J8" s="138">
        <f t="shared" si="12"/>
        <v>0</v>
      </c>
      <c r="K8" s="138">
        <f t="shared" si="12"/>
        <v>0</v>
      </c>
      <c r="L8" s="138">
        <f t="shared" si="12"/>
        <v>0</v>
      </c>
      <c r="M8" s="138">
        <f t="shared" si="12"/>
        <v>0</v>
      </c>
      <c r="N8" s="138">
        <f t="shared" si="12"/>
        <v>0</v>
      </c>
      <c r="O8" s="138">
        <f t="shared" si="12"/>
        <v>0</v>
      </c>
      <c r="P8" s="138">
        <f t="shared" si="12"/>
        <v>0</v>
      </c>
      <c r="Q8" s="138">
        <f t="shared" si="12"/>
        <v>0</v>
      </c>
      <c r="R8" s="138">
        <f t="shared" si="12"/>
        <v>0</v>
      </c>
      <c r="S8" s="138">
        <f t="shared" si="12"/>
        <v>0</v>
      </c>
      <c r="T8" s="138">
        <f t="shared" si="12"/>
        <v>0</v>
      </c>
      <c r="U8" s="138">
        <f t="shared" si="12"/>
        <v>0</v>
      </c>
      <c r="V8" s="138">
        <f t="shared" si="12"/>
        <v>0</v>
      </c>
      <c r="W8" s="138">
        <f t="shared" si="12"/>
        <v>0</v>
      </c>
      <c r="X8" s="138">
        <f t="shared" si="12"/>
        <v>0</v>
      </c>
      <c r="Y8" s="138">
        <f t="shared" si="12"/>
        <v>0</v>
      </c>
      <c r="Z8" s="138">
        <f t="shared" si="12"/>
        <v>0</v>
      </c>
      <c r="AA8" s="138">
        <f t="shared" si="12"/>
        <v>0</v>
      </c>
      <c r="AB8" s="138">
        <f t="shared" si="12"/>
        <v>0</v>
      </c>
      <c r="AC8" s="243"/>
      <c r="AE8" s="64">
        <v>5</v>
      </c>
      <c r="AF8" s="91" t="str">
        <f>IF(ISBLANK(STUD!B7)," ",STUD!B7)</f>
        <v>ALF</v>
      </c>
      <c r="AG8" s="91">
        <f t="shared" si="0"/>
        <v>0</v>
      </c>
      <c r="AH8" s="92">
        <f t="shared" si="8"/>
        <v>0</v>
      </c>
      <c r="AI8" s="88">
        <f t="shared" si="1"/>
        <v>0</v>
      </c>
      <c r="AJ8" s="53" t="str">
        <f>IF(AI8="","",IFERROR(IF(VLOOKUP(AI8,Programa!$AF$3:$AG$18,2,0)="","",VLOOKUP(AI8,Programa!$AF$3:$AG$18,2,0)),""))</f>
        <v/>
      </c>
      <c r="AK8" s="53">
        <f t="shared" si="2"/>
        <v>0</v>
      </c>
      <c r="AL8" s="53" t="str">
        <f>IF(AK8="","",IFERROR(IF(VLOOKUP(AK8,Programa!$AF$19:$AG$34,2,0)="","",VLOOKUP(AK8,Programa!$AA$19:$AB$34,2,0)),""))</f>
        <v/>
      </c>
      <c r="AM8" s="53">
        <f t="shared" si="3"/>
        <v>0</v>
      </c>
      <c r="AN8" s="53" t="str">
        <f>IF(AM8="","",IFERROR(IF(VLOOKUP(AM8,Programa!$AF$35:$AG$50,2,0)="","",VLOOKUP(AM8,Programa!$AA$35:$AB$50,2,0)),""))</f>
        <v/>
      </c>
      <c r="AP8" s="146">
        <v>5</v>
      </c>
      <c r="AQ8" s="145" t="str">
        <f>IF(ISBLANK(STUD!B7)," ",STUD!B7)</f>
        <v>ALF</v>
      </c>
      <c r="AR8" s="185">
        <f>IFERROR(VLOOKUP(AQ8,Lunes!$AF$4:$AG$31,2,0),0)</f>
        <v>4</v>
      </c>
      <c r="AS8" s="185">
        <f>IFERROR(VLOOKUP(AQ8,Martes!$AF$4:$AH$31,2,0),0)</f>
        <v>26</v>
      </c>
      <c r="AT8" s="185">
        <f>IFERROR(VLOOKUP(AQ8,Miercoles!$AF$4:$AG$31,2,0),0)</f>
        <v>5.4</v>
      </c>
      <c r="AU8" s="185">
        <f>IFERROR(VLOOKUP(AQ8,Jueves!$AF$4:$AG$26,2,0),0)</f>
        <v>54.599999999999994</v>
      </c>
      <c r="AV8" s="185">
        <f>IFERROR(VLOOKUP(AQ8,Viernes!$AF$4:$AG$31,2,0),0)</f>
        <v>27.199999999999996</v>
      </c>
      <c r="AW8" s="185">
        <f>IFERROR(VLOOKUP(AQ8,Sabado!$AF$4:$AG$31,2,0),0)</f>
        <v>0</v>
      </c>
      <c r="AX8" s="185">
        <f t="shared" si="4"/>
        <v>0</v>
      </c>
      <c r="AY8" s="185">
        <f t="shared" si="5"/>
        <v>117.19999999999999</v>
      </c>
      <c r="AZ8" s="185">
        <f t="shared" si="10"/>
        <v>63.300000000000011</v>
      </c>
      <c r="BB8" s="64">
        <v>5</v>
      </c>
      <c r="BC8" s="91" t="str">
        <f>IF(ISBLANK(STUD!B6)," ",STUD!B6)</f>
        <v>TRES COPAS</v>
      </c>
      <c r="BD8" s="91">
        <f>IFERROR(VLOOKUP(BC8,Sabado!$AF$4:$AG$31,2,0),0)</f>
        <v>0</v>
      </c>
      <c r="BE8" s="91">
        <f t="shared" si="6"/>
        <v>0</v>
      </c>
      <c r="BF8" s="91">
        <f t="shared" si="7"/>
        <v>0</v>
      </c>
      <c r="BG8" s="91">
        <f t="shared" si="11"/>
        <v>0</v>
      </c>
    </row>
    <row r="9" spans="1:59" ht="15.75" customHeight="1" x14ac:dyDescent="0.4">
      <c r="A9" s="252">
        <f>+A7+1</f>
        <v>3</v>
      </c>
      <c r="B9" s="253" t="str">
        <f>+STUD!B4</f>
        <v>PAP</v>
      </c>
      <c r="C9" s="244">
        <f>SUM(D10:AB10)</f>
        <v>0</v>
      </c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30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243">
        <f>SUM(D10:AB10)</f>
        <v>0</v>
      </c>
      <c r="AE9" s="65">
        <v>6</v>
      </c>
      <c r="AF9" s="91" t="str">
        <f>IF(ISBLANK(STUD!B2)," ",STUD!B2)</f>
        <v>SOSAMAFIA</v>
      </c>
      <c r="AG9" s="91">
        <f t="shared" si="0"/>
        <v>0</v>
      </c>
      <c r="AH9" s="92">
        <f t="shared" si="8"/>
        <v>0</v>
      </c>
      <c r="AI9" s="88">
        <f t="shared" si="1"/>
        <v>0</v>
      </c>
      <c r="AJ9" s="53" t="str">
        <f>IF(AI9="","",IFERROR(IF(VLOOKUP(AI9,Programa!$AF$3:$AG$18,2,0)="","",VLOOKUP(AI9,Programa!$AF$3:$AG$18,2,0)),""))</f>
        <v/>
      </c>
      <c r="AK9" s="53">
        <f t="shared" si="2"/>
        <v>0</v>
      </c>
      <c r="AL9" s="53" t="str">
        <f>IF(AK9="","",IFERROR(IF(VLOOKUP(AK9,Programa!$AF$19:$AG$34,2,0)="","",VLOOKUP(AK9,Programa!$AA$19:$AB$34,2,0)),""))</f>
        <v/>
      </c>
      <c r="AM9" s="53">
        <f t="shared" si="3"/>
        <v>0</v>
      </c>
      <c r="AN9" s="53" t="str">
        <f>IF(AM9="","",IFERROR(IF(VLOOKUP(AM9,Programa!$AF$35:$AG$50,2,0)="","",VLOOKUP(AM9,Programa!$AA$35:$AB$50,2,0)),""))</f>
        <v/>
      </c>
      <c r="AP9" s="156">
        <v>6</v>
      </c>
      <c r="AQ9" s="145" t="str">
        <f>IF(ISBLANK(STUD!B5)," ",STUD!B5)</f>
        <v>KUME</v>
      </c>
      <c r="AR9" s="185">
        <f>IFERROR(VLOOKUP(AQ9,Lunes!$AF$4:$AG$31,2,0),0)</f>
        <v>9.7000000000000011</v>
      </c>
      <c r="AS9" s="185">
        <f>IFERROR(VLOOKUP(AQ9,Martes!$AF$4:$AH$31,2,0),0)</f>
        <v>38.200000000000003</v>
      </c>
      <c r="AT9" s="185">
        <f>IFERROR(VLOOKUP(AQ9,Miercoles!$AF$4:$AG$31,2,0),0)</f>
        <v>5.9</v>
      </c>
      <c r="AU9" s="185">
        <f>IFERROR(VLOOKUP(AQ9,Jueves!$AF$4:$AG$26,2,0),0)</f>
        <v>49.099999999999994</v>
      </c>
      <c r="AV9" s="185">
        <f>IFERROR(VLOOKUP(AQ9,Viernes!$AF$4:$AG$31,2,0),0)</f>
        <v>27.3</v>
      </c>
      <c r="AW9" s="185">
        <f>IFERROR(VLOOKUP(AQ9,Sabado!$AF$4:$AG$31,2,0),0)</f>
        <v>0</v>
      </c>
      <c r="AX9" s="185">
        <f t="shared" si="4"/>
        <v>0</v>
      </c>
      <c r="AY9" s="185">
        <f t="shared" si="5"/>
        <v>130.20000000000002</v>
      </c>
      <c r="AZ9" s="185">
        <f t="shared" si="10"/>
        <v>50.299999999999983</v>
      </c>
      <c r="BB9" s="65">
        <v>6</v>
      </c>
      <c r="BC9" s="91" t="str">
        <f>IF(ISBLANK(STUD!B7)," ",STUD!B7)</f>
        <v>ALF</v>
      </c>
      <c r="BD9" s="91">
        <f>IFERROR(VLOOKUP(BC9,Sabado!$AF$4:$AG$31,2,0),0)</f>
        <v>0</v>
      </c>
      <c r="BE9" s="91">
        <f t="shared" si="6"/>
        <v>0</v>
      </c>
      <c r="BF9" s="91">
        <f t="shared" si="7"/>
        <v>0</v>
      </c>
      <c r="BG9" s="91">
        <f t="shared" si="11"/>
        <v>0</v>
      </c>
    </row>
    <row r="10" spans="1:59" ht="15" customHeight="1" x14ac:dyDescent="0.4">
      <c r="A10" s="242"/>
      <c r="B10" s="253"/>
      <c r="C10" s="245"/>
      <c r="D10" s="138">
        <f t="shared" ref="D10:AB10" si="13">IF(IFERROR(IF(VLOOKUP(D9,D$151:D$155,1,0)&gt;=1,D$150,0),D9)=D$132,D$136,IF(IFERROR(IF(VLOOKUP(D9,D$151:D$155,1,0)&gt;=1,D$150,0),D9)=D$139,D$142,IF(IFERROR(IF(VLOOKUP(D9,D$151:D$155,1,0)&gt;=1,D$150,0),D9)=D$145,D$147,0)))</f>
        <v>0</v>
      </c>
      <c r="E10" s="138">
        <f t="shared" si="13"/>
        <v>0</v>
      </c>
      <c r="F10" s="138">
        <f t="shared" si="13"/>
        <v>0</v>
      </c>
      <c r="G10" s="138">
        <f t="shared" si="13"/>
        <v>0</v>
      </c>
      <c r="H10" s="138">
        <f t="shared" si="13"/>
        <v>0</v>
      </c>
      <c r="I10" s="138">
        <f t="shared" si="13"/>
        <v>0</v>
      </c>
      <c r="J10" s="138">
        <f t="shared" si="13"/>
        <v>0</v>
      </c>
      <c r="K10" s="138">
        <f t="shared" si="13"/>
        <v>0</v>
      </c>
      <c r="L10" s="138">
        <f t="shared" si="13"/>
        <v>0</v>
      </c>
      <c r="M10" s="138">
        <f t="shared" si="13"/>
        <v>0</v>
      </c>
      <c r="N10" s="138">
        <f t="shared" si="13"/>
        <v>0</v>
      </c>
      <c r="O10" s="138">
        <f t="shared" si="13"/>
        <v>0</v>
      </c>
      <c r="P10" s="138">
        <f t="shared" si="13"/>
        <v>0</v>
      </c>
      <c r="Q10" s="138">
        <f t="shared" si="13"/>
        <v>0</v>
      </c>
      <c r="R10" s="138">
        <f t="shared" si="13"/>
        <v>0</v>
      </c>
      <c r="S10" s="138">
        <f t="shared" si="13"/>
        <v>0</v>
      </c>
      <c r="T10" s="138">
        <f t="shared" si="13"/>
        <v>0</v>
      </c>
      <c r="U10" s="138">
        <f t="shared" si="13"/>
        <v>0</v>
      </c>
      <c r="V10" s="138">
        <f t="shared" si="13"/>
        <v>0</v>
      </c>
      <c r="W10" s="138">
        <f t="shared" si="13"/>
        <v>0</v>
      </c>
      <c r="X10" s="138">
        <f t="shared" si="13"/>
        <v>0</v>
      </c>
      <c r="Y10" s="138">
        <f t="shared" si="13"/>
        <v>0</v>
      </c>
      <c r="Z10" s="138">
        <f t="shared" si="13"/>
        <v>0</v>
      </c>
      <c r="AA10" s="138">
        <f t="shared" si="13"/>
        <v>0</v>
      </c>
      <c r="AB10" s="138">
        <f t="shared" si="13"/>
        <v>0</v>
      </c>
      <c r="AC10" s="243"/>
      <c r="AE10" s="66">
        <v>7</v>
      </c>
      <c r="AF10" s="91" t="str">
        <f>IF(ISBLANK(STUD!B3)," ",STUD!B3)</f>
        <v>EL JOYERO</v>
      </c>
      <c r="AG10" s="91">
        <f t="shared" si="0"/>
        <v>0</v>
      </c>
      <c r="AH10" s="92">
        <f t="shared" si="8"/>
        <v>0</v>
      </c>
      <c r="AI10" s="88">
        <f t="shared" si="1"/>
        <v>0</v>
      </c>
      <c r="AJ10" s="53" t="str">
        <f>IF(AI10="","",IFERROR(IF(VLOOKUP(AI10,Programa!$AF$3:$AG$18,2,0)="","",VLOOKUP(AI10,Programa!$AF$3:$AG$18,2,0)),""))</f>
        <v/>
      </c>
      <c r="AK10" s="53">
        <f t="shared" si="2"/>
        <v>0</v>
      </c>
      <c r="AL10" s="53" t="str">
        <f>IF(AK10="","",IFERROR(IF(VLOOKUP(AK10,Programa!$AF$19:$AG$34,2,0)="","",VLOOKUP(AK10,Programa!$AA$19:$AB$34,2,0)),""))</f>
        <v/>
      </c>
      <c r="AM10" s="53">
        <f t="shared" si="3"/>
        <v>0</v>
      </c>
      <c r="AN10" s="53" t="str">
        <f>IF(AM10="","",IFERROR(IF(VLOOKUP(AM10,Programa!$AF$35:$AG$50,2,0)="","",VLOOKUP(AM10,Programa!$AA$35:$AB$50,2,0)),""))</f>
        <v/>
      </c>
      <c r="AP10" s="150">
        <v>7</v>
      </c>
      <c r="AQ10" s="145" t="str">
        <f>IF(ISBLANK(STUD!B3)," ",STUD!B3)</f>
        <v>EL JOYERO</v>
      </c>
      <c r="AR10" s="185">
        <f>IFERROR(VLOOKUP(AQ10,Lunes!$AF$4:$AG$31,2,0),0)</f>
        <v>4</v>
      </c>
      <c r="AS10" s="185">
        <f>IFERROR(VLOOKUP(AQ10,Martes!$AF$4:$AH$31,2,0),0)</f>
        <v>25.4</v>
      </c>
      <c r="AT10" s="185">
        <f>IFERROR(VLOOKUP(AQ10,Miercoles!$AF$4:$AG$31,2,0),0)</f>
        <v>18.799999999999997</v>
      </c>
      <c r="AU10" s="185">
        <f>IFERROR(VLOOKUP(AQ10,Jueves!$AF$4:$AG$26,2,0),0)</f>
        <v>32.5</v>
      </c>
      <c r="AV10" s="185">
        <f>IFERROR(VLOOKUP(AQ10,Viernes!$AF$4:$AG$31,2,0),0)</f>
        <v>59.7</v>
      </c>
      <c r="AW10" s="185">
        <f>IFERROR(VLOOKUP(AQ10,Sabado!$AF$4:$AG$31,2,0),0)</f>
        <v>0</v>
      </c>
      <c r="AX10" s="185">
        <f t="shared" si="4"/>
        <v>0</v>
      </c>
      <c r="AY10" s="185">
        <f t="shared" si="5"/>
        <v>140.39999999999998</v>
      </c>
      <c r="AZ10" s="185">
        <f t="shared" si="10"/>
        <v>40.100000000000023</v>
      </c>
      <c r="BB10" s="66">
        <v>7</v>
      </c>
      <c r="BC10" s="91" t="str">
        <f>IF(ISBLANK(STUD!B8)," ",STUD!B8)</f>
        <v>MIS SOBRINOS</v>
      </c>
      <c r="BD10" s="91">
        <f>IFERROR(VLOOKUP(BC10,Sabado!$AF$4:$AG$31,2,0),0)</f>
        <v>0</v>
      </c>
      <c r="BE10" s="91">
        <f t="shared" si="6"/>
        <v>0</v>
      </c>
      <c r="BF10" s="91">
        <f t="shared" si="7"/>
        <v>0</v>
      </c>
      <c r="BG10" s="91">
        <f t="shared" si="11"/>
        <v>0</v>
      </c>
    </row>
    <row r="11" spans="1:59" ht="15.75" customHeight="1" x14ac:dyDescent="0.4">
      <c r="A11" s="252">
        <f>+A9+1</f>
        <v>4</v>
      </c>
      <c r="B11" s="253" t="str">
        <f>+STUD!B5</f>
        <v>KUME</v>
      </c>
      <c r="C11" s="244">
        <f>SUM(D12:AB12)</f>
        <v>0</v>
      </c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243">
        <f>SUM(D12:AB12)</f>
        <v>0</v>
      </c>
      <c r="AE11" s="67">
        <v>8</v>
      </c>
      <c r="AF11" s="91" t="str">
        <f>IF(ISBLANK(STUD!B12)," ",STUD!B12)</f>
        <v xml:space="preserve"> </v>
      </c>
      <c r="AG11" s="91">
        <f t="shared" si="0"/>
        <v>0</v>
      </c>
      <c r="AH11" s="92">
        <f t="shared" si="8"/>
        <v>0</v>
      </c>
      <c r="AI11" s="88" t="str">
        <f t="shared" si="1"/>
        <v xml:space="preserve"> </v>
      </c>
      <c r="AJ11" s="53" t="str">
        <f>IF(AI11="","",IFERROR(IF(VLOOKUP(AI11,Programa!$AF$3:$AG$18,2,0)="","",VLOOKUP(AI11,Programa!$AF$3:$AG$18,2,0)),""))</f>
        <v/>
      </c>
      <c r="AK11" s="53" t="str">
        <f t="shared" si="2"/>
        <v xml:space="preserve"> </v>
      </c>
      <c r="AL11" s="53" t="str">
        <f>IF(AK11="","",IFERROR(IF(VLOOKUP(AK11,Programa!$AF$19:$AG$34,2,0)="","",VLOOKUP(AK11,Programa!$AA$19:$AB$34,2,0)),""))</f>
        <v/>
      </c>
      <c r="AM11" s="53" t="str">
        <f t="shared" si="3"/>
        <v xml:space="preserve"> </v>
      </c>
      <c r="AN11" s="53" t="str">
        <f>IF(AM11="","",IFERROR(IF(VLOOKUP(AM11,Programa!$AF$35:$AG$50,2,0)="","",VLOOKUP(AM11,Programa!$AA$35:$AB$50,2,0)),""))</f>
        <v/>
      </c>
      <c r="AP11" s="67">
        <v>8</v>
      </c>
      <c r="AQ11" s="91" t="str">
        <f>IF(ISBLANK(STUD!B10)," ",STUD!B10)</f>
        <v>AUMENTA MEDINA</v>
      </c>
      <c r="AR11" s="91">
        <f>IFERROR(VLOOKUP(AQ11,Lunes!$AF$4:$AG$31,2,0),0)</f>
        <v>5.0999999999999996</v>
      </c>
      <c r="AS11" s="91">
        <f>IFERROR(VLOOKUP(AQ11,Martes!$AF$4:$AH$31,2,0),0)</f>
        <v>22.7</v>
      </c>
      <c r="AT11" s="91">
        <f>IFERROR(VLOOKUP(AQ11,Miercoles!$AF$4:$AG$31,2,0),0)</f>
        <v>29.4</v>
      </c>
      <c r="AU11" s="91">
        <f>IFERROR(VLOOKUP(AQ11,Jueves!$AF$4:$AG$26,2,0),0)</f>
        <v>24.199999999999996</v>
      </c>
      <c r="AV11" s="91">
        <f>IFERROR(VLOOKUP(AQ11,Viernes!$AF$4:$AG$31,2,0),0)</f>
        <v>26.8</v>
      </c>
      <c r="AW11" s="91">
        <f>IFERROR(VLOOKUP(AQ11,Sabado!$AF$4:$AG$31,2,0),0)</f>
        <v>0</v>
      </c>
      <c r="AX11" s="91">
        <f t="shared" si="4"/>
        <v>0</v>
      </c>
      <c r="AY11" s="91">
        <f t="shared" si="5"/>
        <v>108.19999999999999</v>
      </c>
      <c r="AZ11" s="91">
        <f t="shared" si="10"/>
        <v>72.300000000000011</v>
      </c>
      <c r="BB11" s="67">
        <v>8</v>
      </c>
      <c r="BC11" s="91" t="str">
        <f>IF(ISBLANK(STUD!B9)," ",STUD!B9)</f>
        <v>SERVIFRENOS</v>
      </c>
      <c r="BD11" s="91">
        <f>IFERROR(VLOOKUP(BC11,Sabado!$AF$4:$AG$31,2,0),0)</f>
        <v>0</v>
      </c>
      <c r="BE11" s="91">
        <f t="shared" si="6"/>
        <v>0</v>
      </c>
      <c r="BF11" s="91">
        <f t="shared" si="7"/>
        <v>0</v>
      </c>
      <c r="BG11" s="91">
        <f t="shared" si="11"/>
        <v>0</v>
      </c>
    </row>
    <row r="12" spans="1:59" ht="15" customHeight="1" x14ac:dyDescent="0.4">
      <c r="A12" s="242"/>
      <c r="B12" s="253"/>
      <c r="C12" s="245"/>
      <c r="D12" s="138">
        <f t="shared" ref="D12:AB12" si="14">IF(IFERROR(IF(VLOOKUP(D11,D$151:D$155,1,0)&gt;=1,D$150,0),D11)=D$132,D$136,IF(IFERROR(IF(VLOOKUP(D11,D$151:D$155,1,0)&gt;=1,D$150,0),D11)=D$139,D$142,IF(IFERROR(IF(VLOOKUP(D11,D$151:D$155,1,0)&gt;=1,D$150,0),D11)=D$145,D$147,0)))</f>
        <v>0</v>
      </c>
      <c r="E12" s="138">
        <f t="shared" si="14"/>
        <v>0</v>
      </c>
      <c r="F12" s="138">
        <f t="shared" si="14"/>
        <v>0</v>
      </c>
      <c r="G12" s="138">
        <f t="shared" si="14"/>
        <v>0</v>
      </c>
      <c r="H12" s="138">
        <f t="shared" si="14"/>
        <v>0</v>
      </c>
      <c r="I12" s="138">
        <f t="shared" si="14"/>
        <v>0</v>
      </c>
      <c r="J12" s="138">
        <f t="shared" si="14"/>
        <v>0</v>
      </c>
      <c r="K12" s="138">
        <f t="shared" si="14"/>
        <v>0</v>
      </c>
      <c r="L12" s="138">
        <f t="shared" si="14"/>
        <v>0</v>
      </c>
      <c r="M12" s="138">
        <f t="shared" si="14"/>
        <v>0</v>
      </c>
      <c r="N12" s="138">
        <f t="shared" si="14"/>
        <v>0</v>
      </c>
      <c r="O12" s="138">
        <f t="shared" si="14"/>
        <v>0</v>
      </c>
      <c r="P12" s="138">
        <f t="shared" si="14"/>
        <v>0</v>
      </c>
      <c r="Q12" s="138">
        <f t="shared" si="14"/>
        <v>0</v>
      </c>
      <c r="R12" s="138">
        <f t="shared" si="14"/>
        <v>0</v>
      </c>
      <c r="S12" s="138">
        <f t="shared" si="14"/>
        <v>0</v>
      </c>
      <c r="T12" s="138">
        <f t="shared" si="14"/>
        <v>0</v>
      </c>
      <c r="U12" s="138">
        <f t="shared" si="14"/>
        <v>0</v>
      </c>
      <c r="V12" s="138">
        <f t="shared" si="14"/>
        <v>0</v>
      </c>
      <c r="W12" s="138">
        <f t="shared" si="14"/>
        <v>0</v>
      </c>
      <c r="X12" s="138">
        <f t="shared" si="14"/>
        <v>0</v>
      </c>
      <c r="Y12" s="138">
        <f t="shared" si="14"/>
        <v>0</v>
      </c>
      <c r="Z12" s="138">
        <f t="shared" si="14"/>
        <v>0</v>
      </c>
      <c r="AA12" s="138">
        <f t="shared" si="14"/>
        <v>0</v>
      </c>
      <c r="AB12" s="138">
        <f t="shared" si="14"/>
        <v>0</v>
      </c>
      <c r="AC12" s="243"/>
      <c r="AE12" s="68">
        <v>9</v>
      </c>
      <c r="AF12" s="91" t="str">
        <f>IF(ISBLANK(STUD!B10)," ",STUD!B10)</f>
        <v>AUMENTA MEDINA</v>
      </c>
      <c r="AG12" s="91">
        <f t="shared" si="0"/>
        <v>0</v>
      </c>
      <c r="AH12" s="92">
        <f t="shared" si="8"/>
        <v>0</v>
      </c>
      <c r="AI12" s="88">
        <f t="shared" si="1"/>
        <v>0</v>
      </c>
      <c r="AJ12" s="53" t="str">
        <f>IF(AI12="","",IFERROR(IF(VLOOKUP(AI12,Programa!$AF$3:$AG$18,2,0)="","",VLOOKUP(AI12,Programa!$AF$3:$AG$18,2,0)),""))</f>
        <v/>
      </c>
      <c r="AK12" s="53">
        <f t="shared" si="2"/>
        <v>0</v>
      </c>
      <c r="AL12" s="53" t="str">
        <f>IF(AK12="","",IFERROR(IF(VLOOKUP(AK12,Programa!$AF$19:$AG$34,2,0)="","",VLOOKUP(AK12,Programa!$AA$19:$AB$34,2,0)),""))</f>
        <v/>
      </c>
      <c r="AM12" s="53">
        <f t="shared" si="3"/>
        <v>0</v>
      </c>
      <c r="AN12" s="53" t="str">
        <f>IF(AM12="","",IFERROR(IF(VLOOKUP(AM12,Programa!$AF$35:$AG$50,2,0)="","",VLOOKUP(AM12,Programa!$AA$35:$AB$50,2,0)),""))</f>
        <v/>
      </c>
      <c r="AP12" s="68">
        <v>9</v>
      </c>
      <c r="AQ12" s="91" t="str">
        <f>IF(ISBLANK(STUD!B11)," ",STUD!B11)</f>
        <v>PASASTE BANDIDO</v>
      </c>
      <c r="AR12" s="91">
        <f>IFERROR(VLOOKUP(AQ12,Lunes!$AF$4:$AG$31,2,0),0)</f>
        <v>4</v>
      </c>
      <c r="AS12" s="91">
        <f>IFERROR(VLOOKUP(AQ12,Martes!$AF$4:$AH$31,2,0),0)</f>
        <v>59.9</v>
      </c>
      <c r="AT12" s="91">
        <f>IFERROR(VLOOKUP(AQ12,Miercoles!$AF$4:$AG$31,2,0),0)</f>
        <v>12.899999999999999</v>
      </c>
      <c r="AU12" s="91">
        <f>IFERROR(VLOOKUP(AQ12,Jueves!$AF$4:$AG$26,2,0),0)</f>
        <v>6.8000000000000007</v>
      </c>
      <c r="AV12" s="91">
        <f>IFERROR(VLOOKUP(AQ12,Viernes!$AF$4:$AG$31,2,0),0)</f>
        <v>13.3</v>
      </c>
      <c r="AW12" s="91">
        <f>IFERROR(VLOOKUP(AQ12,Sabado!$AF$4:$AG$31,2,0),0)</f>
        <v>0</v>
      </c>
      <c r="AX12" s="91">
        <f t="shared" si="4"/>
        <v>0</v>
      </c>
      <c r="AY12" s="91">
        <f t="shared" si="5"/>
        <v>96.899999999999991</v>
      </c>
      <c r="AZ12" s="91">
        <f t="shared" si="10"/>
        <v>83.600000000000009</v>
      </c>
      <c r="BB12" s="68">
        <v>9</v>
      </c>
      <c r="BC12" s="91" t="str">
        <f>IF(ISBLANK(STUD!B10)," ",STUD!B10)</f>
        <v>AUMENTA MEDINA</v>
      </c>
      <c r="BD12" s="91">
        <f>IFERROR(VLOOKUP(BC12,Sabado!$AF$4:$AG$31,2,0),0)</f>
        <v>0</v>
      </c>
      <c r="BE12" s="91">
        <f t="shared" si="6"/>
        <v>0</v>
      </c>
      <c r="BF12" s="91">
        <f t="shared" si="7"/>
        <v>0</v>
      </c>
      <c r="BG12" s="91">
        <f t="shared" si="11"/>
        <v>0</v>
      </c>
    </row>
    <row r="13" spans="1:59" ht="15.75" customHeight="1" x14ac:dyDescent="0.4">
      <c r="A13" s="252">
        <f>+A11+1</f>
        <v>5</v>
      </c>
      <c r="B13" s="253" t="str">
        <f>+STUD!B6</f>
        <v>TRES COPAS</v>
      </c>
      <c r="C13" s="244">
        <f>SUM(D14:AB14)</f>
        <v>0</v>
      </c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243">
        <f>SUM(D14:AB14)</f>
        <v>0</v>
      </c>
      <c r="AE13" s="69">
        <v>10</v>
      </c>
      <c r="AF13" s="91" t="str">
        <f>IF(ISBLANK(STUD!B9)," ",STUD!B9)</f>
        <v>SERVIFRENOS</v>
      </c>
      <c r="AG13" s="91">
        <f t="shared" si="0"/>
        <v>0</v>
      </c>
      <c r="AH13" s="92">
        <f t="shared" si="8"/>
        <v>0</v>
      </c>
      <c r="AI13" s="88">
        <f t="shared" si="1"/>
        <v>0</v>
      </c>
      <c r="AJ13" s="53" t="str">
        <f>IF(AI13="","",IFERROR(IF(VLOOKUP(AI13,Programa!$AF$3:$AG$18,2,0)="","",VLOOKUP(AI13,Programa!$AF$3:$AG$18,2,0)),""))</f>
        <v/>
      </c>
      <c r="AK13" s="53">
        <f t="shared" si="2"/>
        <v>0</v>
      </c>
      <c r="AL13" s="53" t="str">
        <f>IF(AK13="","",IFERROR(IF(VLOOKUP(AK13,Programa!$AF$19:$AG$34,2,0)="","",VLOOKUP(AK13,Programa!$AA$19:$AB$34,2,0)),""))</f>
        <v/>
      </c>
      <c r="AM13" s="53">
        <f t="shared" si="3"/>
        <v>0</v>
      </c>
      <c r="AN13" s="53" t="str">
        <f>IF(AM13="","",IFERROR(IF(VLOOKUP(AM13,Programa!$AF$35:$AG$50,2,0)="","",VLOOKUP(AM13,Programa!$AA$35:$AB$50,2,0)),""))</f>
        <v/>
      </c>
      <c r="AP13" s="69">
        <v>10</v>
      </c>
      <c r="AQ13" s="91" t="str">
        <f>IF(ISBLANK(STUD!B9)," ",STUD!B9)</f>
        <v>SERVIFRENOS</v>
      </c>
      <c r="AR13" s="91">
        <f>IFERROR(VLOOKUP(AQ13,Lunes!$AF$4:$AG$31,2,0),0)</f>
        <v>13.700000000000001</v>
      </c>
      <c r="AS13" s="91">
        <f>IFERROR(VLOOKUP(AQ13,Martes!$AF$4:$AH$31,2,0),0)</f>
        <v>35.900000000000006</v>
      </c>
      <c r="AT13" s="91">
        <f>IFERROR(VLOOKUP(AQ13,Miercoles!$AF$4:$AG$31,2,0),0)</f>
        <v>34.699999999999996</v>
      </c>
      <c r="AU13" s="91">
        <f>IFERROR(VLOOKUP(AQ13,Jueves!$AF$4:$AG$26,2,0),0)</f>
        <v>55.100000000000009</v>
      </c>
      <c r="AV13" s="91">
        <f>IFERROR(VLOOKUP(AQ13,Viernes!$AF$4:$AG$31,2,0),0)</f>
        <v>73.899999999999991</v>
      </c>
      <c r="AW13" s="91">
        <f>IFERROR(VLOOKUP(AQ13,Sabado!$AF$4:$AG$31,2,0),0)</f>
        <v>0</v>
      </c>
      <c r="AX13" s="91">
        <f t="shared" si="4"/>
        <v>0</v>
      </c>
      <c r="AY13" s="91">
        <f t="shared" si="5"/>
        <v>213.3</v>
      </c>
      <c r="AZ13" s="91">
        <f t="shared" si="10"/>
        <v>-32.800000000000011</v>
      </c>
      <c r="BB13" s="69">
        <v>10</v>
      </c>
      <c r="BC13" s="91" t="str">
        <f>IF(ISBLANK(STUD!B11)," ",STUD!B11)</f>
        <v>PASASTE BANDIDO</v>
      </c>
      <c r="BD13" s="91">
        <f>IFERROR(VLOOKUP(BC13,Sabado!$AF$4:$AG$31,2,0),0)</f>
        <v>0</v>
      </c>
      <c r="BE13" s="91">
        <f t="shared" si="6"/>
        <v>0</v>
      </c>
      <c r="BF13" s="91">
        <f t="shared" si="7"/>
        <v>0</v>
      </c>
      <c r="BG13" s="91">
        <f t="shared" si="11"/>
        <v>0</v>
      </c>
    </row>
    <row r="14" spans="1:59" ht="15" customHeight="1" x14ac:dyDescent="0.4">
      <c r="A14" s="242"/>
      <c r="B14" s="253"/>
      <c r="C14" s="245"/>
      <c r="D14" s="138">
        <f t="shared" ref="D14:AB14" si="15">IF(IFERROR(IF(VLOOKUP(D13,D$151:D$155,1,0)&gt;=1,D$150,0),D13)=D$132,D$136,IF(IFERROR(IF(VLOOKUP(D13,D$151:D$155,1,0)&gt;=1,D$150,0),D13)=D$139,D$142,IF(IFERROR(IF(VLOOKUP(D13,D$151:D$155,1,0)&gt;=1,D$150,0),D13)=D$145,D$147,0)))</f>
        <v>0</v>
      </c>
      <c r="E14" s="138">
        <f t="shared" si="15"/>
        <v>0</v>
      </c>
      <c r="F14" s="138">
        <f t="shared" si="15"/>
        <v>0</v>
      </c>
      <c r="G14" s="138">
        <f t="shared" si="15"/>
        <v>0</v>
      </c>
      <c r="H14" s="138">
        <f t="shared" si="15"/>
        <v>0</v>
      </c>
      <c r="I14" s="138">
        <f t="shared" si="15"/>
        <v>0</v>
      </c>
      <c r="J14" s="138">
        <f t="shared" si="15"/>
        <v>0</v>
      </c>
      <c r="K14" s="138">
        <f t="shared" si="15"/>
        <v>0</v>
      </c>
      <c r="L14" s="138">
        <f t="shared" si="15"/>
        <v>0</v>
      </c>
      <c r="M14" s="138">
        <f t="shared" si="15"/>
        <v>0</v>
      </c>
      <c r="N14" s="138">
        <f t="shared" si="15"/>
        <v>0</v>
      </c>
      <c r="O14" s="138">
        <f t="shared" si="15"/>
        <v>0</v>
      </c>
      <c r="P14" s="138">
        <f t="shared" si="15"/>
        <v>0</v>
      </c>
      <c r="Q14" s="138">
        <f t="shared" si="15"/>
        <v>0</v>
      </c>
      <c r="R14" s="138">
        <f t="shared" si="15"/>
        <v>0</v>
      </c>
      <c r="S14" s="138">
        <f t="shared" si="15"/>
        <v>0</v>
      </c>
      <c r="T14" s="138">
        <f t="shared" si="15"/>
        <v>0</v>
      </c>
      <c r="U14" s="138">
        <f t="shared" si="15"/>
        <v>0</v>
      </c>
      <c r="V14" s="138">
        <f t="shared" si="15"/>
        <v>0</v>
      </c>
      <c r="W14" s="138">
        <f t="shared" si="15"/>
        <v>0</v>
      </c>
      <c r="X14" s="138">
        <f t="shared" si="15"/>
        <v>0</v>
      </c>
      <c r="Y14" s="138">
        <f t="shared" si="15"/>
        <v>0</v>
      </c>
      <c r="Z14" s="138">
        <f t="shared" si="15"/>
        <v>0</v>
      </c>
      <c r="AA14" s="138">
        <f t="shared" si="15"/>
        <v>0</v>
      </c>
      <c r="AB14" s="138">
        <f t="shared" si="15"/>
        <v>0</v>
      </c>
      <c r="AC14" s="243"/>
      <c r="AE14" s="70">
        <v>11</v>
      </c>
      <c r="AF14" s="91" t="str">
        <f>IF(ISBLANK(STUD!B11)," ",STUD!B11)</f>
        <v>PASASTE BANDIDO</v>
      </c>
      <c r="AG14" s="91">
        <f t="shared" si="0"/>
        <v>0</v>
      </c>
      <c r="AH14" s="92">
        <f t="shared" si="8"/>
        <v>0</v>
      </c>
      <c r="AI14" s="88">
        <f t="shared" si="1"/>
        <v>0</v>
      </c>
      <c r="AJ14" s="53" t="str">
        <f>IF(AI14="","",IFERROR(IF(VLOOKUP(AI14,Programa!$AF$3:$AG$18,2,0)="","",VLOOKUP(AI14,Programa!$AF$3:$AG$18,2,0)),""))</f>
        <v/>
      </c>
      <c r="AK14" s="53">
        <f t="shared" si="2"/>
        <v>0</v>
      </c>
      <c r="AL14" s="53" t="str">
        <f>IF(AK14="","",IFERROR(IF(VLOOKUP(AK14,Programa!$AF$19:$AG$34,2,0)="","",VLOOKUP(AK14,Programa!$AA$19:$AB$34,2,0)),""))</f>
        <v/>
      </c>
      <c r="AM14" s="53">
        <f t="shared" si="3"/>
        <v>0</v>
      </c>
      <c r="AN14" s="53" t="str">
        <f>IF(AM14="","",IFERROR(IF(VLOOKUP(AM14,Programa!$AF$35:$AG$50,2,0)="","",VLOOKUP(AM14,Programa!$AA$35:$AB$50,2,0)),""))</f>
        <v/>
      </c>
      <c r="AP14" s="70">
        <v>11</v>
      </c>
      <c r="AQ14" s="91" t="str">
        <f>IF(ISBLANK(STUD!B12)," ",STUD!B12)</f>
        <v xml:space="preserve"> </v>
      </c>
      <c r="AR14" s="91">
        <f>IFERROR(VLOOKUP(AQ14,Lunes!$AF$4:$AG$31,2,0),0)</f>
        <v>0</v>
      </c>
      <c r="AS14" s="91">
        <f>IFERROR(VLOOKUP(AQ14,Martes!$AF$4:$AH$31,2,0),0)</f>
        <v>0</v>
      </c>
      <c r="AT14" s="91">
        <f>IFERROR(VLOOKUP(AQ14,Miercoles!$AF$4:$AG$31,2,0),0)</f>
        <v>0</v>
      </c>
      <c r="AU14" s="91">
        <f>IFERROR(VLOOKUP(AQ14,Jueves!$AF$4:$AG$26,2,0),0)</f>
        <v>0</v>
      </c>
      <c r="AV14" s="91">
        <f>IFERROR(VLOOKUP(AQ14,Viernes!$AF$4:$AG$31,2,0),0)</f>
        <v>0</v>
      </c>
      <c r="AW14" s="91">
        <f>IFERROR(VLOOKUP(AQ14,Sabado!$AF$4:$AG$31,2,0),0)</f>
        <v>0</v>
      </c>
      <c r="AX14" s="91">
        <f t="shared" si="4"/>
        <v>0</v>
      </c>
      <c r="AY14" s="91">
        <f t="shared" si="5"/>
        <v>0</v>
      </c>
      <c r="AZ14" s="91">
        <f t="shared" si="10"/>
        <v>180.5</v>
      </c>
      <c r="BB14" s="70">
        <v>11</v>
      </c>
      <c r="BC14" s="91" t="str">
        <f>IF(ISBLANK(STUD!B12)," ",STUD!B12)</f>
        <v xml:space="preserve"> </v>
      </c>
      <c r="BD14" s="91">
        <f>IFERROR(VLOOKUP(BC14,Sabado!$AF$4:$AG$31,2,0),0)</f>
        <v>0</v>
      </c>
      <c r="BE14" s="91">
        <f t="shared" si="6"/>
        <v>0</v>
      </c>
      <c r="BF14" s="91">
        <f t="shared" si="7"/>
        <v>0</v>
      </c>
      <c r="BG14" s="91">
        <f t="shared" si="11"/>
        <v>0</v>
      </c>
    </row>
    <row r="15" spans="1:59" ht="15.75" customHeight="1" x14ac:dyDescent="0.4">
      <c r="A15" s="252">
        <f>+A13+1</f>
        <v>6</v>
      </c>
      <c r="B15" s="253" t="str">
        <f>+STUD!B7</f>
        <v>ALF</v>
      </c>
      <c r="C15" s="244">
        <f>SUM(D16:AB16)</f>
        <v>0</v>
      </c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29"/>
      <c r="O15" s="129"/>
      <c r="P15" s="129"/>
      <c r="Q15" s="129"/>
      <c r="R15" s="129"/>
      <c r="S15" s="129"/>
      <c r="T15" s="129"/>
      <c r="U15" s="129"/>
      <c r="V15" s="129"/>
      <c r="W15" s="129"/>
      <c r="X15" s="129"/>
      <c r="Y15" s="129"/>
      <c r="Z15" s="129"/>
      <c r="AA15" s="129"/>
      <c r="AB15" s="129"/>
      <c r="AC15" s="243">
        <f>SUM(D16:AB16)</f>
        <v>0</v>
      </c>
      <c r="AE15" s="71">
        <v>12</v>
      </c>
      <c r="AF15" s="91" t="str">
        <f>IF(ISBLANK(STUD!B13)," ",STUD!B13)</f>
        <v xml:space="preserve"> </v>
      </c>
      <c r="AG15" s="91">
        <f t="shared" si="0"/>
        <v>0</v>
      </c>
      <c r="AH15" s="92">
        <f t="shared" si="8"/>
        <v>0</v>
      </c>
      <c r="AI15" s="88" t="str">
        <f t="shared" si="1"/>
        <v xml:space="preserve"> </v>
      </c>
      <c r="AJ15" s="53" t="str">
        <f>IF(AI15="","",IFERROR(IF(VLOOKUP(AI15,Programa!$AF$3:$AG$18,2,0)="","",VLOOKUP(AI15,Programa!$AF$3:$AG$18,2,0)),""))</f>
        <v/>
      </c>
      <c r="AK15" s="53" t="str">
        <f t="shared" si="2"/>
        <v xml:space="preserve"> </v>
      </c>
      <c r="AL15" s="53" t="str">
        <f>IF(AK15="","",IFERROR(IF(VLOOKUP(AK15,Programa!$AF$19:$AG$34,2,0)="","",VLOOKUP(AK15,Programa!$AA$19:$AB$34,2,0)),""))</f>
        <v/>
      </c>
      <c r="AM15" s="53" t="str">
        <f t="shared" si="3"/>
        <v xml:space="preserve"> </v>
      </c>
      <c r="AN15" s="53" t="str">
        <f>IF(AM15="","",IFERROR(IF(VLOOKUP(AM15,Programa!$AF$35:$AG$50,2,0)="","",VLOOKUP(AM15,Programa!$AA$35:$AB$50,2,0)),""))</f>
        <v/>
      </c>
      <c r="AP15" s="71">
        <v>12</v>
      </c>
      <c r="AQ15" s="91" t="str">
        <f>IF(ISBLANK(STUD!B13)," ",STUD!B13)</f>
        <v xml:space="preserve"> </v>
      </c>
      <c r="AR15" s="91">
        <f>IFERROR(VLOOKUP(AQ15,Lunes!$AF$4:$AG$31,2,0),0)</f>
        <v>0</v>
      </c>
      <c r="AS15" s="91">
        <f>IFERROR(VLOOKUP(AQ15,Martes!$AF$4:$AH$31,2,0),0)</f>
        <v>0</v>
      </c>
      <c r="AT15" s="91">
        <f>IFERROR(VLOOKUP(AQ15,Miercoles!$AF$4:$AG$31,2,0),0)</f>
        <v>0</v>
      </c>
      <c r="AU15" s="91">
        <f>IFERROR(VLOOKUP(AQ15,Jueves!$AF$4:$AG$26,2,0),0)</f>
        <v>0</v>
      </c>
      <c r="AV15" s="91">
        <f>IFERROR(VLOOKUP(AQ15,Viernes!$AF$4:$AG$31,2,0),0)</f>
        <v>0</v>
      </c>
      <c r="AW15" s="91">
        <f>IFERROR(VLOOKUP(AQ15,Sabado!$AF$4:$AG$31,2,0),0)</f>
        <v>0</v>
      </c>
      <c r="AX15" s="91">
        <f t="shared" si="4"/>
        <v>0</v>
      </c>
      <c r="AY15" s="91">
        <f t="shared" si="5"/>
        <v>0</v>
      </c>
      <c r="AZ15" s="91">
        <f t="shared" si="10"/>
        <v>180.5</v>
      </c>
      <c r="BB15" s="71">
        <v>12</v>
      </c>
      <c r="BC15" s="91" t="str">
        <f>IF(ISBLANK(STUD!B13)," ",STUD!B13)</f>
        <v xml:space="preserve"> </v>
      </c>
      <c r="BD15" s="91">
        <f>IFERROR(VLOOKUP(BC15,Sabado!$AF$4:$AG$31,2,0),0)</f>
        <v>0</v>
      </c>
      <c r="BE15" s="91">
        <f t="shared" si="6"/>
        <v>0</v>
      </c>
      <c r="BF15" s="91">
        <f t="shared" si="7"/>
        <v>0</v>
      </c>
      <c r="BG15" s="91">
        <f t="shared" si="11"/>
        <v>0</v>
      </c>
    </row>
    <row r="16" spans="1:59" ht="15" customHeight="1" x14ac:dyDescent="0.4">
      <c r="A16" s="242"/>
      <c r="B16" s="253"/>
      <c r="C16" s="245"/>
      <c r="D16" s="138">
        <f t="shared" ref="D16:AB16" si="16">IF(IFERROR(IF(VLOOKUP(D15,D$151:D$155,1,0)&gt;=1,D$150,0),D15)=D$132,D$136,IF(IFERROR(IF(VLOOKUP(D15,D$151:D$155,1,0)&gt;=1,D$150,0),D15)=D$139,D$142,IF(IFERROR(IF(VLOOKUP(D15,D$151:D$155,1,0)&gt;=1,D$150,0),D15)=D$145,D$147,0)))</f>
        <v>0</v>
      </c>
      <c r="E16" s="138">
        <f t="shared" si="16"/>
        <v>0</v>
      </c>
      <c r="F16" s="138">
        <f t="shared" si="16"/>
        <v>0</v>
      </c>
      <c r="G16" s="138">
        <f t="shared" si="16"/>
        <v>0</v>
      </c>
      <c r="H16" s="138">
        <f t="shared" si="16"/>
        <v>0</v>
      </c>
      <c r="I16" s="138">
        <f t="shared" si="16"/>
        <v>0</v>
      </c>
      <c r="J16" s="138">
        <f t="shared" si="16"/>
        <v>0</v>
      </c>
      <c r="K16" s="138">
        <f t="shared" si="16"/>
        <v>0</v>
      </c>
      <c r="L16" s="138">
        <f t="shared" si="16"/>
        <v>0</v>
      </c>
      <c r="M16" s="138">
        <f t="shared" si="16"/>
        <v>0</v>
      </c>
      <c r="N16" s="138">
        <f t="shared" si="16"/>
        <v>0</v>
      </c>
      <c r="O16" s="138">
        <f t="shared" si="16"/>
        <v>0</v>
      </c>
      <c r="P16" s="138">
        <f t="shared" si="16"/>
        <v>0</v>
      </c>
      <c r="Q16" s="138">
        <f t="shared" si="16"/>
        <v>0</v>
      </c>
      <c r="R16" s="138">
        <f t="shared" si="16"/>
        <v>0</v>
      </c>
      <c r="S16" s="138">
        <f t="shared" si="16"/>
        <v>0</v>
      </c>
      <c r="T16" s="138">
        <f t="shared" si="16"/>
        <v>0</v>
      </c>
      <c r="U16" s="138">
        <f t="shared" si="16"/>
        <v>0</v>
      </c>
      <c r="V16" s="138">
        <f t="shared" si="16"/>
        <v>0</v>
      </c>
      <c r="W16" s="138">
        <f t="shared" si="16"/>
        <v>0</v>
      </c>
      <c r="X16" s="138">
        <f t="shared" si="16"/>
        <v>0</v>
      </c>
      <c r="Y16" s="138">
        <f t="shared" si="16"/>
        <v>0</v>
      </c>
      <c r="Z16" s="138">
        <f t="shared" si="16"/>
        <v>0</v>
      </c>
      <c r="AA16" s="138">
        <f t="shared" si="16"/>
        <v>0</v>
      </c>
      <c r="AB16" s="138">
        <f t="shared" si="16"/>
        <v>0</v>
      </c>
      <c r="AC16" s="243"/>
      <c r="AE16" s="72">
        <v>13</v>
      </c>
      <c r="AF16" s="91" t="str">
        <f>IF(ISBLANK(STUD!B14)," ",STUD!B14)</f>
        <v xml:space="preserve"> </v>
      </c>
      <c r="AG16" s="91">
        <f t="shared" si="0"/>
        <v>0</v>
      </c>
      <c r="AH16" s="92">
        <f t="shared" si="8"/>
        <v>0</v>
      </c>
      <c r="AI16" s="88" t="str">
        <f t="shared" si="1"/>
        <v xml:space="preserve"> </v>
      </c>
      <c r="AJ16" s="53" t="str">
        <f>IF(AI16="","",IFERROR(IF(VLOOKUP(AI16,Programa!$AF$3:$AG$18,2,0)="","",VLOOKUP(AI16,Programa!$AF$3:$AG$18,2,0)),""))</f>
        <v/>
      </c>
      <c r="AK16" s="53" t="str">
        <f t="shared" si="2"/>
        <v xml:space="preserve"> </v>
      </c>
      <c r="AL16" s="53" t="str">
        <f>IF(AK16="","",IFERROR(IF(VLOOKUP(AK16,Programa!$AF$19:$AG$34,2,0)="","",VLOOKUP(AK16,Programa!$AA$19:$AB$34,2,0)),""))</f>
        <v/>
      </c>
      <c r="AM16" s="53" t="str">
        <f t="shared" si="3"/>
        <v xml:space="preserve"> </v>
      </c>
      <c r="AN16" s="53" t="str">
        <f>IF(AM16="","",IFERROR(IF(VLOOKUP(AM16,Programa!$AF$35:$AG$50,2,0)="","",VLOOKUP(AM16,Programa!$AA$35:$AB$50,2,0)),""))</f>
        <v/>
      </c>
      <c r="AP16" s="72">
        <v>13</v>
      </c>
      <c r="AQ16" s="91" t="str">
        <f>IF(ISBLANK(STUD!B14)," ",STUD!B14)</f>
        <v xml:space="preserve"> </v>
      </c>
      <c r="AR16" s="91">
        <f>IFERROR(VLOOKUP(AQ16,Lunes!$AF$4:$AG$31,2,0),0)</f>
        <v>0</v>
      </c>
      <c r="AS16" s="91">
        <f>IFERROR(VLOOKUP(AQ16,Martes!$AF$4:$AH$31,2,0),0)</f>
        <v>0</v>
      </c>
      <c r="AT16" s="91">
        <f>IFERROR(VLOOKUP(AQ16,Miercoles!$AF$4:$AG$31,2,0),0)</f>
        <v>0</v>
      </c>
      <c r="AU16" s="91">
        <f>IFERROR(VLOOKUP(AQ16,Jueves!$AF$4:$AG$26,2,0),0)</f>
        <v>0</v>
      </c>
      <c r="AV16" s="91">
        <f>IFERROR(VLOOKUP(AQ16,Viernes!$AF$4:$AG$31,2,0),0)</f>
        <v>0</v>
      </c>
      <c r="AW16" s="91">
        <f>IFERROR(VLOOKUP(AQ16,Sabado!$AF$4:$AG$31,2,0),0)</f>
        <v>0</v>
      </c>
      <c r="AX16" s="91">
        <f t="shared" si="4"/>
        <v>0</v>
      </c>
      <c r="AY16" s="91">
        <f t="shared" si="5"/>
        <v>0</v>
      </c>
      <c r="AZ16" s="91">
        <f t="shared" si="10"/>
        <v>180.5</v>
      </c>
      <c r="BB16" s="72">
        <v>13</v>
      </c>
      <c r="BC16" s="91" t="str">
        <f>IF(ISBLANK(STUD!B14)," ",STUD!B14)</f>
        <v xml:space="preserve"> </v>
      </c>
      <c r="BD16" s="91">
        <f>IFERROR(VLOOKUP(BC16,Sabado!$AF$4:$AG$31,2,0),0)</f>
        <v>0</v>
      </c>
      <c r="BE16" s="91">
        <f t="shared" si="6"/>
        <v>0</v>
      </c>
      <c r="BF16" s="91">
        <f t="shared" si="7"/>
        <v>0</v>
      </c>
      <c r="BG16" s="91">
        <f t="shared" si="11"/>
        <v>0</v>
      </c>
    </row>
    <row r="17" spans="1:59" ht="15.75" customHeight="1" x14ac:dyDescent="0.4">
      <c r="A17" s="252">
        <f>+A15+1</f>
        <v>7</v>
      </c>
      <c r="B17" s="253" t="str">
        <f>+STUD!B8</f>
        <v>MIS SOBRINOS</v>
      </c>
      <c r="C17" s="244">
        <f>SUM(D18:AB18)</f>
        <v>0</v>
      </c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243">
        <f>SUM(D18:AB18)</f>
        <v>0</v>
      </c>
      <c r="AE17" s="73">
        <v>14</v>
      </c>
      <c r="AF17" s="91" t="str">
        <f>IF(ISBLANK(STUD!B15)," ",STUD!B15)</f>
        <v xml:space="preserve"> </v>
      </c>
      <c r="AG17" s="91">
        <f t="shared" si="0"/>
        <v>0</v>
      </c>
      <c r="AH17" s="92">
        <f t="shared" si="8"/>
        <v>0</v>
      </c>
      <c r="AI17" s="88" t="str">
        <f t="shared" si="1"/>
        <v xml:space="preserve"> </v>
      </c>
      <c r="AJ17" s="53" t="str">
        <f>IF(AI17="","",IFERROR(IF(VLOOKUP(AI17,Programa!$AF$3:$AG$18,2,0)="","",VLOOKUP(AI17,Programa!$AF$3:$AG$18,2,0)),""))</f>
        <v/>
      </c>
      <c r="AK17" s="53" t="str">
        <f t="shared" si="2"/>
        <v xml:space="preserve"> </v>
      </c>
      <c r="AL17" s="53" t="str">
        <f>IF(AK17="","",IFERROR(IF(VLOOKUP(AK17,Programa!$AF$19:$AG$34,2,0)="","",VLOOKUP(AK17,Programa!$AA$19:$AB$34,2,0)),""))</f>
        <v/>
      </c>
      <c r="AM17" s="53" t="str">
        <f t="shared" si="3"/>
        <v xml:space="preserve"> </v>
      </c>
      <c r="AN17" s="53" t="str">
        <f>IF(AM17="","",IFERROR(IF(VLOOKUP(AM17,Programa!$AF$35:$AG$50,2,0)="","",VLOOKUP(AM17,Programa!$AA$35:$AB$50,2,0)),""))</f>
        <v/>
      </c>
      <c r="AP17" s="73">
        <v>14</v>
      </c>
      <c r="AQ17" s="91" t="str">
        <f>IF(ISBLANK(STUD!B15)," ",STUD!B15)</f>
        <v xml:space="preserve"> </v>
      </c>
      <c r="AR17" s="91">
        <f>IFERROR(VLOOKUP(AQ17,Lunes!$AF$4:$AG$31,2,0),0)</f>
        <v>0</v>
      </c>
      <c r="AS17" s="91">
        <f>IFERROR(VLOOKUP(AQ17,Martes!$AF$4:$AH$31,2,0),0)</f>
        <v>0</v>
      </c>
      <c r="AT17" s="91">
        <f>IFERROR(VLOOKUP(AQ17,Miercoles!$AF$4:$AG$31,2,0),0)</f>
        <v>0</v>
      </c>
      <c r="AU17" s="91">
        <f>IFERROR(VLOOKUP(AQ17,Jueves!$AF$4:$AG$26,2,0),0)</f>
        <v>0</v>
      </c>
      <c r="AV17" s="91">
        <f>IFERROR(VLOOKUP(AQ17,Viernes!$AF$4:$AG$31,2,0),0)</f>
        <v>0</v>
      </c>
      <c r="AW17" s="91">
        <f>IFERROR(VLOOKUP(AQ17,Sabado!$AF$4:$AG$31,2,0),0)</f>
        <v>0</v>
      </c>
      <c r="AX17" s="91">
        <f t="shared" si="4"/>
        <v>0</v>
      </c>
      <c r="AY17" s="91">
        <f t="shared" si="5"/>
        <v>0</v>
      </c>
      <c r="AZ17" s="91">
        <f t="shared" si="10"/>
        <v>180.5</v>
      </c>
      <c r="BB17" s="73">
        <v>14</v>
      </c>
      <c r="BC17" s="91" t="str">
        <f>IF(ISBLANK(STUD!B15)," ",STUD!B15)</f>
        <v xml:space="preserve"> </v>
      </c>
      <c r="BD17" s="91">
        <f>IFERROR(VLOOKUP(BC17,Sabado!$AF$4:$AG$31,2,0),0)</f>
        <v>0</v>
      </c>
      <c r="BE17" s="91">
        <f t="shared" si="6"/>
        <v>0</v>
      </c>
      <c r="BF17" s="91">
        <f t="shared" si="7"/>
        <v>0</v>
      </c>
      <c r="BG17" s="91">
        <f t="shared" si="11"/>
        <v>0</v>
      </c>
    </row>
    <row r="18" spans="1:59" ht="15.75" customHeight="1" x14ac:dyDescent="0.4">
      <c r="A18" s="242"/>
      <c r="B18" s="253"/>
      <c r="C18" s="245"/>
      <c r="D18" s="138">
        <f t="shared" ref="D18:AB18" si="17">IF(IFERROR(IF(VLOOKUP(D17,D$151:D$155,1,0)&gt;=1,D$150,0),D17)=D$132,D$136,IF(IFERROR(IF(VLOOKUP(D17,D$151:D$155,1,0)&gt;=1,D$150,0),D17)=D$139,D$142,IF(IFERROR(IF(VLOOKUP(D17,D$151:D$155,1,0)&gt;=1,D$150,0),D17)=D$145,D$147,0)))</f>
        <v>0</v>
      </c>
      <c r="E18" s="138">
        <f t="shared" si="17"/>
        <v>0</v>
      </c>
      <c r="F18" s="138">
        <f t="shared" si="17"/>
        <v>0</v>
      </c>
      <c r="G18" s="138">
        <f t="shared" si="17"/>
        <v>0</v>
      </c>
      <c r="H18" s="138">
        <f t="shared" si="17"/>
        <v>0</v>
      </c>
      <c r="I18" s="138">
        <f t="shared" si="17"/>
        <v>0</v>
      </c>
      <c r="J18" s="138">
        <f t="shared" si="17"/>
        <v>0</v>
      </c>
      <c r="K18" s="138">
        <f t="shared" si="17"/>
        <v>0</v>
      </c>
      <c r="L18" s="138">
        <f t="shared" si="17"/>
        <v>0</v>
      </c>
      <c r="M18" s="138">
        <f t="shared" si="17"/>
        <v>0</v>
      </c>
      <c r="N18" s="138">
        <f t="shared" si="17"/>
        <v>0</v>
      </c>
      <c r="O18" s="138">
        <f t="shared" si="17"/>
        <v>0</v>
      </c>
      <c r="P18" s="138">
        <f t="shared" si="17"/>
        <v>0</v>
      </c>
      <c r="Q18" s="138">
        <f t="shared" si="17"/>
        <v>0</v>
      </c>
      <c r="R18" s="138">
        <f t="shared" si="17"/>
        <v>0</v>
      </c>
      <c r="S18" s="138">
        <f t="shared" si="17"/>
        <v>0</v>
      </c>
      <c r="T18" s="138">
        <f t="shared" si="17"/>
        <v>0</v>
      </c>
      <c r="U18" s="138">
        <f t="shared" si="17"/>
        <v>0</v>
      </c>
      <c r="V18" s="138">
        <f t="shared" si="17"/>
        <v>0</v>
      </c>
      <c r="W18" s="138">
        <f t="shared" si="17"/>
        <v>0</v>
      </c>
      <c r="X18" s="138">
        <f t="shared" si="17"/>
        <v>0</v>
      </c>
      <c r="Y18" s="138">
        <f t="shared" si="17"/>
        <v>0</v>
      </c>
      <c r="Z18" s="138">
        <f t="shared" si="17"/>
        <v>0</v>
      </c>
      <c r="AA18" s="138">
        <f t="shared" si="17"/>
        <v>0</v>
      </c>
      <c r="AB18" s="138">
        <f t="shared" si="17"/>
        <v>0</v>
      </c>
      <c r="AC18" s="243"/>
      <c r="AE18" s="74">
        <v>15</v>
      </c>
      <c r="AF18" s="91" t="str">
        <f>IF(ISBLANK(STUD!B16)," ",STUD!B16)</f>
        <v xml:space="preserve"> </v>
      </c>
      <c r="AG18" s="91">
        <f t="shared" si="0"/>
        <v>0</v>
      </c>
      <c r="AH18" s="92">
        <f t="shared" si="8"/>
        <v>0</v>
      </c>
      <c r="AI18" s="88" t="str">
        <f t="shared" si="1"/>
        <v xml:space="preserve"> </v>
      </c>
      <c r="AJ18" s="53" t="str">
        <f>IF(AI18="","",IFERROR(IF(VLOOKUP(AI18,Programa!$AF$3:$AG$18,2,0)="","",VLOOKUP(AI18,Programa!$AF$3:$AG$18,2,0)),""))</f>
        <v/>
      </c>
      <c r="AK18" s="53" t="str">
        <f t="shared" si="2"/>
        <v xml:space="preserve"> </v>
      </c>
      <c r="AL18" s="53" t="str">
        <f>IF(AK18="","",IFERROR(IF(VLOOKUP(AK18,Programa!$AF$19:$AG$34,2,0)="","",VLOOKUP(AK18,Programa!$AA$19:$AB$34,2,0)),""))</f>
        <v/>
      </c>
      <c r="AM18" s="53" t="str">
        <f t="shared" si="3"/>
        <v xml:space="preserve"> </v>
      </c>
      <c r="AN18" s="53" t="str">
        <f>IF(AM18="","",IFERROR(IF(VLOOKUP(AM18,Programa!$AF$35:$AG$50,2,0)="","",VLOOKUP(AM18,Programa!$AA$35:$AB$50,2,0)),""))</f>
        <v/>
      </c>
      <c r="AP18" s="74">
        <v>15</v>
      </c>
      <c r="AQ18" s="91" t="str">
        <f>IF(ISBLANK(STUD!B16)," ",STUD!B16)</f>
        <v xml:space="preserve"> </v>
      </c>
      <c r="AR18" s="91">
        <f>IFERROR(VLOOKUP(AQ18,Lunes!$AF$4:$AG$31,2,0),0)</f>
        <v>0</v>
      </c>
      <c r="AS18" s="91">
        <f>IFERROR(VLOOKUP(AQ18,Martes!$AF$4:$AH$31,2,0),0)</f>
        <v>0</v>
      </c>
      <c r="AT18" s="91">
        <f>IFERROR(VLOOKUP(AQ18,Miercoles!$AF$4:$AG$31,2,0),0)</f>
        <v>0</v>
      </c>
      <c r="AU18" s="91">
        <f>IFERROR(VLOOKUP(AQ18,Jueves!$AF$4:$AG$26,2,0),0)</f>
        <v>0</v>
      </c>
      <c r="AV18" s="91">
        <f>IFERROR(VLOOKUP(AQ18,Viernes!$AF$4:$AG$31,2,0),0)</f>
        <v>0</v>
      </c>
      <c r="AW18" s="91">
        <f>IFERROR(VLOOKUP(AQ18,Sabado!$AF$4:$AG$31,2,0),0)</f>
        <v>0</v>
      </c>
      <c r="AX18" s="91">
        <f t="shared" si="4"/>
        <v>0</v>
      </c>
      <c r="AY18" s="91">
        <f t="shared" si="5"/>
        <v>0</v>
      </c>
      <c r="AZ18" s="91">
        <f t="shared" si="10"/>
        <v>180.5</v>
      </c>
      <c r="BB18" s="74">
        <v>15</v>
      </c>
      <c r="BC18" s="91" t="str">
        <f>IF(ISBLANK(STUD!B16)," ",STUD!B16)</f>
        <v xml:space="preserve"> </v>
      </c>
      <c r="BD18" s="91">
        <f>IFERROR(VLOOKUP(BC18,Sabado!$AF$4:$AG$31,2,0),0)</f>
        <v>0</v>
      </c>
      <c r="BE18" s="91">
        <f t="shared" si="6"/>
        <v>0</v>
      </c>
      <c r="BF18" s="91">
        <f t="shared" si="7"/>
        <v>0</v>
      </c>
      <c r="BG18" s="91">
        <f t="shared" si="11"/>
        <v>0</v>
      </c>
    </row>
    <row r="19" spans="1:59" ht="15.75" hidden="1" customHeight="1" x14ac:dyDescent="0.4">
      <c r="A19" s="252">
        <f>+A17+1</f>
        <v>8</v>
      </c>
      <c r="B19" s="253" t="str">
        <f>+STUD!B9</f>
        <v>SERVIFRENOS</v>
      </c>
      <c r="C19" s="244">
        <f>SUM(D20:AB20)</f>
        <v>0</v>
      </c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243">
        <f>SUM(D20:AB20)</f>
        <v>0</v>
      </c>
      <c r="AE19" s="75">
        <v>16</v>
      </c>
      <c r="AF19" s="91" t="str">
        <f>IF(ISBLANK(STUD!B17)," ",STUD!B17)</f>
        <v xml:space="preserve"> </v>
      </c>
      <c r="AG19" s="91">
        <f t="shared" ref="AG19:AG31" si="18">IFERROR(VLOOKUP(AF19,$B$5:$C$68,2,0),0)</f>
        <v>0</v>
      </c>
      <c r="AH19" s="92">
        <f t="shared" si="8"/>
        <v>0</v>
      </c>
      <c r="AI19" s="88" t="str">
        <f t="shared" si="1"/>
        <v xml:space="preserve"> </v>
      </c>
      <c r="AJ19" s="53" t="str">
        <f>IF(AI19="","",IFERROR(IF(VLOOKUP(AI19,Programa!$AF$3:$AG$18,2,0)="","",VLOOKUP(AI19,Programa!$AF$3:$AG$18,2,0)),""))</f>
        <v/>
      </c>
      <c r="AK19" s="53" t="str">
        <f t="shared" si="2"/>
        <v xml:space="preserve"> </v>
      </c>
      <c r="AL19" s="53" t="str">
        <f>IF(AK19="","",IFERROR(IF(VLOOKUP(AK19,Programa!$AF$19:$AG$34,2,0)="","",VLOOKUP(AK19,Programa!$AA$19:$AB$34,2,0)),""))</f>
        <v/>
      </c>
      <c r="AM19" s="53" t="str">
        <f t="shared" si="3"/>
        <v xml:space="preserve"> </v>
      </c>
      <c r="AN19" s="53" t="str">
        <f>IF(AM19="","",IFERROR(IF(VLOOKUP(AM19,Programa!$AF$35:$AG$50,2,0)="","",VLOOKUP(AM19,Programa!$AA$35:$AB$50,2,0)),""))</f>
        <v/>
      </c>
      <c r="AP19" s="75">
        <v>16</v>
      </c>
      <c r="AQ19" s="91" t="str">
        <f>IF(ISBLANK(STUD!B17)," ",STUD!B17)</f>
        <v xml:space="preserve"> </v>
      </c>
      <c r="AR19" s="91">
        <f>IFERROR(VLOOKUP(AQ19,Lunes!$AF$4:$AG$31,2,0),0)</f>
        <v>0</v>
      </c>
      <c r="AS19" s="91">
        <f>IFERROR(VLOOKUP(AQ19,Martes!$AF$4:$AH$31,2,0),0)</f>
        <v>0</v>
      </c>
      <c r="AT19" s="91">
        <f>IFERROR(VLOOKUP(AQ19,Miercoles!$AF$4:$AG$31,2,0),0)</f>
        <v>0</v>
      </c>
      <c r="AU19" s="91">
        <f>IFERROR(VLOOKUP(AQ19,Jueves!$AF$4:$AG$26,2,0),0)</f>
        <v>0</v>
      </c>
      <c r="AV19" s="91">
        <f>IFERROR(VLOOKUP(AQ19,Viernes!$AF$4:$AG$31,2,0),0)</f>
        <v>0</v>
      </c>
      <c r="AW19" s="91">
        <f>IFERROR(VLOOKUP(AQ19,Sabado!$AF$4:$AG$31,2,0),0)</f>
        <v>0</v>
      </c>
      <c r="AX19" s="91">
        <f t="shared" ref="AX19:AX31" si="19">IFERROR(VLOOKUP(AQ19,$B$5:$C$68,2,0),0)</f>
        <v>0</v>
      </c>
      <c r="AY19" s="91">
        <f t="shared" ref="AY19:AY31" si="20">SUM(AR19:AX19)</f>
        <v>0</v>
      </c>
      <c r="AZ19" s="91">
        <f t="shared" si="10"/>
        <v>180.5</v>
      </c>
      <c r="BB19" s="75">
        <v>16</v>
      </c>
      <c r="BC19" s="91" t="str">
        <f>IF(ISBLANK(STUD!B17)," ",STUD!B17)</f>
        <v xml:space="preserve"> </v>
      </c>
      <c r="BD19" s="91">
        <f>IFERROR(VLOOKUP(BC19,Sabado!$AF$4:$AG$31,2,0),0)</f>
        <v>0</v>
      </c>
      <c r="BE19" s="91">
        <f t="shared" ref="BE19:BE31" si="21">IFERROR(VLOOKUP(BC19,$B$5:$C$68,2,0),0)</f>
        <v>0</v>
      </c>
      <c r="BF19" s="91">
        <f t="shared" ref="BF19:BF31" si="22">SUM(BD19:BE19)</f>
        <v>0</v>
      </c>
      <c r="BG19" s="91">
        <f t="shared" si="11"/>
        <v>0</v>
      </c>
    </row>
    <row r="20" spans="1:59" ht="15.75" hidden="1" customHeight="1" x14ac:dyDescent="0.4">
      <c r="A20" s="242"/>
      <c r="B20" s="253"/>
      <c r="C20" s="245"/>
      <c r="D20" s="127">
        <f t="shared" ref="D20:AB20" si="23">IF(IFERROR(IF(VLOOKUP(D19,D$151:D$155,1,0)&gt;=1,D$150,0),D19)=D$132,D$136,IF(IFERROR(IF(VLOOKUP(D19,D$151:D$155,1,0)&gt;=1,D$150,0),D19)=D$139,D$142,IF(IFERROR(IF(VLOOKUP(D19,D$151:D$155,1,0)&gt;=1,D$150,0),D19)=D$145,D$147,0)))</f>
        <v>0</v>
      </c>
      <c r="E20" s="127">
        <f t="shared" si="23"/>
        <v>0</v>
      </c>
      <c r="F20" s="127">
        <f t="shared" si="23"/>
        <v>0</v>
      </c>
      <c r="G20" s="127">
        <f t="shared" si="23"/>
        <v>0</v>
      </c>
      <c r="H20" s="127">
        <f t="shared" si="23"/>
        <v>0</v>
      </c>
      <c r="I20" s="127">
        <f t="shared" si="23"/>
        <v>0</v>
      </c>
      <c r="J20" s="127">
        <f t="shared" si="23"/>
        <v>0</v>
      </c>
      <c r="K20" s="127">
        <f t="shared" si="23"/>
        <v>0</v>
      </c>
      <c r="L20" s="127">
        <f t="shared" si="23"/>
        <v>0</v>
      </c>
      <c r="M20" s="127">
        <f t="shared" si="23"/>
        <v>0</v>
      </c>
      <c r="N20" s="127">
        <f t="shared" si="23"/>
        <v>0</v>
      </c>
      <c r="O20" s="127">
        <f t="shared" si="23"/>
        <v>0</v>
      </c>
      <c r="P20" s="127">
        <f>IF(IFERROR(IF(VLOOKUP(P19,P$151:P$155,1,0)&gt;=1,P$150,0),P19)=P$132,P$136,IF(IFERROR(IF(VLOOKUP(P19,P$151:P$155,1,0)&gt;=1,P$150,0),P19)=P$139,P$142,IF(IFERROR(IF(VLOOKUP(P19,P$151:P$155,1,0)&gt;=1,P$150,0),P19)=P$145,P$147,0)))</f>
        <v>0</v>
      </c>
      <c r="Q20" s="127">
        <f t="shared" si="23"/>
        <v>0</v>
      </c>
      <c r="R20" s="127">
        <f t="shared" si="23"/>
        <v>0</v>
      </c>
      <c r="S20" s="127">
        <f t="shared" si="23"/>
        <v>0</v>
      </c>
      <c r="T20" s="127">
        <f t="shared" si="23"/>
        <v>0</v>
      </c>
      <c r="U20" s="127">
        <f t="shared" si="23"/>
        <v>0</v>
      </c>
      <c r="V20" s="127">
        <f t="shared" si="23"/>
        <v>0</v>
      </c>
      <c r="W20" s="127">
        <f t="shared" si="23"/>
        <v>0</v>
      </c>
      <c r="X20" s="127">
        <f t="shared" si="23"/>
        <v>0</v>
      </c>
      <c r="Y20" s="127">
        <f t="shared" si="23"/>
        <v>0</v>
      </c>
      <c r="Z20" s="127">
        <f t="shared" si="23"/>
        <v>0</v>
      </c>
      <c r="AA20" s="127">
        <f t="shared" si="23"/>
        <v>0</v>
      </c>
      <c r="AB20" s="127">
        <f t="shared" si="23"/>
        <v>0</v>
      </c>
      <c r="AC20" s="243"/>
      <c r="AE20" s="76">
        <v>17</v>
      </c>
      <c r="AF20" s="91" t="str">
        <f>IF(ISBLANK(STUD!B18)," ",STUD!B18)</f>
        <v xml:space="preserve"> </v>
      </c>
      <c r="AG20" s="91">
        <f t="shared" si="18"/>
        <v>0</v>
      </c>
      <c r="AH20" s="92">
        <f t="shared" si="8"/>
        <v>0</v>
      </c>
      <c r="AI20" s="88" t="str">
        <f t="shared" si="1"/>
        <v xml:space="preserve"> </v>
      </c>
      <c r="AJ20" s="53" t="str">
        <f>IF(AI20="","",IFERROR(IF(VLOOKUP(AI20,Programa!$AF$3:$AG$18,2,0)="","",VLOOKUP(AI20,Programa!$AF$3:$AG$18,2,0)),""))</f>
        <v/>
      </c>
      <c r="AK20" s="53" t="str">
        <f t="shared" si="2"/>
        <v xml:space="preserve"> </v>
      </c>
      <c r="AL20" s="53" t="str">
        <f>IF(AK20="","",IFERROR(IF(VLOOKUP(AK20,Programa!$AF$19:$AG$34,2,0)="","",VLOOKUP(AK20,Programa!$AA$19:$AB$34,2,0)),""))</f>
        <v/>
      </c>
      <c r="AM20" s="53" t="str">
        <f t="shared" si="3"/>
        <v xml:space="preserve"> </v>
      </c>
      <c r="AN20" s="53" t="str">
        <f>IF(AM20="","",IFERROR(IF(VLOOKUP(AM20,Programa!$AF$35:$AG$50,2,0)="","",VLOOKUP(AM20,Programa!$AA$35:$AB$50,2,0)),""))</f>
        <v/>
      </c>
      <c r="AP20" s="76">
        <v>17</v>
      </c>
      <c r="AQ20" s="91" t="str">
        <f>IF(ISBLANK(STUD!B18)," ",STUD!B18)</f>
        <v xml:space="preserve"> </v>
      </c>
      <c r="AR20" s="91">
        <f>IFERROR(VLOOKUP(AQ20,Lunes!$AF$4:$AG$31,2,0),0)</f>
        <v>0</v>
      </c>
      <c r="AS20" s="91">
        <f>IFERROR(VLOOKUP(AQ20,Martes!$AF$4:$AH$31,2,0),0)</f>
        <v>0</v>
      </c>
      <c r="AT20" s="91">
        <f>IFERROR(VLOOKUP(AQ20,Miercoles!$AF$4:$AG$31,2,0),0)</f>
        <v>0</v>
      </c>
      <c r="AU20" s="91">
        <f>IFERROR(VLOOKUP(AQ20,Jueves!$AF$4:$AG$26,2,0),0)</f>
        <v>0</v>
      </c>
      <c r="AV20" s="91">
        <f>IFERROR(VLOOKUP(AQ20,Viernes!$AF$4:$AG$31,2,0),0)</f>
        <v>0</v>
      </c>
      <c r="AW20" s="91">
        <f>IFERROR(VLOOKUP(AQ20,Sabado!$AF$4:$AG$31,2,0),0)</f>
        <v>0</v>
      </c>
      <c r="AX20" s="91">
        <f t="shared" si="19"/>
        <v>0</v>
      </c>
      <c r="AY20" s="91">
        <f t="shared" si="20"/>
        <v>0</v>
      </c>
      <c r="AZ20" s="91">
        <f t="shared" si="10"/>
        <v>180.5</v>
      </c>
      <c r="BB20" s="76">
        <v>17</v>
      </c>
      <c r="BC20" s="91" t="str">
        <f>IF(ISBLANK(STUD!B18)," ",STUD!B18)</f>
        <v xml:space="preserve"> </v>
      </c>
      <c r="BD20" s="91">
        <f>IFERROR(VLOOKUP(BC20,Sabado!$AF$4:$AG$31,2,0),0)</f>
        <v>0</v>
      </c>
      <c r="BE20" s="91">
        <f t="shared" si="21"/>
        <v>0</v>
      </c>
      <c r="BF20" s="91">
        <f t="shared" si="22"/>
        <v>0</v>
      </c>
      <c r="BG20" s="91">
        <f t="shared" si="11"/>
        <v>0</v>
      </c>
    </row>
    <row r="21" spans="1:59" ht="15.75" hidden="1" customHeight="1" x14ac:dyDescent="0.4">
      <c r="A21" s="252">
        <f>+A19+1</f>
        <v>9</v>
      </c>
      <c r="B21" s="253" t="str">
        <f>+STUD!B10</f>
        <v>AUMENTA MEDINA</v>
      </c>
      <c r="C21" s="244">
        <f>SUM(D22:AB22)</f>
        <v>0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243">
        <f>SUM(D22:AB22)</f>
        <v>0</v>
      </c>
      <c r="AE21" s="77">
        <v>18</v>
      </c>
      <c r="AF21" s="91" t="str">
        <f>IF(ISBLANK(STUD!B19)," ",STUD!B19)</f>
        <v xml:space="preserve"> </v>
      </c>
      <c r="AG21" s="91">
        <f t="shared" si="18"/>
        <v>0</v>
      </c>
      <c r="AH21" s="92">
        <f t="shared" si="8"/>
        <v>0</v>
      </c>
      <c r="AI21" s="88" t="str">
        <f t="shared" si="1"/>
        <v xml:space="preserve"> </v>
      </c>
      <c r="AJ21" s="53" t="str">
        <f>IF(AI21="","",IFERROR(IF(VLOOKUP(AI21,Programa!$AF$3:$AG$18,2,0)="","",VLOOKUP(AI21,Programa!$AF$3:$AG$18,2,0)),""))</f>
        <v/>
      </c>
      <c r="AK21" s="53" t="str">
        <f t="shared" si="2"/>
        <v xml:space="preserve"> </v>
      </c>
      <c r="AL21" s="53" t="str">
        <f>IF(AK21="","",IFERROR(IF(VLOOKUP(AK21,Programa!$AF$19:$AG$34,2,0)="","",VLOOKUP(AK21,Programa!$AA$19:$AB$34,2,0)),""))</f>
        <v/>
      </c>
      <c r="AM21" s="53" t="str">
        <f t="shared" si="3"/>
        <v xml:space="preserve"> </v>
      </c>
      <c r="AN21" s="53" t="str">
        <f>IF(AM21="","",IFERROR(IF(VLOOKUP(AM21,Programa!$AF$35:$AG$50,2,0)="","",VLOOKUP(AM21,Programa!$AA$35:$AB$50,2,0)),""))</f>
        <v/>
      </c>
      <c r="AP21" s="77">
        <v>18</v>
      </c>
      <c r="AQ21" s="91" t="str">
        <f>IF(ISBLANK(STUD!B19)," ",STUD!B19)</f>
        <v xml:space="preserve"> </v>
      </c>
      <c r="AR21" s="91">
        <f>IFERROR(VLOOKUP(AQ21,Lunes!$AF$4:$AG$31,2,0),0)</f>
        <v>0</v>
      </c>
      <c r="AS21" s="91">
        <f>IFERROR(VLOOKUP(AQ21,Martes!$AF$4:$AH$31,2,0),0)</f>
        <v>0</v>
      </c>
      <c r="AT21" s="91">
        <f>IFERROR(VLOOKUP(AQ21,Miercoles!$AF$4:$AG$31,2,0),0)</f>
        <v>0</v>
      </c>
      <c r="AU21" s="91">
        <f>IFERROR(VLOOKUP(AQ21,Jueves!$AF$4:$AG$26,2,0),0)</f>
        <v>0</v>
      </c>
      <c r="AV21" s="91">
        <f>IFERROR(VLOOKUP(AQ21,Viernes!$AF$4:$AG$31,2,0),0)</f>
        <v>0</v>
      </c>
      <c r="AW21" s="91">
        <f>IFERROR(VLOOKUP(AQ21,Sabado!$AF$4:$AG$31,2,0),0)</f>
        <v>0</v>
      </c>
      <c r="AX21" s="91">
        <f t="shared" si="19"/>
        <v>0</v>
      </c>
      <c r="AY21" s="91">
        <f t="shared" si="20"/>
        <v>0</v>
      </c>
      <c r="AZ21" s="91">
        <f t="shared" si="10"/>
        <v>180.5</v>
      </c>
      <c r="BB21" s="77">
        <v>18</v>
      </c>
      <c r="BC21" s="91" t="str">
        <f>IF(ISBLANK(STUD!B19)," ",STUD!B19)</f>
        <v xml:space="preserve"> </v>
      </c>
      <c r="BD21" s="91">
        <f>IFERROR(VLOOKUP(BC21,Sabado!$AF$4:$AG$31,2,0),0)</f>
        <v>0</v>
      </c>
      <c r="BE21" s="91">
        <f t="shared" si="21"/>
        <v>0</v>
      </c>
      <c r="BF21" s="91">
        <f t="shared" si="22"/>
        <v>0</v>
      </c>
      <c r="BG21" s="91">
        <f t="shared" si="11"/>
        <v>0</v>
      </c>
    </row>
    <row r="22" spans="1:59" ht="15.75" hidden="1" customHeight="1" x14ac:dyDescent="0.4">
      <c r="A22" s="242"/>
      <c r="B22" s="253"/>
      <c r="C22" s="245"/>
      <c r="D22" s="127">
        <f t="shared" ref="D22:AB22" si="24">IF(IFERROR(IF(VLOOKUP(D21,D$151:D$155,1,0)&gt;=1,D$150,0),D21)=D$132,D$136,IF(IFERROR(IF(VLOOKUP(D21,D$151:D$155,1,0)&gt;=1,D$150,0),D21)=D$139,D$142,IF(IFERROR(IF(VLOOKUP(D21,D$151:D$155,1,0)&gt;=1,D$150,0),D21)=D$145,D$147,0)))</f>
        <v>0</v>
      </c>
      <c r="E22" s="127">
        <f t="shared" si="24"/>
        <v>0</v>
      </c>
      <c r="F22" s="127">
        <f t="shared" si="24"/>
        <v>0</v>
      </c>
      <c r="G22" s="127">
        <f t="shared" si="24"/>
        <v>0</v>
      </c>
      <c r="H22" s="127">
        <f t="shared" si="24"/>
        <v>0</v>
      </c>
      <c r="I22" s="127">
        <f t="shared" si="24"/>
        <v>0</v>
      </c>
      <c r="J22" s="127">
        <f t="shared" si="24"/>
        <v>0</v>
      </c>
      <c r="K22" s="127">
        <f t="shared" si="24"/>
        <v>0</v>
      </c>
      <c r="L22" s="127">
        <f t="shared" si="24"/>
        <v>0</v>
      </c>
      <c r="M22" s="127">
        <f t="shared" si="24"/>
        <v>0</v>
      </c>
      <c r="N22" s="127">
        <f t="shared" si="24"/>
        <v>0</v>
      </c>
      <c r="O22" s="127">
        <f t="shared" si="24"/>
        <v>0</v>
      </c>
      <c r="P22" s="127">
        <f t="shared" si="24"/>
        <v>0</v>
      </c>
      <c r="Q22" s="127">
        <f t="shared" si="24"/>
        <v>0</v>
      </c>
      <c r="R22" s="127">
        <f t="shared" si="24"/>
        <v>0</v>
      </c>
      <c r="S22" s="127">
        <f t="shared" si="24"/>
        <v>0</v>
      </c>
      <c r="T22" s="127">
        <f t="shared" si="24"/>
        <v>0</v>
      </c>
      <c r="U22" s="127">
        <f t="shared" si="24"/>
        <v>0</v>
      </c>
      <c r="V22" s="127">
        <f t="shared" si="24"/>
        <v>0</v>
      </c>
      <c r="W22" s="127">
        <f t="shared" si="24"/>
        <v>0</v>
      </c>
      <c r="X22" s="127">
        <f t="shared" si="24"/>
        <v>0</v>
      </c>
      <c r="Y22" s="127">
        <f t="shared" si="24"/>
        <v>0</v>
      </c>
      <c r="Z22" s="127">
        <f t="shared" si="24"/>
        <v>0</v>
      </c>
      <c r="AA22" s="127">
        <f t="shared" si="24"/>
        <v>0</v>
      </c>
      <c r="AB22" s="127">
        <f t="shared" si="24"/>
        <v>0</v>
      </c>
      <c r="AC22" s="243"/>
      <c r="AE22" s="78">
        <v>19</v>
      </c>
      <c r="AF22" s="91" t="str">
        <f>IF(ISBLANK(STUD!B20)," ",STUD!B20)</f>
        <v xml:space="preserve"> </v>
      </c>
      <c r="AG22" s="91">
        <f t="shared" si="18"/>
        <v>0</v>
      </c>
      <c r="AH22" s="92">
        <f t="shared" si="8"/>
        <v>0</v>
      </c>
      <c r="AI22" s="88" t="str">
        <f t="shared" si="1"/>
        <v xml:space="preserve"> </v>
      </c>
      <c r="AJ22" s="53" t="str">
        <f>IF(AI22="","",IFERROR(IF(VLOOKUP(AI22,Programa!$AF$3:$AG$18,2,0)="","",VLOOKUP(AI22,Programa!$AF$3:$AG$18,2,0)),""))</f>
        <v/>
      </c>
      <c r="AK22" s="53" t="str">
        <f t="shared" si="2"/>
        <v xml:space="preserve"> </v>
      </c>
      <c r="AL22" s="53" t="str">
        <f>IF(AK22="","",IFERROR(IF(VLOOKUP(AK22,Programa!$AF$19:$AG$34,2,0)="","",VLOOKUP(AK22,Programa!$AA$19:$AB$34,2,0)),""))</f>
        <v/>
      </c>
      <c r="AM22" s="53" t="str">
        <f t="shared" si="3"/>
        <v xml:space="preserve"> </v>
      </c>
      <c r="AN22" s="53" t="str">
        <f>IF(AM22="","",IFERROR(IF(VLOOKUP(AM22,Programa!$AF$35:$AG$50,2,0)="","",VLOOKUP(AM22,Programa!$AA$35:$AB$50,2,0)),""))</f>
        <v/>
      </c>
      <c r="AP22" s="78">
        <v>19</v>
      </c>
      <c r="AQ22" s="91" t="str">
        <f>IF(ISBLANK(STUD!B20)," ",STUD!B20)</f>
        <v xml:space="preserve"> </v>
      </c>
      <c r="AR22" s="91">
        <f>IFERROR(VLOOKUP(AQ22,Lunes!$AF$4:$AG$31,2,0),0)</f>
        <v>0</v>
      </c>
      <c r="AS22" s="91">
        <f>IFERROR(VLOOKUP(AQ22,Martes!$AF$4:$AH$31,2,0),0)</f>
        <v>0</v>
      </c>
      <c r="AT22" s="91">
        <f>IFERROR(VLOOKUP(AQ22,Miercoles!$AF$4:$AG$31,2,0),0)</f>
        <v>0</v>
      </c>
      <c r="AU22" s="91">
        <f>IFERROR(VLOOKUP(AQ22,Jueves!$AF$4:$AG$26,2,0),0)</f>
        <v>0</v>
      </c>
      <c r="AV22" s="91">
        <f>IFERROR(VLOOKUP(AQ22,Viernes!$AF$4:$AG$31,2,0),0)</f>
        <v>0</v>
      </c>
      <c r="AW22" s="91">
        <f>IFERROR(VLOOKUP(AQ22,Sabado!$AF$4:$AG$31,2,0),0)</f>
        <v>0</v>
      </c>
      <c r="AX22" s="91">
        <f t="shared" si="19"/>
        <v>0</v>
      </c>
      <c r="AY22" s="91">
        <f t="shared" si="20"/>
        <v>0</v>
      </c>
      <c r="AZ22" s="91">
        <f t="shared" si="10"/>
        <v>180.5</v>
      </c>
      <c r="BB22" s="78">
        <v>19</v>
      </c>
      <c r="BC22" s="91" t="str">
        <f>IF(ISBLANK(STUD!B20)," ",STUD!B20)</f>
        <v xml:space="preserve"> </v>
      </c>
      <c r="BD22" s="91">
        <f>IFERROR(VLOOKUP(BC22,Sabado!$AF$4:$AG$31,2,0),0)</f>
        <v>0</v>
      </c>
      <c r="BE22" s="91">
        <f t="shared" si="21"/>
        <v>0</v>
      </c>
      <c r="BF22" s="91">
        <f t="shared" si="22"/>
        <v>0</v>
      </c>
      <c r="BG22" s="91">
        <f t="shared" si="11"/>
        <v>0</v>
      </c>
    </row>
    <row r="23" spans="1:59" ht="15.75" hidden="1" customHeight="1" x14ac:dyDescent="0.4">
      <c r="A23" s="252">
        <f>+A21+1</f>
        <v>10</v>
      </c>
      <c r="B23" s="253" t="str">
        <f>+STUD!B11</f>
        <v>PASASTE BANDIDO</v>
      </c>
      <c r="C23" s="244">
        <f>SUM(D24:AB24)</f>
        <v>0</v>
      </c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  <c r="AC23" s="243">
        <f>SUM(D24:AB24)</f>
        <v>0</v>
      </c>
      <c r="AE23" s="79">
        <v>20</v>
      </c>
      <c r="AF23" s="91" t="str">
        <f>IF(ISBLANK(STUD!B21)," ",STUD!B21)</f>
        <v xml:space="preserve"> </v>
      </c>
      <c r="AG23" s="91">
        <f t="shared" si="18"/>
        <v>0</v>
      </c>
      <c r="AH23" s="92">
        <f t="shared" si="8"/>
        <v>0</v>
      </c>
      <c r="AI23" s="88" t="str">
        <f t="shared" si="1"/>
        <v xml:space="preserve"> </v>
      </c>
      <c r="AJ23" s="53" t="str">
        <f>IF(AI23="","",IFERROR(IF(VLOOKUP(AI23,Programa!$AF$3:$AG$18,2,0)="","",VLOOKUP(AI23,Programa!$AF$3:$AG$18,2,0)),""))</f>
        <v/>
      </c>
      <c r="AK23" s="53" t="str">
        <f t="shared" si="2"/>
        <v xml:space="preserve"> </v>
      </c>
      <c r="AL23" s="53" t="str">
        <f>IF(AK23="","",IFERROR(IF(VLOOKUP(AK23,Programa!$AF$19:$AG$34,2,0)="","",VLOOKUP(AK23,Programa!$AA$19:$AB$34,2,0)),""))</f>
        <v/>
      </c>
      <c r="AM23" s="53" t="str">
        <f t="shared" si="3"/>
        <v xml:space="preserve"> </v>
      </c>
      <c r="AN23" s="53" t="str">
        <f>IF(AM23="","",IFERROR(IF(VLOOKUP(AM23,Programa!$AF$35:$AG$50,2,0)="","",VLOOKUP(AM23,Programa!$AA$35:$AB$50,2,0)),""))</f>
        <v/>
      </c>
      <c r="AP23" s="79">
        <v>20</v>
      </c>
      <c r="AQ23" s="91" t="str">
        <f>IF(ISBLANK(STUD!B21)," ",STUD!B21)</f>
        <v xml:space="preserve"> </v>
      </c>
      <c r="AR23" s="91">
        <f>IFERROR(VLOOKUP(AQ23,Lunes!$AF$4:$AG$31,2,0),0)</f>
        <v>0</v>
      </c>
      <c r="AS23" s="91">
        <f>IFERROR(VLOOKUP(AQ23,Martes!$AF$4:$AH$31,2,0),0)</f>
        <v>0</v>
      </c>
      <c r="AT23" s="91">
        <f>IFERROR(VLOOKUP(AQ23,Miercoles!$AF$4:$AG$31,2,0),0)</f>
        <v>0</v>
      </c>
      <c r="AU23" s="91">
        <f>IFERROR(VLOOKUP(AQ23,Jueves!$AF$4:$AG$26,2,0),0)</f>
        <v>0</v>
      </c>
      <c r="AV23" s="91">
        <f>IFERROR(VLOOKUP(AQ23,Viernes!$AF$4:$AG$31,2,0),0)</f>
        <v>0</v>
      </c>
      <c r="AW23" s="91">
        <f>IFERROR(VLOOKUP(AQ23,Sabado!$AF$4:$AG$31,2,0),0)</f>
        <v>0</v>
      </c>
      <c r="AX23" s="91">
        <f t="shared" si="19"/>
        <v>0</v>
      </c>
      <c r="AY23" s="91">
        <f t="shared" si="20"/>
        <v>0</v>
      </c>
      <c r="AZ23" s="91">
        <f t="shared" si="10"/>
        <v>180.5</v>
      </c>
      <c r="BB23" s="79">
        <v>20</v>
      </c>
      <c r="BC23" s="91" t="str">
        <f>IF(ISBLANK(STUD!B21)," ",STUD!B21)</f>
        <v xml:space="preserve"> </v>
      </c>
      <c r="BD23" s="91">
        <f>IFERROR(VLOOKUP(BC23,Sabado!$AF$4:$AG$31,2,0),0)</f>
        <v>0</v>
      </c>
      <c r="BE23" s="91">
        <f t="shared" si="21"/>
        <v>0</v>
      </c>
      <c r="BF23" s="91">
        <f t="shared" si="22"/>
        <v>0</v>
      </c>
      <c r="BG23" s="91">
        <f t="shared" si="11"/>
        <v>0</v>
      </c>
    </row>
    <row r="24" spans="1:59" ht="15.75" hidden="1" customHeight="1" x14ac:dyDescent="0.4">
      <c r="A24" s="242"/>
      <c r="B24" s="253"/>
      <c r="C24" s="245"/>
      <c r="D24" s="127">
        <f t="shared" ref="D24:AB24" si="25">IF(IFERROR(IF(VLOOKUP(D23,D$151:D$155,1,0)&gt;=1,D$150,0),D23)=D$132,D$136,IF(IFERROR(IF(VLOOKUP(D23,D$151:D$155,1,0)&gt;=1,D$150,0),D23)=D$139,D$142,IF(IFERROR(IF(VLOOKUP(D23,D$151:D$155,1,0)&gt;=1,D$150,0),D23)=D$145,D$147,0)))</f>
        <v>0</v>
      </c>
      <c r="E24" s="127">
        <f t="shared" si="25"/>
        <v>0</v>
      </c>
      <c r="F24" s="127">
        <f t="shared" si="25"/>
        <v>0</v>
      </c>
      <c r="G24" s="127">
        <f t="shared" si="25"/>
        <v>0</v>
      </c>
      <c r="H24" s="127">
        <f t="shared" si="25"/>
        <v>0</v>
      </c>
      <c r="I24" s="127">
        <f t="shared" si="25"/>
        <v>0</v>
      </c>
      <c r="J24" s="127">
        <f t="shared" si="25"/>
        <v>0</v>
      </c>
      <c r="K24" s="127">
        <f t="shared" si="25"/>
        <v>0</v>
      </c>
      <c r="L24" s="127">
        <f t="shared" si="25"/>
        <v>0</v>
      </c>
      <c r="M24" s="127">
        <f t="shared" si="25"/>
        <v>0</v>
      </c>
      <c r="N24" s="127">
        <f t="shared" si="25"/>
        <v>0</v>
      </c>
      <c r="O24" s="127">
        <f t="shared" si="25"/>
        <v>0</v>
      </c>
      <c r="P24" s="127">
        <f t="shared" si="25"/>
        <v>0</v>
      </c>
      <c r="Q24" s="127">
        <f t="shared" si="25"/>
        <v>0</v>
      </c>
      <c r="R24" s="127">
        <f t="shared" si="25"/>
        <v>0</v>
      </c>
      <c r="S24" s="127">
        <f t="shared" si="25"/>
        <v>0</v>
      </c>
      <c r="T24" s="127">
        <f t="shared" si="25"/>
        <v>0</v>
      </c>
      <c r="U24" s="127">
        <f t="shared" si="25"/>
        <v>0</v>
      </c>
      <c r="V24" s="127">
        <f t="shared" si="25"/>
        <v>0</v>
      </c>
      <c r="W24" s="127">
        <f t="shared" si="25"/>
        <v>0</v>
      </c>
      <c r="X24" s="127">
        <f t="shared" si="25"/>
        <v>0</v>
      </c>
      <c r="Y24" s="127">
        <f t="shared" si="25"/>
        <v>0</v>
      </c>
      <c r="Z24" s="127">
        <f t="shared" si="25"/>
        <v>0</v>
      </c>
      <c r="AA24" s="127">
        <f t="shared" si="25"/>
        <v>0</v>
      </c>
      <c r="AB24" s="127">
        <f t="shared" si="25"/>
        <v>0</v>
      </c>
      <c r="AC24" s="243"/>
      <c r="AE24" s="80">
        <v>21</v>
      </c>
      <c r="AF24" s="91" t="str">
        <f>IF(ISBLANK(STUD!B22)," ",STUD!B22)</f>
        <v xml:space="preserve"> </v>
      </c>
      <c r="AG24" s="91">
        <f t="shared" si="18"/>
        <v>0</v>
      </c>
      <c r="AH24" s="92">
        <f t="shared" si="8"/>
        <v>0</v>
      </c>
      <c r="AI24" s="88" t="str">
        <f t="shared" si="1"/>
        <v xml:space="preserve"> </v>
      </c>
      <c r="AJ24" s="53" t="str">
        <f>IF(AI24="","",IFERROR(IF(VLOOKUP(AI24,Programa!$AF$3:$AG$18,2,0)="","",VLOOKUP(AI24,Programa!$AF$3:$AG$18,2,0)),""))</f>
        <v/>
      </c>
      <c r="AK24" s="53" t="str">
        <f t="shared" si="2"/>
        <v xml:space="preserve"> </v>
      </c>
      <c r="AL24" s="53" t="str">
        <f>IF(AK24="","",IFERROR(IF(VLOOKUP(AK24,Programa!$AF$19:$AG$34,2,0)="","",VLOOKUP(AK24,Programa!$AA$19:$AB$34,2,0)),""))</f>
        <v/>
      </c>
      <c r="AM24" s="53" t="str">
        <f t="shared" si="3"/>
        <v xml:space="preserve"> </v>
      </c>
      <c r="AN24" s="53" t="str">
        <f>IF(AM24="","",IFERROR(IF(VLOOKUP(AM24,Programa!$AF$35:$AG$50,2,0)="","",VLOOKUP(AM24,Programa!$AA$35:$AB$50,2,0)),""))</f>
        <v/>
      </c>
      <c r="AP24" s="80">
        <v>21</v>
      </c>
      <c r="AQ24" s="91" t="str">
        <f>IF(ISBLANK(STUD!B22)," ",STUD!B22)</f>
        <v xml:space="preserve"> </v>
      </c>
      <c r="AR24" s="91">
        <f>IFERROR(VLOOKUP(AQ24,Lunes!$AF$4:$AG$31,2,0),0)</f>
        <v>0</v>
      </c>
      <c r="AS24" s="91">
        <f>IFERROR(VLOOKUP(AQ24,Martes!$AF$4:$AH$31,2,0),0)</f>
        <v>0</v>
      </c>
      <c r="AT24" s="91">
        <f>IFERROR(VLOOKUP(AQ24,Miercoles!$AF$4:$AG$31,2,0),0)</f>
        <v>0</v>
      </c>
      <c r="AU24" s="91">
        <f>IFERROR(VLOOKUP(AQ24,Jueves!$AF$4:$AG$26,2,0),0)</f>
        <v>0</v>
      </c>
      <c r="AV24" s="91">
        <f>IFERROR(VLOOKUP(AQ24,Viernes!$AF$4:$AG$31,2,0),0)</f>
        <v>0</v>
      </c>
      <c r="AW24" s="91">
        <f>IFERROR(VLOOKUP(AQ24,Sabado!$AF$4:$AG$31,2,0),0)</f>
        <v>0</v>
      </c>
      <c r="AX24" s="91">
        <f t="shared" si="19"/>
        <v>0</v>
      </c>
      <c r="AY24" s="91">
        <f t="shared" si="20"/>
        <v>0</v>
      </c>
      <c r="AZ24" s="91">
        <f t="shared" si="10"/>
        <v>180.5</v>
      </c>
      <c r="BB24" s="80">
        <v>21</v>
      </c>
      <c r="BC24" s="91" t="str">
        <f>IF(ISBLANK(STUD!B22)," ",STUD!B22)</f>
        <v xml:space="preserve"> </v>
      </c>
      <c r="BD24" s="91">
        <f>IFERROR(VLOOKUP(BC24,Sabado!$AF$4:$AG$31,2,0),0)</f>
        <v>0</v>
      </c>
      <c r="BE24" s="91">
        <f t="shared" si="21"/>
        <v>0</v>
      </c>
      <c r="BF24" s="91">
        <f t="shared" si="22"/>
        <v>0</v>
      </c>
      <c r="BG24" s="91">
        <f t="shared" si="11"/>
        <v>0</v>
      </c>
    </row>
    <row r="25" spans="1:59" ht="15.75" hidden="1" customHeight="1" x14ac:dyDescent="0.4">
      <c r="A25" s="252">
        <f>+A23+1</f>
        <v>11</v>
      </c>
      <c r="B25" s="253">
        <f>+STUD!B12</f>
        <v>0</v>
      </c>
      <c r="C25" s="244">
        <f>SUM(D26:AB26)</f>
        <v>0</v>
      </c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243">
        <f>SUM(D26:AB26)</f>
        <v>0</v>
      </c>
      <c r="AE25" s="81">
        <v>22</v>
      </c>
      <c r="AF25" s="91" t="str">
        <f>IF(ISBLANK(STUD!B23)," ",STUD!B23)</f>
        <v xml:space="preserve"> </v>
      </c>
      <c r="AG25" s="91">
        <f t="shared" si="18"/>
        <v>0</v>
      </c>
      <c r="AH25" s="92">
        <f t="shared" si="8"/>
        <v>0</v>
      </c>
      <c r="AI25" s="88" t="str">
        <f t="shared" si="1"/>
        <v xml:space="preserve"> </v>
      </c>
      <c r="AJ25" s="53" t="str">
        <f>IF(AI25="","",IFERROR(IF(VLOOKUP(AI25,Programa!$AF$3:$AG$18,2,0)="","",VLOOKUP(AI25,Programa!$AF$3:$AG$18,2,0)),""))</f>
        <v/>
      </c>
      <c r="AK25" s="53" t="str">
        <f t="shared" si="2"/>
        <v xml:space="preserve"> </v>
      </c>
      <c r="AL25" s="53" t="str">
        <f>IF(AK25="","",IFERROR(IF(VLOOKUP(AK25,Programa!$AF$19:$AG$34,2,0)="","",VLOOKUP(AK25,Programa!$AA$19:$AB$34,2,0)),""))</f>
        <v/>
      </c>
      <c r="AM25" s="53" t="str">
        <f t="shared" si="3"/>
        <v xml:space="preserve"> </v>
      </c>
      <c r="AN25" s="53" t="str">
        <f>IF(AM25="","",IFERROR(IF(VLOOKUP(AM25,Programa!$AF$35:$AG$50,2,0)="","",VLOOKUP(AM25,Programa!$AA$35:$AB$50,2,0)),""))</f>
        <v/>
      </c>
      <c r="AP25" s="81">
        <v>22</v>
      </c>
      <c r="AQ25" s="91" t="str">
        <f>IF(ISBLANK(STUD!B23)," ",STUD!B23)</f>
        <v xml:space="preserve"> </v>
      </c>
      <c r="AR25" s="91">
        <f>IFERROR(VLOOKUP(AQ25,Lunes!$AF$4:$AG$31,2,0),0)</f>
        <v>0</v>
      </c>
      <c r="AS25" s="91">
        <f>IFERROR(VLOOKUP(AQ25,Martes!$AF$4:$AH$31,2,0),0)</f>
        <v>0</v>
      </c>
      <c r="AT25" s="91">
        <f>IFERROR(VLOOKUP(AQ25,Miercoles!$AF$4:$AG$31,2,0),0)</f>
        <v>0</v>
      </c>
      <c r="AU25" s="91">
        <f>IFERROR(VLOOKUP(AQ25,Jueves!$AF$4:$AG$26,2,0),0)</f>
        <v>0</v>
      </c>
      <c r="AV25" s="91">
        <f>IFERROR(VLOOKUP(AQ25,Viernes!$AF$4:$AG$31,2,0),0)</f>
        <v>0</v>
      </c>
      <c r="AW25" s="91">
        <f>IFERROR(VLOOKUP(AQ25,Sabado!$AF$4:$AG$31,2,0),0)</f>
        <v>0</v>
      </c>
      <c r="AX25" s="91">
        <f t="shared" si="19"/>
        <v>0</v>
      </c>
      <c r="AY25" s="91">
        <f t="shared" si="20"/>
        <v>0</v>
      </c>
      <c r="AZ25" s="91">
        <f t="shared" si="10"/>
        <v>180.5</v>
      </c>
      <c r="BB25" s="81">
        <v>22</v>
      </c>
      <c r="BC25" s="91" t="str">
        <f>IF(ISBLANK(STUD!B23)," ",STUD!B23)</f>
        <v xml:space="preserve"> </v>
      </c>
      <c r="BD25" s="91">
        <f>IFERROR(VLOOKUP(BC25,Sabado!$AF$4:$AG$31,2,0),0)</f>
        <v>0</v>
      </c>
      <c r="BE25" s="91">
        <f t="shared" si="21"/>
        <v>0</v>
      </c>
      <c r="BF25" s="91">
        <f t="shared" si="22"/>
        <v>0</v>
      </c>
      <c r="BG25" s="91">
        <f t="shared" si="11"/>
        <v>0</v>
      </c>
    </row>
    <row r="26" spans="1:59" ht="15.75" hidden="1" customHeight="1" x14ac:dyDescent="0.4">
      <c r="A26" s="242"/>
      <c r="B26" s="253"/>
      <c r="C26" s="245"/>
      <c r="D26" s="127">
        <f t="shared" ref="D26:AB26" si="26">IF(IFERROR(IF(VLOOKUP(D25,D$151:D$155,1,0)&gt;=1,D$150,0),D25)=D$132,D$136,IF(IFERROR(IF(VLOOKUP(D25,D$151:D$155,1,0)&gt;=1,D$150,0),D25)=D$139,D$142,IF(IFERROR(IF(VLOOKUP(D25,D$151:D$155,1,0)&gt;=1,D$150,0),D25)=D$145,D$147,0)))</f>
        <v>0</v>
      </c>
      <c r="E26" s="127">
        <f t="shared" si="26"/>
        <v>0</v>
      </c>
      <c r="F26" s="127">
        <f t="shared" si="26"/>
        <v>0</v>
      </c>
      <c r="G26" s="127">
        <f t="shared" si="26"/>
        <v>0</v>
      </c>
      <c r="H26" s="127">
        <f t="shared" si="26"/>
        <v>0</v>
      </c>
      <c r="I26" s="127">
        <f t="shared" si="26"/>
        <v>0</v>
      </c>
      <c r="J26" s="127">
        <f t="shared" si="26"/>
        <v>0</v>
      </c>
      <c r="K26" s="127">
        <f t="shared" si="26"/>
        <v>0</v>
      </c>
      <c r="L26" s="127">
        <f t="shared" si="26"/>
        <v>0</v>
      </c>
      <c r="M26" s="127">
        <f t="shared" si="26"/>
        <v>0</v>
      </c>
      <c r="N26" s="127">
        <f t="shared" si="26"/>
        <v>0</v>
      </c>
      <c r="O26" s="127">
        <f t="shared" si="26"/>
        <v>0</v>
      </c>
      <c r="P26" s="127">
        <f t="shared" si="26"/>
        <v>0</v>
      </c>
      <c r="Q26" s="127">
        <f t="shared" si="26"/>
        <v>0</v>
      </c>
      <c r="R26" s="127">
        <f t="shared" si="26"/>
        <v>0</v>
      </c>
      <c r="S26" s="127">
        <f t="shared" si="26"/>
        <v>0</v>
      </c>
      <c r="T26" s="127">
        <f t="shared" si="26"/>
        <v>0</v>
      </c>
      <c r="U26" s="127">
        <f t="shared" si="26"/>
        <v>0</v>
      </c>
      <c r="V26" s="127">
        <f t="shared" si="26"/>
        <v>0</v>
      </c>
      <c r="W26" s="127">
        <f t="shared" si="26"/>
        <v>0</v>
      </c>
      <c r="X26" s="127">
        <f t="shared" si="26"/>
        <v>0</v>
      </c>
      <c r="Y26" s="127">
        <f t="shared" si="26"/>
        <v>0</v>
      </c>
      <c r="Z26" s="127">
        <f t="shared" si="26"/>
        <v>0</v>
      </c>
      <c r="AA26" s="127">
        <f t="shared" si="26"/>
        <v>0</v>
      </c>
      <c r="AB26" s="127">
        <f t="shared" si="26"/>
        <v>0</v>
      </c>
      <c r="AC26" s="243"/>
      <c r="AE26" s="82">
        <v>23</v>
      </c>
      <c r="AF26" s="91" t="str">
        <f>IF(ISBLANK(STUD!B24)," ",STUD!B24)</f>
        <v xml:space="preserve"> </v>
      </c>
      <c r="AG26" s="91">
        <f t="shared" si="18"/>
        <v>0</v>
      </c>
      <c r="AH26" s="92">
        <f t="shared" si="8"/>
        <v>0</v>
      </c>
      <c r="AI26" s="88" t="str">
        <f t="shared" si="1"/>
        <v xml:space="preserve"> </v>
      </c>
      <c r="AJ26" s="53" t="str">
        <f>IF(AI26="","",IFERROR(IF(VLOOKUP(AI26,Programa!$AF$3:$AG$18,2,0)="","",VLOOKUP(AI26,Programa!$AF$3:$AG$18,2,0)),""))</f>
        <v/>
      </c>
      <c r="AK26" s="53" t="str">
        <f t="shared" si="2"/>
        <v xml:space="preserve"> </v>
      </c>
      <c r="AL26" s="53" t="str">
        <f>IF(AK26="","",IFERROR(IF(VLOOKUP(AK26,Programa!$AF$19:$AG$34,2,0)="","",VLOOKUP(AK26,Programa!$AA$19:$AB$34,2,0)),""))</f>
        <v/>
      </c>
      <c r="AM26" s="53" t="str">
        <f t="shared" si="3"/>
        <v xml:space="preserve"> </v>
      </c>
      <c r="AN26" s="53" t="str">
        <f>IF(AM26="","",IFERROR(IF(VLOOKUP(AM26,Programa!$AF$35:$AG$50,2,0)="","",VLOOKUP(AM26,Programa!$AA$35:$AB$50,2,0)),""))</f>
        <v/>
      </c>
      <c r="AP26" s="82">
        <v>23</v>
      </c>
      <c r="AQ26" s="91" t="str">
        <f>IF(ISBLANK(STUD!B24)," ",STUD!B24)</f>
        <v xml:space="preserve"> </v>
      </c>
      <c r="AR26" s="91">
        <f>IFERROR(VLOOKUP(AQ26,Lunes!$AF$4:$AG$31,2,0),0)</f>
        <v>0</v>
      </c>
      <c r="AS26" s="91">
        <f>IFERROR(VLOOKUP(AQ26,Martes!$AF$4:$AH$31,2,0),0)</f>
        <v>0</v>
      </c>
      <c r="AT26" s="91">
        <f>IFERROR(VLOOKUP(AQ26,Miercoles!$AF$4:$AG$31,2,0),0)</f>
        <v>0</v>
      </c>
      <c r="AU26" s="91">
        <f>IFERROR(VLOOKUP(AQ26,Jueves!$AF$4:$AG$26,2,0),0)</f>
        <v>0</v>
      </c>
      <c r="AV26" s="91">
        <f>IFERROR(VLOOKUP(AQ26,Viernes!$AF$4:$AG$31,2,0),0)</f>
        <v>0</v>
      </c>
      <c r="AW26" s="91">
        <f>IFERROR(VLOOKUP(AQ26,Sabado!$AF$4:$AG$31,2,0),0)</f>
        <v>0</v>
      </c>
      <c r="AX26" s="91">
        <f t="shared" si="19"/>
        <v>0</v>
      </c>
      <c r="AY26" s="91">
        <f t="shared" si="20"/>
        <v>0</v>
      </c>
      <c r="AZ26" s="91">
        <f t="shared" si="10"/>
        <v>180.5</v>
      </c>
      <c r="BB26" s="82">
        <v>23</v>
      </c>
      <c r="BC26" s="91" t="str">
        <f>IF(ISBLANK(STUD!B24)," ",STUD!B24)</f>
        <v xml:space="preserve"> </v>
      </c>
      <c r="BD26" s="91">
        <f>IFERROR(VLOOKUP(BC26,Sabado!$AF$4:$AG$31,2,0),0)</f>
        <v>0</v>
      </c>
      <c r="BE26" s="91">
        <f t="shared" si="21"/>
        <v>0</v>
      </c>
      <c r="BF26" s="91">
        <f t="shared" si="22"/>
        <v>0</v>
      </c>
      <c r="BG26" s="91">
        <f t="shared" si="11"/>
        <v>0</v>
      </c>
    </row>
    <row r="27" spans="1:59" ht="15.75" hidden="1" customHeight="1" x14ac:dyDescent="0.4">
      <c r="A27" s="252">
        <f>+A25+1</f>
        <v>12</v>
      </c>
      <c r="B27" s="253">
        <f>+STUD!B13</f>
        <v>0</v>
      </c>
      <c r="C27" s="244">
        <f>SUM(D28:AB28)</f>
        <v>0</v>
      </c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243">
        <f>SUM(D28:AB28)</f>
        <v>0</v>
      </c>
      <c r="AE27" s="83">
        <v>24</v>
      </c>
      <c r="AF27" s="91" t="str">
        <f>IF(ISBLANK(STUD!B25)," ",STUD!B25)</f>
        <v xml:space="preserve"> </v>
      </c>
      <c r="AG27" s="91">
        <f t="shared" si="18"/>
        <v>0</v>
      </c>
      <c r="AH27" s="92">
        <f t="shared" si="8"/>
        <v>0</v>
      </c>
      <c r="AI27" s="88" t="str">
        <f t="shared" si="1"/>
        <v xml:space="preserve"> </v>
      </c>
      <c r="AJ27" s="53" t="str">
        <f>IF(AI27="","",IFERROR(IF(VLOOKUP(AI27,Programa!$AF$3:$AG$18,2,0)="","",VLOOKUP(AI27,Programa!$AF$3:$AG$18,2,0)),""))</f>
        <v/>
      </c>
      <c r="AK27" s="53" t="str">
        <f t="shared" si="2"/>
        <v xml:space="preserve"> </v>
      </c>
      <c r="AL27" s="53" t="str">
        <f>IF(AK27="","",IFERROR(IF(VLOOKUP(AK27,Programa!$AF$19:$AG$34,2,0)="","",VLOOKUP(AK27,Programa!$AA$19:$AB$34,2,0)),""))</f>
        <v/>
      </c>
      <c r="AM27" s="53" t="str">
        <f t="shared" si="3"/>
        <v xml:space="preserve"> </v>
      </c>
      <c r="AN27" s="53" t="str">
        <f>IF(AM27="","",IFERROR(IF(VLOOKUP(AM27,Programa!$AF$35:$AG$50,2,0)="","",VLOOKUP(AM27,Programa!$AA$35:$AB$50,2,0)),""))</f>
        <v/>
      </c>
      <c r="AP27" s="83">
        <v>24</v>
      </c>
      <c r="AQ27" s="91" t="str">
        <f>IF(ISBLANK(STUD!B25)," ",STUD!B25)</f>
        <v xml:space="preserve"> </v>
      </c>
      <c r="AR27" s="91">
        <f>IFERROR(VLOOKUP(AQ27,Lunes!$AF$4:$AG$31,2,0),0)</f>
        <v>0</v>
      </c>
      <c r="AS27" s="91">
        <f>IFERROR(VLOOKUP(AQ27,Martes!$AF$4:$AH$31,2,0),0)</f>
        <v>0</v>
      </c>
      <c r="AT27" s="91">
        <f>IFERROR(VLOOKUP(AQ27,Miercoles!$AF$4:$AG$31,2,0),0)</f>
        <v>0</v>
      </c>
      <c r="AU27" s="91">
        <f>IFERROR(VLOOKUP(AQ27,Jueves!$AF$4:$AG$26,2,0),0)</f>
        <v>0</v>
      </c>
      <c r="AV27" s="91">
        <f>IFERROR(VLOOKUP(AQ27,Viernes!$AF$4:$AG$31,2,0),0)</f>
        <v>0</v>
      </c>
      <c r="AW27" s="91">
        <f>IFERROR(VLOOKUP(AQ27,Sabado!$AF$4:$AG$31,2,0),0)</f>
        <v>0</v>
      </c>
      <c r="AX27" s="91">
        <f t="shared" si="19"/>
        <v>0</v>
      </c>
      <c r="AY27" s="91">
        <f t="shared" si="20"/>
        <v>0</v>
      </c>
      <c r="AZ27" s="91">
        <f t="shared" si="10"/>
        <v>180.5</v>
      </c>
      <c r="BB27" s="83">
        <v>24</v>
      </c>
      <c r="BC27" s="91" t="str">
        <f>IF(ISBLANK(STUD!B25)," ",STUD!B25)</f>
        <v xml:space="preserve"> </v>
      </c>
      <c r="BD27" s="91">
        <f>IFERROR(VLOOKUP(BC27,Sabado!$AF$4:$AG$31,2,0),0)</f>
        <v>0</v>
      </c>
      <c r="BE27" s="91">
        <f t="shared" si="21"/>
        <v>0</v>
      </c>
      <c r="BF27" s="91">
        <f t="shared" si="22"/>
        <v>0</v>
      </c>
      <c r="BG27" s="91">
        <f t="shared" si="11"/>
        <v>0</v>
      </c>
    </row>
    <row r="28" spans="1:59" ht="15.75" hidden="1" customHeight="1" x14ac:dyDescent="0.4">
      <c r="A28" s="242"/>
      <c r="B28" s="253"/>
      <c r="C28" s="245"/>
      <c r="D28" s="127">
        <f t="shared" ref="D28:AB28" si="27">IF(IFERROR(IF(VLOOKUP(D27,D$151:D$155,1,0)&gt;=1,D$150,0),D27)=D$132,D$136,IF(IFERROR(IF(VLOOKUP(D27,D$151:D$155,1,0)&gt;=1,D$150,0),D27)=D$139,D$142,IF(IFERROR(IF(VLOOKUP(D27,D$151:D$155,1,0)&gt;=1,D$150,0),D27)=D$145,D$147,0)))</f>
        <v>0</v>
      </c>
      <c r="E28" s="127">
        <f t="shared" si="27"/>
        <v>0</v>
      </c>
      <c r="F28" s="127">
        <f t="shared" si="27"/>
        <v>0</v>
      </c>
      <c r="G28" s="127">
        <f t="shared" si="27"/>
        <v>0</v>
      </c>
      <c r="H28" s="127">
        <f t="shared" si="27"/>
        <v>0</v>
      </c>
      <c r="I28" s="127">
        <f t="shared" si="27"/>
        <v>0</v>
      </c>
      <c r="J28" s="127">
        <f t="shared" si="27"/>
        <v>0</v>
      </c>
      <c r="K28" s="127">
        <f t="shared" si="27"/>
        <v>0</v>
      </c>
      <c r="L28" s="127">
        <f t="shared" si="27"/>
        <v>0</v>
      </c>
      <c r="M28" s="127">
        <f t="shared" si="27"/>
        <v>0</v>
      </c>
      <c r="N28" s="127">
        <f t="shared" si="27"/>
        <v>0</v>
      </c>
      <c r="O28" s="127">
        <f t="shared" si="27"/>
        <v>0</v>
      </c>
      <c r="P28" s="127">
        <f t="shared" si="27"/>
        <v>0</v>
      </c>
      <c r="Q28" s="127">
        <f t="shared" si="27"/>
        <v>0</v>
      </c>
      <c r="R28" s="127">
        <f t="shared" si="27"/>
        <v>0</v>
      </c>
      <c r="S28" s="127">
        <f t="shared" si="27"/>
        <v>0</v>
      </c>
      <c r="T28" s="127">
        <f t="shared" si="27"/>
        <v>0</v>
      </c>
      <c r="U28" s="127">
        <f t="shared" si="27"/>
        <v>0</v>
      </c>
      <c r="V28" s="127">
        <f t="shared" si="27"/>
        <v>0</v>
      </c>
      <c r="W28" s="127">
        <f t="shared" si="27"/>
        <v>0</v>
      </c>
      <c r="X28" s="127">
        <f t="shared" si="27"/>
        <v>0</v>
      </c>
      <c r="Y28" s="127">
        <f t="shared" si="27"/>
        <v>0</v>
      </c>
      <c r="Z28" s="127">
        <f t="shared" si="27"/>
        <v>0</v>
      </c>
      <c r="AA28" s="127">
        <f t="shared" si="27"/>
        <v>0</v>
      </c>
      <c r="AB28" s="127">
        <f t="shared" si="27"/>
        <v>0</v>
      </c>
      <c r="AC28" s="243"/>
      <c r="AE28" s="84">
        <v>25</v>
      </c>
      <c r="AF28" s="91" t="str">
        <f>IF(ISBLANK(STUD!B26)," ",STUD!B26)</f>
        <v xml:space="preserve"> </v>
      </c>
      <c r="AG28" s="91">
        <f t="shared" si="18"/>
        <v>0</v>
      </c>
      <c r="AH28" s="92">
        <f t="shared" si="8"/>
        <v>0</v>
      </c>
      <c r="AI28" s="88" t="str">
        <f t="shared" si="1"/>
        <v xml:space="preserve"> </v>
      </c>
      <c r="AJ28" s="53" t="str">
        <f>IF(AI28="","",IFERROR(IF(VLOOKUP(AI28,Programa!$AF$3:$AG$18,2,0)="","",VLOOKUP(AI28,Programa!$AF$3:$AG$18,2,0)),""))</f>
        <v/>
      </c>
      <c r="AK28" s="53" t="str">
        <f t="shared" si="2"/>
        <v xml:space="preserve"> </v>
      </c>
      <c r="AL28" s="53" t="str">
        <f>IF(AK28="","",IFERROR(IF(VLOOKUP(AK28,Programa!$AF$19:$AG$34,2,0)="","",VLOOKUP(AK28,Programa!$AA$19:$AB$34,2,0)),""))</f>
        <v/>
      </c>
      <c r="AM28" s="53" t="str">
        <f t="shared" si="3"/>
        <v xml:space="preserve"> </v>
      </c>
      <c r="AN28" s="53" t="str">
        <f>IF(AM28="","",IFERROR(IF(VLOOKUP(AM28,Programa!$AF$35:$AG$50,2,0)="","",VLOOKUP(AM28,Programa!$AA$35:$AB$50,2,0)),""))</f>
        <v/>
      </c>
      <c r="AP28" s="84">
        <v>25</v>
      </c>
      <c r="AQ28" s="91" t="str">
        <f>IF(ISBLANK(STUD!B26)," ",STUD!B26)</f>
        <v xml:space="preserve"> </v>
      </c>
      <c r="AR28" s="91">
        <f>IFERROR(VLOOKUP(AQ28,Lunes!$AF$4:$AG$31,2,0),0)</f>
        <v>0</v>
      </c>
      <c r="AS28" s="91">
        <f>IFERROR(VLOOKUP(AQ28,Martes!$AF$4:$AH$31,2,0),0)</f>
        <v>0</v>
      </c>
      <c r="AT28" s="91">
        <f>IFERROR(VLOOKUP(AQ28,Miercoles!$AF$4:$AG$31,2,0),0)</f>
        <v>0</v>
      </c>
      <c r="AU28" s="91">
        <f>IFERROR(VLOOKUP(AQ28,Jueves!$AF$4:$AG$26,2,0),0)</f>
        <v>0</v>
      </c>
      <c r="AV28" s="91">
        <f>IFERROR(VLOOKUP(AQ28,Viernes!$AF$4:$AG$31,2,0),0)</f>
        <v>0</v>
      </c>
      <c r="AW28" s="91">
        <f>IFERROR(VLOOKUP(AQ28,Sabado!$AF$4:$AG$31,2,0),0)</f>
        <v>0</v>
      </c>
      <c r="AX28" s="91">
        <f t="shared" si="19"/>
        <v>0</v>
      </c>
      <c r="AY28" s="91">
        <f t="shared" si="20"/>
        <v>0</v>
      </c>
      <c r="AZ28" s="91">
        <f t="shared" si="10"/>
        <v>180.5</v>
      </c>
      <c r="BB28" s="84">
        <v>25</v>
      </c>
      <c r="BC28" s="91" t="str">
        <f>IF(ISBLANK(STUD!B26)," ",STUD!B26)</f>
        <v xml:space="preserve"> </v>
      </c>
      <c r="BD28" s="91">
        <f>IFERROR(VLOOKUP(BC28,Sabado!$AF$4:$AG$31,2,0),0)</f>
        <v>0</v>
      </c>
      <c r="BE28" s="91">
        <f t="shared" si="21"/>
        <v>0</v>
      </c>
      <c r="BF28" s="91">
        <f t="shared" si="22"/>
        <v>0</v>
      </c>
      <c r="BG28" s="91">
        <f t="shared" si="11"/>
        <v>0</v>
      </c>
    </row>
    <row r="29" spans="1:59" ht="15.75" hidden="1" customHeight="1" x14ac:dyDescent="0.4">
      <c r="A29" s="252">
        <f>+A27+1</f>
        <v>13</v>
      </c>
      <c r="B29" s="253">
        <f>+STUD!B14</f>
        <v>0</v>
      </c>
      <c r="C29" s="244">
        <f>SUM(D30:AB30)</f>
        <v>0</v>
      </c>
      <c r="D29" s="132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29"/>
      <c r="W29" s="129"/>
      <c r="X29" s="129"/>
      <c r="Y29" s="129"/>
      <c r="Z29" s="133"/>
      <c r="AA29" s="133"/>
      <c r="AB29" s="133"/>
      <c r="AC29" s="243">
        <f>SUM(D30:AB30)</f>
        <v>0</v>
      </c>
      <c r="AE29" s="85">
        <v>26</v>
      </c>
      <c r="AF29" s="91" t="str">
        <f>IF(ISBLANK(STUD!B27)," ",STUD!B27)</f>
        <v xml:space="preserve"> </v>
      </c>
      <c r="AG29" s="91">
        <f t="shared" si="18"/>
        <v>0</v>
      </c>
      <c r="AH29" s="92">
        <f t="shared" si="8"/>
        <v>0</v>
      </c>
      <c r="AI29" s="88" t="str">
        <f t="shared" si="1"/>
        <v xml:space="preserve"> </v>
      </c>
      <c r="AJ29" s="53" t="str">
        <f>IF(AI29="","",IFERROR(IF(VLOOKUP(AI29,Programa!$AF$3:$AG$18,2,0)="","",VLOOKUP(AI29,Programa!$AF$3:$AG$18,2,0)),""))</f>
        <v/>
      </c>
      <c r="AK29" s="53" t="str">
        <f t="shared" si="2"/>
        <v xml:space="preserve"> </v>
      </c>
      <c r="AL29" s="53" t="str">
        <f>IF(AK29="","",IFERROR(IF(VLOOKUP(AK29,Programa!$AF$19:$AG$34,2,0)="","",VLOOKUP(AK29,Programa!$AA$19:$AB$34,2,0)),""))</f>
        <v/>
      </c>
      <c r="AM29" s="53" t="str">
        <f t="shared" si="3"/>
        <v xml:space="preserve"> </v>
      </c>
      <c r="AN29" s="53" t="str">
        <f>IF(AM29="","",IFERROR(IF(VLOOKUP(AM29,Programa!$AF$35:$AG$50,2,0)="","",VLOOKUP(AM29,Programa!$AA$35:$AB$50,2,0)),""))</f>
        <v/>
      </c>
      <c r="AP29" s="85">
        <v>26</v>
      </c>
      <c r="AQ29" s="91" t="str">
        <f>IF(ISBLANK(STUD!B27)," ",STUD!B27)</f>
        <v xml:space="preserve"> </v>
      </c>
      <c r="AR29" s="91">
        <f>IFERROR(VLOOKUP(AQ29,Lunes!$AF$4:$AG$31,2,0),0)</f>
        <v>0</v>
      </c>
      <c r="AS29" s="91">
        <f>IFERROR(VLOOKUP(AQ29,Martes!$AF$4:$AH$31,2,0),0)</f>
        <v>0</v>
      </c>
      <c r="AT29" s="91">
        <f>IFERROR(VLOOKUP(AQ29,Miercoles!$AF$4:$AG$31,2,0),0)</f>
        <v>0</v>
      </c>
      <c r="AU29" s="91">
        <f>IFERROR(VLOOKUP(AQ29,Jueves!$AF$4:$AG$26,2,0),0)</f>
        <v>0</v>
      </c>
      <c r="AV29" s="91">
        <f>IFERROR(VLOOKUP(AQ29,Viernes!$AF$4:$AG$31,2,0),0)</f>
        <v>0</v>
      </c>
      <c r="AW29" s="91">
        <f>IFERROR(VLOOKUP(AQ29,Sabado!$AF$4:$AG$31,2,0),0)</f>
        <v>0</v>
      </c>
      <c r="AX29" s="91">
        <f t="shared" si="19"/>
        <v>0</v>
      </c>
      <c r="AY29" s="91">
        <f t="shared" si="20"/>
        <v>0</v>
      </c>
      <c r="AZ29" s="91">
        <f t="shared" si="10"/>
        <v>180.5</v>
      </c>
      <c r="BB29" s="85">
        <v>26</v>
      </c>
      <c r="BC29" s="91" t="str">
        <f>IF(ISBLANK(STUD!B27)," ",STUD!B27)</f>
        <v xml:space="preserve"> </v>
      </c>
      <c r="BD29" s="91">
        <f>IFERROR(VLOOKUP(BC29,Sabado!$AF$4:$AG$31,2,0),0)</f>
        <v>0</v>
      </c>
      <c r="BE29" s="91">
        <f t="shared" si="21"/>
        <v>0</v>
      </c>
      <c r="BF29" s="91">
        <f t="shared" si="22"/>
        <v>0</v>
      </c>
      <c r="BG29" s="91">
        <f t="shared" si="11"/>
        <v>0</v>
      </c>
    </row>
    <row r="30" spans="1:59" ht="15.75" hidden="1" customHeight="1" x14ac:dyDescent="0.4">
      <c r="A30" s="242"/>
      <c r="B30" s="253"/>
      <c r="C30" s="245"/>
      <c r="D30" s="127">
        <f t="shared" ref="D30:AB30" si="28">IF(IFERROR(IF(VLOOKUP(D29,D$151:D$155,1,0)&gt;=1,D$150,0),D29)=D$132,D$136,IF(IFERROR(IF(VLOOKUP(D29,D$151:D$155,1,0)&gt;=1,D$150,0),D29)=D$139,D$142,IF(IFERROR(IF(VLOOKUP(D29,D$151:D$155,1,0)&gt;=1,D$150,0),D29)=D$145,D$147,0)))</f>
        <v>0</v>
      </c>
      <c r="E30" s="127">
        <f t="shared" si="28"/>
        <v>0</v>
      </c>
      <c r="F30" s="127">
        <f t="shared" si="28"/>
        <v>0</v>
      </c>
      <c r="G30" s="127">
        <f t="shared" si="28"/>
        <v>0</v>
      </c>
      <c r="H30" s="127">
        <f t="shared" si="28"/>
        <v>0</v>
      </c>
      <c r="I30" s="127">
        <f t="shared" si="28"/>
        <v>0</v>
      </c>
      <c r="J30" s="127">
        <f t="shared" si="28"/>
        <v>0</v>
      </c>
      <c r="K30" s="127">
        <f t="shared" si="28"/>
        <v>0</v>
      </c>
      <c r="L30" s="127">
        <f t="shared" si="28"/>
        <v>0</v>
      </c>
      <c r="M30" s="127">
        <f t="shared" si="28"/>
        <v>0</v>
      </c>
      <c r="N30" s="127">
        <f t="shared" si="28"/>
        <v>0</v>
      </c>
      <c r="O30" s="127">
        <f t="shared" si="28"/>
        <v>0</v>
      </c>
      <c r="P30" s="127">
        <f t="shared" si="28"/>
        <v>0</v>
      </c>
      <c r="Q30" s="127">
        <f t="shared" si="28"/>
        <v>0</v>
      </c>
      <c r="R30" s="127">
        <f t="shared" si="28"/>
        <v>0</v>
      </c>
      <c r="S30" s="127">
        <f t="shared" si="28"/>
        <v>0</v>
      </c>
      <c r="T30" s="127">
        <f t="shared" si="28"/>
        <v>0</v>
      </c>
      <c r="U30" s="127">
        <f t="shared" si="28"/>
        <v>0</v>
      </c>
      <c r="V30" s="127">
        <f t="shared" si="28"/>
        <v>0</v>
      </c>
      <c r="W30" s="127">
        <f t="shared" si="28"/>
        <v>0</v>
      </c>
      <c r="X30" s="127">
        <f t="shared" si="28"/>
        <v>0</v>
      </c>
      <c r="Y30" s="127">
        <f t="shared" si="28"/>
        <v>0</v>
      </c>
      <c r="Z30" s="127">
        <f t="shared" si="28"/>
        <v>0</v>
      </c>
      <c r="AA30" s="127">
        <f t="shared" si="28"/>
        <v>0</v>
      </c>
      <c r="AB30" s="127">
        <f t="shared" si="28"/>
        <v>0</v>
      </c>
      <c r="AC30" s="243"/>
      <c r="AE30" s="86">
        <v>27</v>
      </c>
      <c r="AF30" s="91" t="str">
        <f>IF(ISBLANK(STUD!B28)," ",STUD!B28)</f>
        <v xml:space="preserve"> </v>
      </c>
      <c r="AG30" s="91">
        <f t="shared" si="18"/>
        <v>0</v>
      </c>
      <c r="AH30" s="92">
        <f t="shared" si="8"/>
        <v>0</v>
      </c>
      <c r="AI30" s="88" t="str">
        <f t="shared" si="1"/>
        <v xml:space="preserve"> </v>
      </c>
      <c r="AJ30" s="53" t="str">
        <f>IF(AI30="","",IFERROR(IF(VLOOKUP(AI30,Programa!$AF$3:$AG$18,2,0)="","",VLOOKUP(AI30,Programa!$AF$3:$AG$18,2,0)),""))</f>
        <v/>
      </c>
      <c r="AK30" s="53" t="str">
        <f t="shared" si="2"/>
        <v xml:space="preserve"> </v>
      </c>
      <c r="AL30" s="53" t="str">
        <f>IF(AK30="","",IFERROR(IF(VLOOKUP(AK30,Programa!$AF$19:$AG$34,2,0)="","",VLOOKUP(AK30,Programa!$AA$19:$AB$34,2,0)),""))</f>
        <v/>
      </c>
      <c r="AM30" s="53" t="str">
        <f t="shared" si="3"/>
        <v xml:space="preserve"> </v>
      </c>
      <c r="AN30" s="53" t="str">
        <f>IF(AM30="","",IFERROR(IF(VLOOKUP(AM30,Programa!$AF$35:$AG$50,2,0)="","",VLOOKUP(AM30,Programa!$AA$35:$AB$50,2,0)),""))</f>
        <v/>
      </c>
      <c r="AP30" s="86">
        <v>27</v>
      </c>
      <c r="AQ30" s="91" t="str">
        <f>IF(ISBLANK(STUD!B28)," ",STUD!B28)</f>
        <v xml:space="preserve"> </v>
      </c>
      <c r="AR30" s="91">
        <f>IFERROR(VLOOKUP(AQ30,Lunes!$AF$4:$AG$31,2,0),0)</f>
        <v>0</v>
      </c>
      <c r="AS30" s="91">
        <f>IFERROR(VLOOKUP(AQ30,Martes!$AF$4:$AH$31,2,0),0)</f>
        <v>0</v>
      </c>
      <c r="AT30" s="91">
        <f>IFERROR(VLOOKUP(AQ30,Miercoles!$AF$4:$AG$31,2,0),0)</f>
        <v>0</v>
      </c>
      <c r="AU30" s="91">
        <f>IFERROR(VLOOKUP(AQ30,Jueves!$AF$4:$AG$26,2,0),0)</f>
        <v>0</v>
      </c>
      <c r="AV30" s="91">
        <f>IFERROR(VLOOKUP(AQ30,Viernes!$AF$4:$AG$31,2,0),0)</f>
        <v>0</v>
      </c>
      <c r="AW30" s="91">
        <f>IFERROR(VLOOKUP(AQ30,Sabado!$AF$4:$AG$31,2,0),0)</f>
        <v>0</v>
      </c>
      <c r="AX30" s="91">
        <f t="shared" si="19"/>
        <v>0</v>
      </c>
      <c r="AY30" s="91">
        <f t="shared" si="20"/>
        <v>0</v>
      </c>
      <c r="AZ30" s="91">
        <f t="shared" si="10"/>
        <v>180.5</v>
      </c>
      <c r="BB30" s="86">
        <v>27</v>
      </c>
      <c r="BC30" s="91" t="str">
        <f>IF(ISBLANK(STUD!B28)," ",STUD!B28)</f>
        <v xml:space="preserve"> </v>
      </c>
      <c r="BD30" s="91">
        <f>IFERROR(VLOOKUP(BC30,Sabado!$AF$4:$AG$31,2,0),0)</f>
        <v>0</v>
      </c>
      <c r="BE30" s="91">
        <f t="shared" si="21"/>
        <v>0</v>
      </c>
      <c r="BF30" s="91">
        <f t="shared" si="22"/>
        <v>0</v>
      </c>
      <c r="BG30" s="91">
        <f t="shared" si="11"/>
        <v>0</v>
      </c>
    </row>
    <row r="31" spans="1:59" ht="15.75" hidden="1" customHeight="1" x14ac:dyDescent="0.4">
      <c r="A31" s="252">
        <f>+A29+1</f>
        <v>14</v>
      </c>
      <c r="B31" s="253">
        <f>+STUD!B15</f>
        <v>0</v>
      </c>
      <c r="C31" s="244">
        <f>SUM(D32:AB32)</f>
        <v>0</v>
      </c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29"/>
      <c r="W31" s="129"/>
      <c r="X31" s="129"/>
      <c r="Y31" s="129"/>
      <c r="Z31" s="133"/>
      <c r="AA31" s="133"/>
      <c r="AB31" s="133"/>
      <c r="AC31" s="243">
        <f>SUM(D32:AB32)</f>
        <v>0</v>
      </c>
      <c r="AE31" s="87">
        <v>28</v>
      </c>
      <c r="AF31" s="91" t="str">
        <f>IF(ISBLANK(STUD!B29)," ",STUD!B29)</f>
        <v xml:space="preserve"> </v>
      </c>
      <c r="AG31" s="91">
        <f t="shared" si="18"/>
        <v>0</v>
      </c>
      <c r="AH31" s="92">
        <f t="shared" si="8"/>
        <v>0</v>
      </c>
      <c r="AI31" s="88" t="str">
        <f t="shared" si="1"/>
        <v xml:space="preserve"> </v>
      </c>
      <c r="AJ31" s="53" t="str">
        <f>IF(AI31="","",IFERROR(IF(VLOOKUP(AI31,Programa!$AF$3:$AG$18,2,0)="","",VLOOKUP(AI31,Programa!$AF$3:$AG$18,2,0)),""))</f>
        <v/>
      </c>
      <c r="AK31" s="53" t="str">
        <f t="shared" si="2"/>
        <v xml:space="preserve"> </v>
      </c>
      <c r="AL31" s="53" t="str">
        <f>IF(AK31="","",IFERROR(IF(VLOOKUP(AK31,Programa!$AF$19:$AG$34,2,0)="","",VLOOKUP(AK31,Programa!$AA$19:$AB$34,2,0)),""))</f>
        <v/>
      </c>
      <c r="AM31" s="53" t="str">
        <f t="shared" si="3"/>
        <v xml:space="preserve"> </v>
      </c>
      <c r="AN31" s="53" t="str">
        <f>IF(AM31="","",IFERROR(IF(VLOOKUP(AM31,Programa!$AF$35:$AG$50,2,0)="","",VLOOKUP(AM31,Programa!$AA$35:$AB$50,2,0)),""))</f>
        <v/>
      </c>
      <c r="AP31" s="87">
        <v>28</v>
      </c>
      <c r="AQ31" s="91" t="str">
        <f>IF(ISBLANK(STUD!B29)," ",STUD!B29)</f>
        <v xml:space="preserve"> </v>
      </c>
      <c r="AR31" s="91">
        <f>IFERROR(VLOOKUP(AQ31,Lunes!$AF$4:$AG$31,2,0),0)</f>
        <v>0</v>
      </c>
      <c r="AS31" s="91">
        <f>IFERROR(VLOOKUP(AQ31,Martes!$AF$4:$AH$31,2,0),0)</f>
        <v>0</v>
      </c>
      <c r="AT31" s="91">
        <f>IFERROR(VLOOKUP(AQ31,Miercoles!$AF$4:$AG$31,2,0),0)</f>
        <v>0</v>
      </c>
      <c r="AU31" s="91">
        <f>IFERROR(VLOOKUP(AQ31,Jueves!$AF$4:$AG$26,2,0),0)</f>
        <v>0</v>
      </c>
      <c r="AV31" s="91">
        <f>IFERROR(VLOOKUP(AQ31,Viernes!$AF$4:$AG$31,2,0),0)</f>
        <v>0</v>
      </c>
      <c r="AW31" s="91">
        <f>IFERROR(VLOOKUP(AQ31,Sabado!$AF$4:$AG$31,2,0),0)</f>
        <v>0</v>
      </c>
      <c r="AX31" s="91">
        <f t="shared" si="19"/>
        <v>0</v>
      </c>
      <c r="AY31" s="91">
        <f t="shared" si="20"/>
        <v>0</v>
      </c>
      <c r="AZ31" s="91">
        <f t="shared" si="10"/>
        <v>180.5</v>
      </c>
      <c r="BB31" s="87">
        <v>28</v>
      </c>
      <c r="BC31" s="91" t="str">
        <f>IF(ISBLANK(STUD!B29)," ",STUD!B29)</f>
        <v xml:space="preserve"> </v>
      </c>
      <c r="BD31" s="91">
        <f>IFERROR(VLOOKUP(BC31,Sabado!$AF$4:$AG$31,2,0),0)</f>
        <v>0</v>
      </c>
      <c r="BE31" s="91">
        <f t="shared" si="21"/>
        <v>0</v>
      </c>
      <c r="BF31" s="91">
        <f t="shared" si="22"/>
        <v>0</v>
      </c>
      <c r="BG31" s="91">
        <f t="shared" si="11"/>
        <v>0</v>
      </c>
    </row>
    <row r="32" spans="1:59" ht="15.75" hidden="1" customHeight="1" x14ac:dyDescent="0.4">
      <c r="A32" s="242"/>
      <c r="B32" s="253"/>
      <c r="C32" s="245"/>
      <c r="D32" s="127">
        <f t="shared" ref="D32:AB32" si="29">IF(IFERROR(IF(VLOOKUP(D31,D$151:D$155,1,0)&gt;=1,D$150,0),D31)=D$132,D$136,IF(IFERROR(IF(VLOOKUP(D31,D$151:D$155,1,0)&gt;=1,D$150,0),D31)=D$139,D$142,IF(IFERROR(IF(VLOOKUP(D31,D$151:D$155,1,0)&gt;=1,D$150,0),D31)=D$145,D$147,0)))</f>
        <v>0</v>
      </c>
      <c r="E32" s="127">
        <f t="shared" si="29"/>
        <v>0</v>
      </c>
      <c r="F32" s="127">
        <f t="shared" si="29"/>
        <v>0</v>
      </c>
      <c r="G32" s="127">
        <f t="shared" si="29"/>
        <v>0</v>
      </c>
      <c r="H32" s="127">
        <f t="shared" si="29"/>
        <v>0</v>
      </c>
      <c r="I32" s="127">
        <f t="shared" si="29"/>
        <v>0</v>
      </c>
      <c r="J32" s="127">
        <f t="shared" si="29"/>
        <v>0</v>
      </c>
      <c r="K32" s="127">
        <f t="shared" si="29"/>
        <v>0</v>
      </c>
      <c r="L32" s="127">
        <f t="shared" si="29"/>
        <v>0</v>
      </c>
      <c r="M32" s="127">
        <f t="shared" si="29"/>
        <v>0</v>
      </c>
      <c r="N32" s="127">
        <f t="shared" si="29"/>
        <v>0</v>
      </c>
      <c r="O32" s="127">
        <f t="shared" si="29"/>
        <v>0</v>
      </c>
      <c r="P32" s="127">
        <f t="shared" si="29"/>
        <v>0</v>
      </c>
      <c r="Q32" s="127">
        <f t="shared" si="29"/>
        <v>0</v>
      </c>
      <c r="R32" s="127">
        <f t="shared" si="29"/>
        <v>0</v>
      </c>
      <c r="S32" s="127">
        <f t="shared" si="29"/>
        <v>0</v>
      </c>
      <c r="T32" s="127">
        <f t="shared" si="29"/>
        <v>0</v>
      </c>
      <c r="U32" s="127">
        <f t="shared" si="29"/>
        <v>0</v>
      </c>
      <c r="V32" s="127">
        <f t="shared" si="29"/>
        <v>0</v>
      </c>
      <c r="W32" s="127">
        <f t="shared" si="29"/>
        <v>0</v>
      </c>
      <c r="X32" s="127">
        <f t="shared" si="29"/>
        <v>0</v>
      </c>
      <c r="Y32" s="127">
        <f t="shared" si="29"/>
        <v>0</v>
      </c>
      <c r="Z32" s="127">
        <f t="shared" si="29"/>
        <v>0</v>
      </c>
      <c r="AA32" s="127">
        <f t="shared" si="29"/>
        <v>0</v>
      </c>
      <c r="AB32" s="127">
        <f t="shared" si="29"/>
        <v>0</v>
      </c>
      <c r="AC32" s="243"/>
      <c r="AI32" s="54"/>
      <c r="AJ32" s="54"/>
      <c r="AK32" s="54"/>
      <c r="AL32" s="54"/>
      <c r="AM32" s="54"/>
      <c r="AN32" s="54"/>
    </row>
    <row r="33" spans="1:34" ht="15.75" hidden="1" customHeight="1" x14ac:dyDescent="0.45">
      <c r="A33" s="252">
        <f>+A31+1</f>
        <v>15</v>
      </c>
      <c r="B33" s="253">
        <f>+STUD!B16</f>
        <v>0</v>
      </c>
      <c r="C33" s="244">
        <f>SUM(D34:AB34)</f>
        <v>0</v>
      </c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33"/>
      <c r="AA33" s="133"/>
      <c r="AB33" s="133"/>
      <c r="AC33" s="243">
        <f>SUM(D34:AB34)</f>
        <v>0</v>
      </c>
      <c r="AE33" s="55" t="s">
        <v>51</v>
      </c>
      <c r="AF33" s="61">
        <f>COUNTA(STUD!B2:B29)</f>
        <v>10</v>
      </c>
      <c r="AG33" s="55" t="s">
        <v>16</v>
      </c>
      <c r="AH33" s="56">
        <f>(AF33-1)*10000</f>
        <v>90000</v>
      </c>
    </row>
    <row r="34" spans="1:34" ht="15.75" hidden="1" customHeight="1" x14ac:dyDescent="0.4">
      <c r="A34" s="242"/>
      <c r="B34" s="253"/>
      <c r="C34" s="245"/>
      <c r="D34" s="127">
        <f t="shared" ref="D34:AB34" si="30">IF(IFERROR(IF(VLOOKUP(D33,D$151:D$155,1,0)&gt;=1,D$150,0),D33)=D$132,D$136,IF(IFERROR(IF(VLOOKUP(D33,D$151:D$155,1,0)&gt;=1,D$150,0),D33)=D$139,D$142,IF(IFERROR(IF(VLOOKUP(D33,D$151:D$155,1,0)&gt;=1,D$150,0),D33)=D$145,D$147,0)))</f>
        <v>0</v>
      </c>
      <c r="E34" s="127">
        <f t="shared" si="30"/>
        <v>0</v>
      </c>
      <c r="F34" s="127">
        <f t="shared" si="30"/>
        <v>0</v>
      </c>
      <c r="G34" s="127">
        <f t="shared" si="30"/>
        <v>0</v>
      </c>
      <c r="H34" s="127">
        <f t="shared" si="30"/>
        <v>0</v>
      </c>
      <c r="I34" s="127">
        <f t="shared" si="30"/>
        <v>0</v>
      </c>
      <c r="J34" s="127">
        <f t="shared" si="30"/>
        <v>0</v>
      </c>
      <c r="K34" s="127">
        <f t="shared" si="30"/>
        <v>0</v>
      </c>
      <c r="L34" s="127">
        <f t="shared" si="30"/>
        <v>0</v>
      </c>
      <c r="M34" s="127">
        <f t="shared" si="30"/>
        <v>0</v>
      </c>
      <c r="N34" s="127">
        <f t="shared" si="30"/>
        <v>0</v>
      </c>
      <c r="O34" s="127">
        <f t="shared" si="30"/>
        <v>0</v>
      </c>
      <c r="P34" s="127">
        <f t="shared" si="30"/>
        <v>0</v>
      </c>
      <c r="Q34" s="127">
        <f t="shared" si="30"/>
        <v>0</v>
      </c>
      <c r="R34" s="127">
        <f t="shared" si="30"/>
        <v>0</v>
      </c>
      <c r="S34" s="127">
        <f t="shared" si="30"/>
        <v>0</v>
      </c>
      <c r="T34" s="127">
        <f t="shared" si="30"/>
        <v>0</v>
      </c>
      <c r="U34" s="127">
        <f t="shared" si="30"/>
        <v>0</v>
      </c>
      <c r="V34" s="127">
        <f t="shared" si="30"/>
        <v>0</v>
      </c>
      <c r="W34" s="127">
        <f t="shared" si="30"/>
        <v>0</v>
      </c>
      <c r="X34" s="127">
        <f t="shared" si="30"/>
        <v>0</v>
      </c>
      <c r="Y34" s="127">
        <f t="shared" si="30"/>
        <v>0</v>
      </c>
      <c r="Z34" s="127">
        <f t="shared" si="30"/>
        <v>0</v>
      </c>
      <c r="AA34" s="127">
        <f t="shared" si="30"/>
        <v>0</v>
      </c>
      <c r="AB34" s="127">
        <f t="shared" si="30"/>
        <v>0</v>
      </c>
      <c r="AC34" s="243"/>
      <c r="AE34" s="58" t="s">
        <v>38</v>
      </c>
      <c r="AF34" s="58"/>
      <c r="AG34" s="59">
        <f>($AH$33-$AG$36)*80%</f>
        <v>64800</v>
      </c>
      <c r="AH34" s="59"/>
    </row>
    <row r="35" spans="1:34" ht="15.75" hidden="1" customHeight="1" x14ac:dyDescent="0.4">
      <c r="A35" s="252">
        <f>+A33+1</f>
        <v>16</v>
      </c>
      <c r="B35" s="253">
        <f>+STUD!B17</f>
        <v>0</v>
      </c>
      <c r="C35" s="244">
        <f>SUM(D36:AB36)</f>
        <v>0</v>
      </c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33"/>
      <c r="AA35" s="133"/>
      <c r="AB35" s="133"/>
      <c r="AC35" s="243">
        <f>SUM(D36:AB36)</f>
        <v>0</v>
      </c>
      <c r="AE35" s="58" t="s">
        <v>39</v>
      </c>
      <c r="AF35" s="58"/>
      <c r="AG35" s="59">
        <f>($AH$33-$AG$36)*20%</f>
        <v>16200</v>
      </c>
      <c r="AH35" s="59"/>
    </row>
    <row r="36" spans="1:34" ht="15.75" hidden="1" customHeight="1" x14ac:dyDescent="0.4">
      <c r="A36" s="242"/>
      <c r="B36" s="253"/>
      <c r="C36" s="245"/>
      <c r="D36" s="127">
        <f t="shared" ref="D36:AB36" si="31">IF(IFERROR(IF(VLOOKUP(D35,D$151:D$155,1,0)&gt;=1,D$150,0),D35)=D$132,D$136,IF(IFERROR(IF(VLOOKUP(D35,D$151:D$155,1,0)&gt;=1,D$150,0),D35)=D$139,D$142,IF(IFERROR(IF(VLOOKUP(D35,D$151:D$155,1,0)&gt;=1,D$150,0),D35)=D$145,D$147,0)))</f>
        <v>0</v>
      </c>
      <c r="E36" s="127">
        <f t="shared" si="31"/>
        <v>0</v>
      </c>
      <c r="F36" s="127">
        <f t="shared" si="31"/>
        <v>0</v>
      </c>
      <c r="G36" s="127">
        <f t="shared" si="31"/>
        <v>0</v>
      </c>
      <c r="H36" s="127">
        <f t="shared" si="31"/>
        <v>0</v>
      </c>
      <c r="I36" s="127">
        <f t="shared" si="31"/>
        <v>0</v>
      </c>
      <c r="J36" s="127">
        <f t="shared" si="31"/>
        <v>0</v>
      </c>
      <c r="K36" s="127">
        <f t="shared" si="31"/>
        <v>0</v>
      </c>
      <c r="L36" s="127">
        <f t="shared" si="31"/>
        <v>0</v>
      </c>
      <c r="M36" s="127">
        <f t="shared" si="31"/>
        <v>0</v>
      </c>
      <c r="N36" s="127">
        <f t="shared" si="31"/>
        <v>0</v>
      </c>
      <c r="O36" s="127">
        <f t="shared" si="31"/>
        <v>0</v>
      </c>
      <c r="P36" s="127">
        <f t="shared" si="31"/>
        <v>0</v>
      </c>
      <c r="Q36" s="127">
        <f t="shared" si="31"/>
        <v>0</v>
      </c>
      <c r="R36" s="127">
        <f t="shared" si="31"/>
        <v>0</v>
      </c>
      <c r="S36" s="127">
        <f t="shared" si="31"/>
        <v>0</v>
      </c>
      <c r="T36" s="127">
        <f t="shared" si="31"/>
        <v>0</v>
      </c>
      <c r="U36" s="127">
        <f t="shared" si="31"/>
        <v>0</v>
      </c>
      <c r="V36" s="127">
        <f t="shared" si="31"/>
        <v>0</v>
      </c>
      <c r="W36" s="127">
        <f t="shared" si="31"/>
        <v>0</v>
      </c>
      <c r="X36" s="127">
        <f t="shared" si="31"/>
        <v>0</v>
      </c>
      <c r="Y36" s="127">
        <f t="shared" si="31"/>
        <v>0</v>
      </c>
      <c r="Z36" s="127">
        <f t="shared" si="31"/>
        <v>0</v>
      </c>
      <c r="AA36" s="127">
        <f t="shared" si="31"/>
        <v>0</v>
      </c>
      <c r="AB36" s="127">
        <f t="shared" si="31"/>
        <v>0</v>
      </c>
      <c r="AC36" s="243"/>
      <c r="AE36" s="58" t="s">
        <v>40</v>
      </c>
      <c r="AF36" s="58"/>
      <c r="AG36" s="60">
        <f>(AH33*10%)</f>
        <v>9000</v>
      </c>
      <c r="AH36" s="60"/>
    </row>
    <row r="37" spans="1:34" ht="15.75" hidden="1" customHeight="1" x14ac:dyDescent="0.4">
      <c r="A37" s="252">
        <f>+A35+1</f>
        <v>17</v>
      </c>
      <c r="B37" s="253">
        <f>+STUD!B18</f>
        <v>0</v>
      </c>
      <c r="C37" s="244">
        <f>SUM(D38:AB38)</f>
        <v>0</v>
      </c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33"/>
      <c r="AA37" s="133"/>
      <c r="AB37" s="133"/>
      <c r="AC37" s="243">
        <f>SUM(D38:AB38)</f>
        <v>0</v>
      </c>
    </row>
    <row r="38" spans="1:34" ht="15.75" hidden="1" customHeight="1" x14ac:dyDescent="0.4">
      <c r="A38" s="242"/>
      <c r="B38" s="253"/>
      <c r="C38" s="245"/>
      <c r="D38" s="127">
        <f t="shared" ref="D38:AB38" si="32">IF(IFERROR(IF(VLOOKUP(D37,D$151:D$155,1,0)&gt;=1,D$150,0),D37)=D$132,D$136,IF(IFERROR(IF(VLOOKUP(D37,D$151:D$155,1,0)&gt;=1,D$150,0),D37)=D$139,D$142,IF(IFERROR(IF(VLOOKUP(D37,D$151:D$155,1,0)&gt;=1,D$150,0),D37)=D$145,D$147,0)))</f>
        <v>0</v>
      </c>
      <c r="E38" s="127">
        <f t="shared" si="32"/>
        <v>0</v>
      </c>
      <c r="F38" s="127">
        <f t="shared" si="32"/>
        <v>0</v>
      </c>
      <c r="G38" s="127">
        <f t="shared" si="32"/>
        <v>0</v>
      </c>
      <c r="H38" s="127">
        <f t="shared" si="32"/>
        <v>0</v>
      </c>
      <c r="I38" s="127">
        <f t="shared" si="32"/>
        <v>0</v>
      </c>
      <c r="J38" s="127">
        <f t="shared" si="32"/>
        <v>0</v>
      </c>
      <c r="K38" s="127">
        <f t="shared" si="32"/>
        <v>0</v>
      </c>
      <c r="L38" s="127">
        <f t="shared" si="32"/>
        <v>0</v>
      </c>
      <c r="M38" s="127">
        <f t="shared" si="32"/>
        <v>0</v>
      </c>
      <c r="N38" s="127">
        <f t="shared" si="32"/>
        <v>0</v>
      </c>
      <c r="O38" s="127">
        <f t="shared" si="32"/>
        <v>0</v>
      </c>
      <c r="P38" s="127">
        <f t="shared" si="32"/>
        <v>0</v>
      </c>
      <c r="Q38" s="127">
        <f t="shared" si="32"/>
        <v>0</v>
      </c>
      <c r="R38" s="127">
        <f t="shared" si="32"/>
        <v>0</v>
      </c>
      <c r="S38" s="127">
        <f t="shared" si="32"/>
        <v>0</v>
      </c>
      <c r="T38" s="127">
        <f t="shared" si="32"/>
        <v>0</v>
      </c>
      <c r="U38" s="127">
        <f t="shared" si="32"/>
        <v>0</v>
      </c>
      <c r="V38" s="127">
        <f t="shared" si="32"/>
        <v>0</v>
      </c>
      <c r="W38" s="127">
        <f t="shared" si="32"/>
        <v>0</v>
      </c>
      <c r="X38" s="127">
        <f t="shared" si="32"/>
        <v>0</v>
      </c>
      <c r="Y38" s="127">
        <f t="shared" si="32"/>
        <v>0</v>
      </c>
      <c r="Z38" s="127">
        <f t="shared" si="32"/>
        <v>0</v>
      </c>
      <c r="AA38" s="127">
        <f t="shared" si="32"/>
        <v>0</v>
      </c>
      <c r="AB38" s="127">
        <f t="shared" si="32"/>
        <v>0</v>
      </c>
      <c r="AC38" s="243"/>
    </row>
    <row r="39" spans="1:34" ht="15.75" hidden="1" customHeight="1" x14ac:dyDescent="0.4">
      <c r="A39" s="252">
        <f>+A37+1</f>
        <v>18</v>
      </c>
      <c r="B39" s="253">
        <f>+STUD!B19</f>
        <v>0</v>
      </c>
      <c r="C39" s="244">
        <f>SUM(D40:AB40)</f>
        <v>0</v>
      </c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33"/>
      <c r="Y39" s="133"/>
      <c r="Z39" s="133"/>
      <c r="AA39" s="133"/>
      <c r="AB39" s="133"/>
      <c r="AC39" s="243">
        <f>SUM(D40:AB40)</f>
        <v>0</v>
      </c>
    </row>
    <row r="40" spans="1:34" ht="15.75" hidden="1" customHeight="1" x14ac:dyDescent="0.4">
      <c r="A40" s="242"/>
      <c r="B40" s="253"/>
      <c r="C40" s="245"/>
      <c r="D40" s="127">
        <f t="shared" ref="D40:AB40" si="33">IF(IFERROR(IF(VLOOKUP(D39,D$151:D$155,1,0)&gt;=1,D$150,0),D39)=D$132,D$136,IF(IFERROR(IF(VLOOKUP(D39,D$151:D$155,1,0)&gt;=1,D$150,0),D39)=D$139,D$142,IF(IFERROR(IF(VLOOKUP(D39,D$151:D$155,1,0)&gt;=1,D$150,0),D39)=D$145,D$147,0)))</f>
        <v>0</v>
      </c>
      <c r="E40" s="127">
        <f t="shared" si="33"/>
        <v>0</v>
      </c>
      <c r="F40" s="127">
        <f t="shared" si="33"/>
        <v>0</v>
      </c>
      <c r="G40" s="127">
        <f t="shared" si="33"/>
        <v>0</v>
      </c>
      <c r="H40" s="127">
        <f t="shared" si="33"/>
        <v>0</v>
      </c>
      <c r="I40" s="127">
        <f t="shared" si="33"/>
        <v>0</v>
      </c>
      <c r="J40" s="127">
        <f t="shared" si="33"/>
        <v>0</v>
      </c>
      <c r="K40" s="127">
        <f t="shared" si="33"/>
        <v>0</v>
      </c>
      <c r="L40" s="127">
        <f t="shared" si="33"/>
        <v>0</v>
      </c>
      <c r="M40" s="127">
        <f t="shared" si="33"/>
        <v>0</v>
      </c>
      <c r="N40" s="127">
        <f t="shared" si="33"/>
        <v>0</v>
      </c>
      <c r="O40" s="127">
        <f t="shared" si="33"/>
        <v>0</v>
      </c>
      <c r="P40" s="127">
        <f t="shared" si="33"/>
        <v>0</v>
      </c>
      <c r="Q40" s="127">
        <f t="shared" si="33"/>
        <v>0</v>
      </c>
      <c r="R40" s="127">
        <f t="shared" si="33"/>
        <v>0</v>
      </c>
      <c r="S40" s="127">
        <f t="shared" si="33"/>
        <v>0</v>
      </c>
      <c r="T40" s="127">
        <f t="shared" si="33"/>
        <v>0</v>
      </c>
      <c r="U40" s="127">
        <f t="shared" si="33"/>
        <v>0</v>
      </c>
      <c r="V40" s="127">
        <f t="shared" si="33"/>
        <v>0</v>
      </c>
      <c r="W40" s="127">
        <f t="shared" si="33"/>
        <v>0</v>
      </c>
      <c r="X40" s="127">
        <f t="shared" si="33"/>
        <v>0</v>
      </c>
      <c r="Y40" s="127">
        <f t="shared" si="33"/>
        <v>0</v>
      </c>
      <c r="Z40" s="127">
        <f t="shared" si="33"/>
        <v>0</v>
      </c>
      <c r="AA40" s="127">
        <f t="shared" si="33"/>
        <v>0</v>
      </c>
      <c r="AB40" s="127">
        <f t="shared" si="33"/>
        <v>0</v>
      </c>
      <c r="AC40" s="243"/>
    </row>
    <row r="41" spans="1:34" ht="15.75" hidden="1" customHeight="1" x14ac:dyDescent="0.4">
      <c r="A41" s="252">
        <f>+A39+1</f>
        <v>19</v>
      </c>
      <c r="B41" s="253">
        <f>+STUD!B20</f>
        <v>0</v>
      </c>
      <c r="C41" s="244">
        <f>SUM(D42:AB42)</f>
        <v>0</v>
      </c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33"/>
      <c r="Y41" s="133"/>
      <c r="Z41" s="133"/>
      <c r="AA41" s="133"/>
      <c r="AB41" s="133"/>
      <c r="AC41" s="243">
        <f>SUM(D42:AB42)</f>
        <v>0</v>
      </c>
    </row>
    <row r="42" spans="1:34" ht="15.75" hidden="1" customHeight="1" x14ac:dyDescent="0.4">
      <c r="A42" s="242"/>
      <c r="B42" s="253"/>
      <c r="C42" s="245"/>
      <c r="D42" s="127">
        <f t="shared" ref="D42:AB42" si="34">IF(IFERROR(IF(VLOOKUP(D41,D$151:D$155,1,0)&gt;=1,D$150,0),D41)=D$132,D$136,IF(IFERROR(IF(VLOOKUP(D41,D$151:D$155,1,0)&gt;=1,D$150,0),D41)=D$139,D$142,IF(IFERROR(IF(VLOOKUP(D41,D$151:D$155,1,0)&gt;=1,D$150,0),D41)=D$145,D$147,0)))</f>
        <v>0</v>
      </c>
      <c r="E42" s="127">
        <f t="shared" si="34"/>
        <v>0</v>
      </c>
      <c r="F42" s="127">
        <f t="shared" si="34"/>
        <v>0</v>
      </c>
      <c r="G42" s="127">
        <f t="shared" si="34"/>
        <v>0</v>
      </c>
      <c r="H42" s="127">
        <f t="shared" si="34"/>
        <v>0</v>
      </c>
      <c r="I42" s="127">
        <f t="shared" si="34"/>
        <v>0</v>
      </c>
      <c r="J42" s="127">
        <f t="shared" si="34"/>
        <v>0</v>
      </c>
      <c r="K42" s="127">
        <f t="shared" si="34"/>
        <v>0</v>
      </c>
      <c r="L42" s="127">
        <f t="shared" si="34"/>
        <v>0</v>
      </c>
      <c r="M42" s="127">
        <f t="shared" si="34"/>
        <v>0</v>
      </c>
      <c r="N42" s="127">
        <f t="shared" si="34"/>
        <v>0</v>
      </c>
      <c r="O42" s="127">
        <f t="shared" si="34"/>
        <v>0</v>
      </c>
      <c r="P42" s="127">
        <f t="shared" si="34"/>
        <v>0</v>
      </c>
      <c r="Q42" s="127">
        <f t="shared" si="34"/>
        <v>0</v>
      </c>
      <c r="R42" s="127">
        <f t="shared" si="34"/>
        <v>0</v>
      </c>
      <c r="S42" s="127">
        <f t="shared" si="34"/>
        <v>0</v>
      </c>
      <c r="T42" s="127">
        <f t="shared" si="34"/>
        <v>0</v>
      </c>
      <c r="U42" s="127">
        <f t="shared" si="34"/>
        <v>0</v>
      </c>
      <c r="V42" s="127">
        <f t="shared" si="34"/>
        <v>0</v>
      </c>
      <c r="W42" s="127">
        <f t="shared" si="34"/>
        <v>0</v>
      </c>
      <c r="X42" s="127">
        <f t="shared" si="34"/>
        <v>0</v>
      </c>
      <c r="Y42" s="127">
        <f t="shared" si="34"/>
        <v>0</v>
      </c>
      <c r="Z42" s="127">
        <f t="shared" si="34"/>
        <v>0</v>
      </c>
      <c r="AA42" s="127">
        <f t="shared" si="34"/>
        <v>0</v>
      </c>
      <c r="AB42" s="127">
        <f t="shared" si="34"/>
        <v>0</v>
      </c>
      <c r="AC42" s="243"/>
    </row>
    <row r="43" spans="1:34" ht="15.75" hidden="1" customHeight="1" x14ac:dyDescent="0.4">
      <c r="A43" s="252">
        <f>+A41+1</f>
        <v>20</v>
      </c>
      <c r="B43" s="253">
        <f>+STUD!B21</f>
        <v>0</v>
      </c>
      <c r="C43" s="244">
        <f>SUM(D44:AB44)</f>
        <v>0</v>
      </c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33"/>
      <c r="Y43" s="133"/>
      <c r="Z43" s="133"/>
      <c r="AA43" s="133"/>
      <c r="AB43" s="133"/>
      <c r="AC43" s="243">
        <f>SUM(D44:AB44)</f>
        <v>0</v>
      </c>
    </row>
    <row r="44" spans="1:34" ht="15.75" hidden="1" customHeight="1" x14ac:dyDescent="0.4">
      <c r="A44" s="242"/>
      <c r="B44" s="253"/>
      <c r="C44" s="245"/>
      <c r="D44" s="127">
        <f t="shared" ref="D44:AB44" si="35">IF(IFERROR(IF(VLOOKUP(D43,D$151:D$155,1,0)&gt;=1,D$150,0),D43)=D$132,D$136,IF(IFERROR(IF(VLOOKUP(D43,D$151:D$155,1,0)&gt;=1,D$150,0),D43)=D$139,D$142,IF(IFERROR(IF(VLOOKUP(D43,D$151:D$155,1,0)&gt;=1,D$150,0),D43)=D$145,D$147,0)))</f>
        <v>0</v>
      </c>
      <c r="E44" s="127">
        <f t="shared" si="35"/>
        <v>0</v>
      </c>
      <c r="F44" s="127">
        <f t="shared" si="35"/>
        <v>0</v>
      </c>
      <c r="G44" s="127">
        <f t="shared" si="35"/>
        <v>0</v>
      </c>
      <c r="H44" s="127">
        <f t="shared" si="35"/>
        <v>0</v>
      </c>
      <c r="I44" s="127">
        <f t="shared" si="35"/>
        <v>0</v>
      </c>
      <c r="J44" s="127">
        <f t="shared" si="35"/>
        <v>0</v>
      </c>
      <c r="K44" s="127">
        <f t="shared" si="35"/>
        <v>0</v>
      </c>
      <c r="L44" s="127">
        <f t="shared" si="35"/>
        <v>0</v>
      </c>
      <c r="M44" s="127">
        <f t="shared" si="35"/>
        <v>0</v>
      </c>
      <c r="N44" s="127">
        <f t="shared" si="35"/>
        <v>0</v>
      </c>
      <c r="O44" s="127">
        <f t="shared" si="35"/>
        <v>0</v>
      </c>
      <c r="P44" s="127">
        <f t="shared" si="35"/>
        <v>0</v>
      </c>
      <c r="Q44" s="127">
        <f t="shared" si="35"/>
        <v>0</v>
      </c>
      <c r="R44" s="127">
        <f t="shared" si="35"/>
        <v>0</v>
      </c>
      <c r="S44" s="127">
        <f t="shared" si="35"/>
        <v>0</v>
      </c>
      <c r="T44" s="127">
        <f t="shared" si="35"/>
        <v>0</v>
      </c>
      <c r="U44" s="127">
        <f t="shared" si="35"/>
        <v>0</v>
      </c>
      <c r="V44" s="127">
        <f t="shared" si="35"/>
        <v>0</v>
      </c>
      <c r="W44" s="127">
        <f t="shared" si="35"/>
        <v>0</v>
      </c>
      <c r="X44" s="127">
        <f t="shared" si="35"/>
        <v>0</v>
      </c>
      <c r="Y44" s="127">
        <f t="shared" si="35"/>
        <v>0</v>
      </c>
      <c r="Z44" s="127">
        <f t="shared" si="35"/>
        <v>0</v>
      </c>
      <c r="AA44" s="127">
        <f t="shared" si="35"/>
        <v>0</v>
      </c>
      <c r="AB44" s="127">
        <f t="shared" si="35"/>
        <v>0</v>
      </c>
      <c r="AC44" s="243"/>
    </row>
    <row r="45" spans="1:34" ht="15.75" hidden="1" customHeight="1" x14ac:dyDescent="0.4">
      <c r="A45" s="252">
        <f>+A43+1</f>
        <v>21</v>
      </c>
      <c r="B45" s="253">
        <f>+STUD!B22</f>
        <v>0</v>
      </c>
      <c r="C45" s="244">
        <f>SUM(D46:AB46)</f>
        <v>0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33"/>
      <c r="Y45" s="133"/>
      <c r="Z45" s="133"/>
      <c r="AA45" s="133"/>
      <c r="AB45" s="133"/>
      <c r="AC45" s="243">
        <f>SUM(D46:AB46)</f>
        <v>0</v>
      </c>
    </row>
    <row r="46" spans="1:34" ht="15.75" hidden="1" customHeight="1" x14ac:dyDescent="0.4">
      <c r="A46" s="242"/>
      <c r="B46" s="253"/>
      <c r="C46" s="245"/>
      <c r="D46" s="127">
        <f t="shared" ref="D46:AB46" si="36">IF(IFERROR(IF(VLOOKUP(D45,D$151:D$155,1,0)&gt;=1,D$150,0),D45)=D$132,D$136,IF(IFERROR(IF(VLOOKUP(D45,D$151:D$155,1,0)&gt;=1,D$150,0),D45)=D$139,D$142,IF(IFERROR(IF(VLOOKUP(D45,D$151:D$155,1,0)&gt;=1,D$150,0),D45)=D$145,D$147,0)))</f>
        <v>0</v>
      </c>
      <c r="E46" s="127">
        <f t="shared" si="36"/>
        <v>0</v>
      </c>
      <c r="F46" s="127">
        <f t="shared" si="36"/>
        <v>0</v>
      </c>
      <c r="G46" s="127">
        <f t="shared" si="36"/>
        <v>0</v>
      </c>
      <c r="H46" s="127">
        <f t="shared" si="36"/>
        <v>0</v>
      </c>
      <c r="I46" s="127">
        <f t="shared" si="36"/>
        <v>0</v>
      </c>
      <c r="J46" s="127">
        <f t="shared" si="36"/>
        <v>0</v>
      </c>
      <c r="K46" s="127">
        <f t="shared" si="36"/>
        <v>0</v>
      </c>
      <c r="L46" s="127">
        <f t="shared" si="36"/>
        <v>0</v>
      </c>
      <c r="M46" s="127">
        <f t="shared" si="36"/>
        <v>0</v>
      </c>
      <c r="N46" s="127">
        <f t="shared" si="36"/>
        <v>0</v>
      </c>
      <c r="O46" s="127">
        <f t="shared" si="36"/>
        <v>0</v>
      </c>
      <c r="P46" s="127">
        <f t="shared" si="36"/>
        <v>0</v>
      </c>
      <c r="Q46" s="127">
        <f t="shared" si="36"/>
        <v>0</v>
      </c>
      <c r="R46" s="127">
        <f t="shared" si="36"/>
        <v>0</v>
      </c>
      <c r="S46" s="127">
        <f t="shared" si="36"/>
        <v>0</v>
      </c>
      <c r="T46" s="127">
        <f t="shared" si="36"/>
        <v>0</v>
      </c>
      <c r="U46" s="127">
        <f t="shared" si="36"/>
        <v>0</v>
      </c>
      <c r="V46" s="127">
        <f t="shared" si="36"/>
        <v>0</v>
      </c>
      <c r="W46" s="127">
        <f t="shared" si="36"/>
        <v>0</v>
      </c>
      <c r="X46" s="127">
        <f t="shared" si="36"/>
        <v>0</v>
      </c>
      <c r="Y46" s="127">
        <f t="shared" si="36"/>
        <v>0</v>
      </c>
      <c r="Z46" s="127">
        <f t="shared" si="36"/>
        <v>0</v>
      </c>
      <c r="AA46" s="127">
        <f t="shared" si="36"/>
        <v>0</v>
      </c>
      <c r="AB46" s="127">
        <f t="shared" si="36"/>
        <v>0</v>
      </c>
      <c r="AC46" s="243"/>
    </row>
    <row r="47" spans="1:34" ht="15.75" hidden="1" customHeight="1" x14ac:dyDescent="0.4">
      <c r="A47" s="252">
        <f>+A45+1</f>
        <v>22</v>
      </c>
      <c r="B47" s="253">
        <f>+STUD!B23</f>
        <v>0</v>
      </c>
      <c r="C47" s="244">
        <f>SUM(D48:AB48)</f>
        <v>0</v>
      </c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33"/>
      <c r="Y47" s="133"/>
      <c r="Z47" s="133"/>
      <c r="AA47" s="133"/>
      <c r="AB47" s="133"/>
      <c r="AC47" s="243">
        <f>SUM(D48:AB48)</f>
        <v>0</v>
      </c>
    </row>
    <row r="48" spans="1:34" ht="15.75" hidden="1" customHeight="1" x14ac:dyDescent="0.4">
      <c r="A48" s="242"/>
      <c r="B48" s="253"/>
      <c r="C48" s="245"/>
      <c r="D48" s="127">
        <f t="shared" ref="D48:AB48" si="37">IF(IFERROR(IF(VLOOKUP(D47,D$151:D$155,1,0)&gt;=1,D$150,0),D47)=D$132,D$136,IF(IFERROR(IF(VLOOKUP(D47,D$151:D$155,1,0)&gt;=1,D$150,0),D47)=D$139,D$142,IF(IFERROR(IF(VLOOKUP(D47,D$151:D$155,1,0)&gt;=1,D$150,0),D47)=D$145,D$147,0)))</f>
        <v>0</v>
      </c>
      <c r="E48" s="127">
        <f t="shared" si="37"/>
        <v>0</v>
      </c>
      <c r="F48" s="127">
        <f t="shared" si="37"/>
        <v>0</v>
      </c>
      <c r="G48" s="127">
        <f t="shared" si="37"/>
        <v>0</v>
      </c>
      <c r="H48" s="127">
        <f t="shared" si="37"/>
        <v>0</v>
      </c>
      <c r="I48" s="127">
        <f t="shared" si="37"/>
        <v>0</v>
      </c>
      <c r="J48" s="127">
        <f t="shared" si="37"/>
        <v>0</v>
      </c>
      <c r="K48" s="127">
        <f t="shared" si="37"/>
        <v>0</v>
      </c>
      <c r="L48" s="127">
        <f t="shared" si="37"/>
        <v>0</v>
      </c>
      <c r="M48" s="127">
        <f t="shared" si="37"/>
        <v>0</v>
      </c>
      <c r="N48" s="127">
        <f t="shared" si="37"/>
        <v>0</v>
      </c>
      <c r="O48" s="127">
        <f t="shared" si="37"/>
        <v>0</v>
      </c>
      <c r="P48" s="127">
        <f t="shared" si="37"/>
        <v>0</v>
      </c>
      <c r="Q48" s="127">
        <f t="shared" si="37"/>
        <v>0</v>
      </c>
      <c r="R48" s="127">
        <f t="shared" si="37"/>
        <v>0</v>
      </c>
      <c r="S48" s="127">
        <f t="shared" si="37"/>
        <v>0</v>
      </c>
      <c r="T48" s="127">
        <f t="shared" si="37"/>
        <v>0</v>
      </c>
      <c r="U48" s="127">
        <f t="shared" si="37"/>
        <v>0</v>
      </c>
      <c r="V48" s="127">
        <f t="shared" si="37"/>
        <v>0</v>
      </c>
      <c r="W48" s="127">
        <f t="shared" si="37"/>
        <v>0</v>
      </c>
      <c r="X48" s="127">
        <f t="shared" si="37"/>
        <v>0</v>
      </c>
      <c r="Y48" s="127">
        <f t="shared" si="37"/>
        <v>0</v>
      </c>
      <c r="Z48" s="127">
        <f t="shared" si="37"/>
        <v>0</v>
      </c>
      <c r="AA48" s="127">
        <f t="shared" si="37"/>
        <v>0</v>
      </c>
      <c r="AB48" s="127">
        <f t="shared" si="37"/>
        <v>0</v>
      </c>
      <c r="AC48" s="243"/>
    </row>
    <row r="49" spans="1:29" ht="15.75" hidden="1" customHeight="1" x14ac:dyDescent="0.4">
      <c r="A49" s="252">
        <f>+A47+1</f>
        <v>23</v>
      </c>
      <c r="B49" s="253">
        <f>+STUD!B24</f>
        <v>0</v>
      </c>
      <c r="C49" s="244">
        <f>SUM(D50:AB50)</f>
        <v>0</v>
      </c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33"/>
      <c r="Y49" s="133"/>
      <c r="Z49" s="133"/>
      <c r="AA49" s="133"/>
      <c r="AB49" s="133"/>
      <c r="AC49" s="243">
        <f>SUM(D50:AB50)</f>
        <v>0</v>
      </c>
    </row>
    <row r="50" spans="1:29" ht="15.75" hidden="1" customHeight="1" x14ac:dyDescent="0.4">
      <c r="A50" s="242"/>
      <c r="B50" s="253"/>
      <c r="C50" s="245"/>
      <c r="D50" s="127">
        <f t="shared" ref="D50:AB50" si="38">IF(IFERROR(IF(VLOOKUP(D49,D$151:D$155,1,0)&gt;=1,D$150,0),D49)=D$132,D$136,IF(IFERROR(IF(VLOOKUP(D49,D$151:D$155,1,0)&gt;=1,D$150,0),D49)=D$139,D$142,IF(IFERROR(IF(VLOOKUP(D49,D$151:D$155,1,0)&gt;=1,D$150,0),D49)=D$145,D$147,0)))</f>
        <v>0</v>
      </c>
      <c r="E50" s="127">
        <f t="shared" si="38"/>
        <v>0</v>
      </c>
      <c r="F50" s="127">
        <f t="shared" si="38"/>
        <v>0</v>
      </c>
      <c r="G50" s="127">
        <f t="shared" si="38"/>
        <v>0</v>
      </c>
      <c r="H50" s="127">
        <f t="shared" si="38"/>
        <v>0</v>
      </c>
      <c r="I50" s="127">
        <f t="shared" si="38"/>
        <v>0</v>
      </c>
      <c r="J50" s="127">
        <f t="shared" si="38"/>
        <v>0</v>
      </c>
      <c r="K50" s="127">
        <f t="shared" si="38"/>
        <v>0</v>
      </c>
      <c r="L50" s="127">
        <f t="shared" si="38"/>
        <v>0</v>
      </c>
      <c r="M50" s="127">
        <f t="shared" si="38"/>
        <v>0</v>
      </c>
      <c r="N50" s="127">
        <f t="shared" si="38"/>
        <v>0</v>
      </c>
      <c r="O50" s="127">
        <f t="shared" si="38"/>
        <v>0</v>
      </c>
      <c r="P50" s="127">
        <f t="shared" si="38"/>
        <v>0</v>
      </c>
      <c r="Q50" s="127">
        <f t="shared" si="38"/>
        <v>0</v>
      </c>
      <c r="R50" s="127">
        <f t="shared" si="38"/>
        <v>0</v>
      </c>
      <c r="S50" s="127">
        <f t="shared" si="38"/>
        <v>0</v>
      </c>
      <c r="T50" s="127">
        <f t="shared" si="38"/>
        <v>0</v>
      </c>
      <c r="U50" s="127">
        <f t="shared" si="38"/>
        <v>0</v>
      </c>
      <c r="V50" s="127">
        <f t="shared" si="38"/>
        <v>0</v>
      </c>
      <c r="W50" s="127">
        <f t="shared" si="38"/>
        <v>0</v>
      </c>
      <c r="X50" s="127">
        <f t="shared" si="38"/>
        <v>0</v>
      </c>
      <c r="Y50" s="127">
        <f t="shared" si="38"/>
        <v>0</v>
      </c>
      <c r="Z50" s="127">
        <f t="shared" si="38"/>
        <v>0</v>
      </c>
      <c r="AA50" s="127">
        <f t="shared" si="38"/>
        <v>0</v>
      </c>
      <c r="AB50" s="127">
        <f t="shared" si="38"/>
        <v>0</v>
      </c>
      <c r="AC50" s="243"/>
    </row>
    <row r="51" spans="1:29" ht="15.75" hidden="1" customHeight="1" x14ac:dyDescent="0.4">
      <c r="A51" s="252">
        <f>+A49+1</f>
        <v>24</v>
      </c>
      <c r="B51" s="253">
        <f>+STUD!B25</f>
        <v>0</v>
      </c>
      <c r="C51" s="244">
        <f>SUM(D52:AB52)</f>
        <v>0</v>
      </c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33"/>
      <c r="Y51" s="133"/>
      <c r="Z51" s="133"/>
      <c r="AA51" s="133"/>
      <c r="AB51" s="133"/>
      <c r="AC51" s="243">
        <f>SUM(D52:AB52)</f>
        <v>0</v>
      </c>
    </row>
    <row r="52" spans="1:29" ht="15.75" hidden="1" customHeight="1" x14ac:dyDescent="0.4">
      <c r="A52" s="242"/>
      <c r="B52" s="253"/>
      <c r="C52" s="245"/>
      <c r="D52" s="127">
        <f t="shared" ref="D52:AB52" si="39">IF(IFERROR(IF(VLOOKUP(D51,D$151:D$155,1,0)&gt;=1,D$150,0),D51)=D$132,D$136,IF(IFERROR(IF(VLOOKUP(D51,D$151:D$155,1,0)&gt;=1,D$150,0),D51)=D$139,D$142,IF(IFERROR(IF(VLOOKUP(D51,D$151:D$155,1,0)&gt;=1,D$150,0),D51)=D$145,D$147,0)))</f>
        <v>0</v>
      </c>
      <c r="E52" s="127">
        <f t="shared" si="39"/>
        <v>0</v>
      </c>
      <c r="F52" s="127">
        <f t="shared" si="39"/>
        <v>0</v>
      </c>
      <c r="G52" s="127">
        <f t="shared" si="39"/>
        <v>0</v>
      </c>
      <c r="H52" s="127">
        <f t="shared" si="39"/>
        <v>0</v>
      </c>
      <c r="I52" s="127">
        <f t="shared" si="39"/>
        <v>0</v>
      </c>
      <c r="J52" s="127">
        <f t="shared" si="39"/>
        <v>0</v>
      </c>
      <c r="K52" s="127">
        <f t="shared" si="39"/>
        <v>0</v>
      </c>
      <c r="L52" s="127">
        <f t="shared" si="39"/>
        <v>0</v>
      </c>
      <c r="M52" s="127">
        <f t="shared" si="39"/>
        <v>0</v>
      </c>
      <c r="N52" s="127">
        <f t="shared" si="39"/>
        <v>0</v>
      </c>
      <c r="O52" s="127">
        <f t="shared" si="39"/>
        <v>0</v>
      </c>
      <c r="P52" s="127">
        <f t="shared" si="39"/>
        <v>0</v>
      </c>
      <c r="Q52" s="127">
        <f t="shared" si="39"/>
        <v>0</v>
      </c>
      <c r="R52" s="127">
        <f t="shared" si="39"/>
        <v>0</v>
      </c>
      <c r="S52" s="127">
        <f t="shared" si="39"/>
        <v>0</v>
      </c>
      <c r="T52" s="127">
        <f t="shared" si="39"/>
        <v>0</v>
      </c>
      <c r="U52" s="127">
        <f t="shared" si="39"/>
        <v>0</v>
      </c>
      <c r="V52" s="127">
        <f t="shared" si="39"/>
        <v>0</v>
      </c>
      <c r="W52" s="127">
        <f t="shared" si="39"/>
        <v>0</v>
      </c>
      <c r="X52" s="127">
        <f t="shared" si="39"/>
        <v>0</v>
      </c>
      <c r="Y52" s="127">
        <f t="shared" si="39"/>
        <v>0</v>
      </c>
      <c r="Z52" s="127">
        <f t="shared" si="39"/>
        <v>0</v>
      </c>
      <c r="AA52" s="127">
        <f t="shared" si="39"/>
        <v>0</v>
      </c>
      <c r="AB52" s="127">
        <f t="shared" si="39"/>
        <v>0</v>
      </c>
      <c r="AC52" s="243"/>
    </row>
    <row r="53" spans="1:29" ht="15.75" hidden="1" customHeight="1" x14ac:dyDescent="0.4">
      <c r="A53" s="252">
        <f>+A51+1</f>
        <v>25</v>
      </c>
      <c r="B53" s="253">
        <f>+STUD!B26</f>
        <v>0</v>
      </c>
      <c r="C53" s="244">
        <f>SUM(D54:AB54)</f>
        <v>0</v>
      </c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33"/>
      <c r="Y53" s="133"/>
      <c r="Z53" s="133"/>
      <c r="AA53" s="133"/>
      <c r="AB53" s="133"/>
      <c r="AC53" s="243">
        <f>SUM(D54:AB54)</f>
        <v>0</v>
      </c>
    </row>
    <row r="54" spans="1:29" ht="15.75" hidden="1" customHeight="1" x14ac:dyDescent="0.4">
      <c r="A54" s="242"/>
      <c r="B54" s="253"/>
      <c r="C54" s="245"/>
      <c r="D54" s="127">
        <f t="shared" ref="D54:AB54" si="40">IF(IFERROR(IF(VLOOKUP(D53,D$151:D$155,1,0)&gt;=1,D$150,0),D53)=D$132,D$136,IF(IFERROR(IF(VLOOKUP(D53,D$151:D$155,1,0)&gt;=1,D$150,0),D53)=D$139,D$142,IF(IFERROR(IF(VLOOKUP(D53,D$151:D$155,1,0)&gt;=1,D$150,0),D53)=D$145,D$147,0)))</f>
        <v>0</v>
      </c>
      <c r="E54" s="127">
        <f t="shared" si="40"/>
        <v>0</v>
      </c>
      <c r="F54" s="127">
        <f t="shared" si="40"/>
        <v>0</v>
      </c>
      <c r="G54" s="127">
        <f t="shared" si="40"/>
        <v>0</v>
      </c>
      <c r="H54" s="127">
        <f t="shared" si="40"/>
        <v>0</v>
      </c>
      <c r="I54" s="127">
        <f t="shared" si="40"/>
        <v>0</v>
      </c>
      <c r="J54" s="127">
        <f t="shared" si="40"/>
        <v>0</v>
      </c>
      <c r="K54" s="127">
        <f t="shared" si="40"/>
        <v>0</v>
      </c>
      <c r="L54" s="127">
        <f t="shared" si="40"/>
        <v>0</v>
      </c>
      <c r="M54" s="127">
        <f t="shared" si="40"/>
        <v>0</v>
      </c>
      <c r="N54" s="127">
        <f t="shared" si="40"/>
        <v>0</v>
      </c>
      <c r="O54" s="127">
        <f t="shared" si="40"/>
        <v>0</v>
      </c>
      <c r="P54" s="127">
        <f t="shared" si="40"/>
        <v>0</v>
      </c>
      <c r="Q54" s="127">
        <f t="shared" si="40"/>
        <v>0</v>
      </c>
      <c r="R54" s="127">
        <f t="shared" si="40"/>
        <v>0</v>
      </c>
      <c r="S54" s="127">
        <f t="shared" si="40"/>
        <v>0</v>
      </c>
      <c r="T54" s="127">
        <f t="shared" si="40"/>
        <v>0</v>
      </c>
      <c r="U54" s="127">
        <f t="shared" si="40"/>
        <v>0</v>
      </c>
      <c r="V54" s="127">
        <f t="shared" si="40"/>
        <v>0</v>
      </c>
      <c r="W54" s="127">
        <f t="shared" si="40"/>
        <v>0</v>
      </c>
      <c r="X54" s="127">
        <f t="shared" si="40"/>
        <v>0</v>
      </c>
      <c r="Y54" s="127">
        <f t="shared" si="40"/>
        <v>0</v>
      </c>
      <c r="Z54" s="127">
        <f t="shared" si="40"/>
        <v>0</v>
      </c>
      <c r="AA54" s="127">
        <f t="shared" si="40"/>
        <v>0</v>
      </c>
      <c r="AB54" s="127">
        <f t="shared" si="40"/>
        <v>0</v>
      </c>
      <c r="AC54" s="243"/>
    </row>
    <row r="55" spans="1:29" ht="15.75" hidden="1" customHeight="1" x14ac:dyDescent="0.4">
      <c r="A55" s="252">
        <f>+A53+1</f>
        <v>26</v>
      </c>
      <c r="B55" s="253">
        <f>+STUD!B27</f>
        <v>0</v>
      </c>
      <c r="C55" s="244">
        <f>SUM(D56:AB56)</f>
        <v>0</v>
      </c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33"/>
      <c r="Y55" s="133"/>
      <c r="Z55" s="133"/>
      <c r="AA55" s="133"/>
      <c r="AB55" s="133"/>
      <c r="AC55" s="243">
        <f>SUM(D56:AB56)</f>
        <v>0</v>
      </c>
    </row>
    <row r="56" spans="1:29" ht="15.75" hidden="1" customHeight="1" x14ac:dyDescent="0.4">
      <c r="A56" s="242"/>
      <c r="B56" s="253"/>
      <c r="C56" s="245"/>
      <c r="D56" s="127">
        <f t="shared" ref="D56:AB56" si="41">IF(IFERROR(IF(VLOOKUP(D55,D$151:D$155,1,0)&gt;=1,D$150,0),D55)=D$132,D$136,IF(IFERROR(IF(VLOOKUP(D55,D$151:D$155,1,0)&gt;=1,D$150,0),D55)=D$139,D$142,IF(IFERROR(IF(VLOOKUP(D55,D$151:D$155,1,0)&gt;=1,D$150,0),D55)=D$145,D$147,0)))</f>
        <v>0</v>
      </c>
      <c r="E56" s="127">
        <f t="shared" si="41"/>
        <v>0</v>
      </c>
      <c r="F56" s="127">
        <f t="shared" si="41"/>
        <v>0</v>
      </c>
      <c r="G56" s="127">
        <f t="shared" si="41"/>
        <v>0</v>
      </c>
      <c r="H56" s="127">
        <f t="shared" si="41"/>
        <v>0</v>
      </c>
      <c r="I56" s="127">
        <f t="shared" si="41"/>
        <v>0</v>
      </c>
      <c r="J56" s="127">
        <f t="shared" si="41"/>
        <v>0</v>
      </c>
      <c r="K56" s="127">
        <f t="shared" si="41"/>
        <v>0</v>
      </c>
      <c r="L56" s="127">
        <f t="shared" si="41"/>
        <v>0</v>
      </c>
      <c r="M56" s="127">
        <f t="shared" si="41"/>
        <v>0</v>
      </c>
      <c r="N56" s="127">
        <f t="shared" si="41"/>
        <v>0</v>
      </c>
      <c r="O56" s="127">
        <f t="shared" si="41"/>
        <v>0</v>
      </c>
      <c r="P56" s="127">
        <f t="shared" si="41"/>
        <v>0</v>
      </c>
      <c r="Q56" s="127">
        <f t="shared" si="41"/>
        <v>0</v>
      </c>
      <c r="R56" s="127">
        <f t="shared" si="41"/>
        <v>0</v>
      </c>
      <c r="S56" s="127">
        <f t="shared" si="41"/>
        <v>0</v>
      </c>
      <c r="T56" s="127">
        <f t="shared" si="41"/>
        <v>0</v>
      </c>
      <c r="U56" s="127">
        <f t="shared" si="41"/>
        <v>0</v>
      </c>
      <c r="V56" s="127">
        <f t="shared" si="41"/>
        <v>0</v>
      </c>
      <c r="W56" s="127">
        <f t="shared" si="41"/>
        <v>0</v>
      </c>
      <c r="X56" s="127">
        <f t="shared" si="41"/>
        <v>0</v>
      </c>
      <c r="Y56" s="127">
        <f t="shared" si="41"/>
        <v>0</v>
      </c>
      <c r="Z56" s="127">
        <f t="shared" si="41"/>
        <v>0</v>
      </c>
      <c r="AA56" s="127">
        <f t="shared" si="41"/>
        <v>0</v>
      </c>
      <c r="AB56" s="127">
        <f t="shared" si="41"/>
        <v>0</v>
      </c>
      <c r="AC56" s="243"/>
    </row>
    <row r="57" spans="1:29" ht="15.75" hidden="1" customHeight="1" x14ac:dyDescent="0.4">
      <c r="A57" s="252">
        <f>+A55+1</f>
        <v>27</v>
      </c>
      <c r="B57" s="253">
        <f>+STUD!B28</f>
        <v>0</v>
      </c>
      <c r="C57" s="244">
        <f>SUM(D58:AB58)</f>
        <v>0</v>
      </c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33"/>
      <c r="Y57" s="133"/>
      <c r="Z57" s="133"/>
      <c r="AA57" s="133"/>
      <c r="AB57" s="133"/>
      <c r="AC57" s="243">
        <f>SUM(D58:AB58)</f>
        <v>0</v>
      </c>
    </row>
    <row r="58" spans="1:29" ht="15.75" hidden="1" customHeight="1" x14ac:dyDescent="0.4">
      <c r="A58" s="242"/>
      <c r="B58" s="253"/>
      <c r="C58" s="245"/>
      <c r="D58" s="127">
        <f t="shared" ref="D58:AB58" si="42">IF(IFERROR(IF(VLOOKUP(D57,D$151:D$155,1,0)&gt;=1,D$150,0),D57)=D$132,D$136,IF(IFERROR(IF(VLOOKUP(D57,D$151:D$155,1,0)&gt;=1,D$150,0),D57)=D$139,D$142,IF(IFERROR(IF(VLOOKUP(D57,D$151:D$155,1,0)&gt;=1,D$150,0),D57)=D$145,D$147,0)))</f>
        <v>0</v>
      </c>
      <c r="E58" s="127">
        <f t="shared" si="42"/>
        <v>0</v>
      </c>
      <c r="F58" s="127">
        <f t="shared" si="42"/>
        <v>0</v>
      </c>
      <c r="G58" s="127">
        <f t="shared" si="42"/>
        <v>0</v>
      </c>
      <c r="H58" s="127">
        <f t="shared" si="42"/>
        <v>0</v>
      </c>
      <c r="I58" s="127">
        <f t="shared" si="42"/>
        <v>0</v>
      </c>
      <c r="J58" s="127">
        <f t="shared" si="42"/>
        <v>0</v>
      </c>
      <c r="K58" s="127">
        <f t="shared" si="42"/>
        <v>0</v>
      </c>
      <c r="L58" s="127">
        <f t="shared" si="42"/>
        <v>0</v>
      </c>
      <c r="M58" s="127">
        <f t="shared" si="42"/>
        <v>0</v>
      </c>
      <c r="N58" s="127">
        <f t="shared" si="42"/>
        <v>0</v>
      </c>
      <c r="O58" s="127">
        <f t="shared" si="42"/>
        <v>0</v>
      </c>
      <c r="P58" s="127">
        <f t="shared" si="42"/>
        <v>0</v>
      </c>
      <c r="Q58" s="127">
        <f t="shared" si="42"/>
        <v>0</v>
      </c>
      <c r="R58" s="127">
        <f t="shared" si="42"/>
        <v>0</v>
      </c>
      <c r="S58" s="127">
        <f t="shared" si="42"/>
        <v>0</v>
      </c>
      <c r="T58" s="127">
        <f t="shared" si="42"/>
        <v>0</v>
      </c>
      <c r="U58" s="127">
        <f t="shared" si="42"/>
        <v>0</v>
      </c>
      <c r="V58" s="127">
        <f t="shared" si="42"/>
        <v>0</v>
      </c>
      <c r="W58" s="127">
        <f t="shared" si="42"/>
        <v>0</v>
      </c>
      <c r="X58" s="127">
        <f t="shared" si="42"/>
        <v>0</v>
      </c>
      <c r="Y58" s="127">
        <f t="shared" si="42"/>
        <v>0</v>
      </c>
      <c r="Z58" s="127">
        <f t="shared" si="42"/>
        <v>0</v>
      </c>
      <c r="AA58" s="127">
        <f t="shared" si="42"/>
        <v>0</v>
      </c>
      <c r="AB58" s="127">
        <f t="shared" si="42"/>
        <v>0</v>
      </c>
      <c r="AC58" s="243"/>
    </row>
    <row r="59" spans="1:29" ht="15.75" hidden="1" customHeight="1" x14ac:dyDescent="0.4">
      <c r="A59" s="252">
        <f>+A57+1</f>
        <v>28</v>
      </c>
      <c r="B59" s="253">
        <f>+STUD!B29</f>
        <v>0</v>
      </c>
      <c r="C59" s="244">
        <f>SUM(D60:AB60)</f>
        <v>0</v>
      </c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33"/>
      <c r="Y59" s="133"/>
      <c r="Z59" s="133"/>
      <c r="AA59" s="133"/>
      <c r="AB59" s="133"/>
      <c r="AC59" s="243">
        <f>SUM(D60:AB60)</f>
        <v>0</v>
      </c>
    </row>
    <row r="60" spans="1:29" ht="15.75" hidden="1" customHeight="1" x14ac:dyDescent="0.4">
      <c r="A60" s="242"/>
      <c r="B60" s="253"/>
      <c r="C60" s="245"/>
      <c r="D60" s="127">
        <f t="shared" ref="D60:AB60" si="43">IF(IFERROR(IF(VLOOKUP(D59,D$151:D$155,1,0)&gt;=1,D$150,0),D59)=D$132,D$136,IF(IFERROR(IF(VLOOKUP(D59,D$151:D$155,1,0)&gt;=1,D$150,0),D59)=D$139,D$142,IF(IFERROR(IF(VLOOKUP(D59,D$151:D$155,1,0)&gt;=1,D$150,0),D59)=D$145,D$147,0)))</f>
        <v>0</v>
      </c>
      <c r="E60" s="127">
        <f t="shared" si="43"/>
        <v>0</v>
      </c>
      <c r="F60" s="127">
        <f t="shared" si="43"/>
        <v>0</v>
      </c>
      <c r="G60" s="127">
        <f t="shared" si="43"/>
        <v>0</v>
      </c>
      <c r="H60" s="127">
        <f t="shared" si="43"/>
        <v>0</v>
      </c>
      <c r="I60" s="127">
        <f t="shared" si="43"/>
        <v>0</v>
      </c>
      <c r="J60" s="127">
        <f t="shared" si="43"/>
        <v>0</v>
      </c>
      <c r="K60" s="127">
        <f t="shared" si="43"/>
        <v>0</v>
      </c>
      <c r="L60" s="127">
        <f t="shared" si="43"/>
        <v>0</v>
      </c>
      <c r="M60" s="127">
        <f t="shared" si="43"/>
        <v>0</v>
      </c>
      <c r="N60" s="127">
        <f t="shared" si="43"/>
        <v>0</v>
      </c>
      <c r="O60" s="127">
        <f t="shared" si="43"/>
        <v>0</v>
      </c>
      <c r="P60" s="127">
        <f t="shared" si="43"/>
        <v>0</v>
      </c>
      <c r="Q60" s="127">
        <f t="shared" si="43"/>
        <v>0</v>
      </c>
      <c r="R60" s="127">
        <f t="shared" si="43"/>
        <v>0</v>
      </c>
      <c r="S60" s="127">
        <f t="shared" si="43"/>
        <v>0</v>
      </c>
      <c r="T60" s="127">
        <f t="shared" si="43"/>
        <v>0</v>
      </c>
      <c r="U60" s="127">
        <f t="shared" si="43"/>
        <v>0</v>
      </c>
      <c r="V60" s="127">
        <f t="shared" si="43"/>
        <v>0</v>
      </c>
      <c r="W60" s="127">
        <f t="shared" si="43"/>
        <v>0</v>
      </c>
      <c r="X60" s="127">
        <f t="shared" si="43"/>
        <v>0</v>
      </c>
      <c r="Y60" s="127">
        <f t="shared" si="43"/>
        <v>0</v>
      </c>
      <c r="Z60" s="127">
        <f t="shared" si="43"/>
        <v>0</v>
      </c>
      <c r="AA60" s="127">
        <f t="shared" si="43"/>
        <v>0</v>
      </c>
      <c r="AB60" s="127">
        <f t="shared" si="43"/>
        <v>0</v>
      </c>
      <c r="AC60" s="243"/>
    </row>
    <row r="61" spans="1:29" ht="15.75" hidden="1" customHeight="1" x14ac:dyDescent="0.4">
      <c r="A61" s="252">
        <f>+A59+1</f>
        <v>29</v>
      </c>
      <c r="B61" s="253">
        <f>+STUD!B30</f>
        <v>0</v>
      </c>
      <c r="C61" s="244">
        <f>SUM(D62:AB62)</f>
        <v>0</v>
      </c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33"/>
      <c r="Y61" s="133"/>
      <c r="Z61" s="133"/>
      <c r="AA61" s="133"/>
      <c r="AB61" s="133"/>
      <c r="AC61" s="243">
        <f>SUM(D62:AB62)</f>
        <v>0</v>
      </c>
    </row>
    <row r="62" spans="1:29" ht="15.75" hidden="1" customHeight="1" x14ac:dyDescent="0.4">
      <c r="A62" s="242"/>
      <c r="B62" s="253"/>
      <c r="C62" s="245"/>
      <c r="D62" s="127">
        <f t="shared" ref="D62:AB62" si="44">IF(IFERROR(IF(VLOOKUP(D61,D$151:D$155,1,0)&gt;=1,D$150,0),D61)=D$132,D$136,IF(IFERROR(IF(VLOOKUP(D61,D$151:D$155,1,0)&gt;=1,D$150,0),D61)=D$139,D$142,IF(IFERROR(IF(VLOOKUP(D61,D$151:D$155,1,0)&gt;=1,D$150,0),D61)=D$145,D$147,0)))</f>
        <v>0</v>
      </c>
      <c r="E62" s="127">
        <f t="shared" si="44"/>
        <v>0</v>
      </c>
      <c r="F62" s="127">
        <f t="shared" si="44"/>
        <v>0</v>
      </c>
      <c r="G62" s="127">
        <f t="shared" si="44"/>
        <v>0</v>
      </c>
      <c r="H62" s="127">
        <f t="shared" si="44"/>
        <v>0</v>
      </c>
      <c r="I62" s="127">
        <f t="shared" si="44"/>
        <v>0</v>
      </c>
      <c r="J62" s="127">
        <f t="shared" si="44"/>
        <v>0</v>
      </c>
      <c r="K62" s="127">
        <f t="shared" si="44"/>
        <v>0</v>
      </c>
      <c r="L62" s="127">
        <f t="shared" si="44"/>
        <v>0</v>
      </c>
      <c r="M62" s="127">
        <f t="shared" si="44"/>
        <v>0</v>
      </c>
      <c r="N62" s="127">
        <f t="shared" si="44"/>
        <v>0</v>
      </c>
      <c r="O62" s="127">
        <f t="shared" si="44"/>
        <v>0</v>
      </c>
      <c r="P62" s="127">
        <f t="shared" si="44"/>
        <v>0</v>
      </c>
      <c r="Q62" s="127">
        <f t="shared" si="44"/>
        <v>0</v>
      </c>
      <c r="R62" s="127">
        <f t="shared" si="44"/>
        <v>0</v>
      </c>
      <c r="S62" s="127">
        <f t="shared" si="44"/>
        <v>0</v>
      </c>
      <c r="T62" s="127">
        <f t="shared" si="44"/>
        <v>0</v>
      </c>
      <c r="U62" s="127">
        <f t="shared" si="44"/>
        <v>0</v>
      </c>
      <c r="V62" s="127">
        <f t="shared" si="44"/>
        <v>0</v>
      </c>
      <c r="W62" s="127">
        <f t="shared" si="44"/>
        <v>0</v>
      </c>
      <c r="X62" s="127">
        <f t="shared" si="44"/>
        <v>0</v>
      </c>
      <c r="Y62" s="127">
        <f t="shared" si="44"/>
        <v>0</v>
      </c>
      <c r="Z62" s="127">
        <f t="shared" si="44"/>
        <v>0</v>
      </c>
      <c r="AA62" s="127">
        <f t="shared" si="44"/>
        <v>0</v>
      </c>
      <c r="AB62" s="127">
        <f t="shared" si="44"/>
        <v>0</v>
      </c>
      <c r="AC62" s="243"/>
    </row>
    <row r="63" spans="1:29" ht="15.75" hidden="1" customHeight="1" x14ac:dyDescent="0.4">
      <c r="A63" s="252">
        <f>+A61+1</f>
        <v>30</v>
      </c>
      <c r="B63" s="253">
        <f>+STUD!B31</f>
        <v>0</v>
      </c>
      <c r="C63" s="244">
        <f>SUM(D64:AB64)</f>
        <v>0</v>
      </c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33"/>
      <c r="Y63" s="133"/>
      <c r="Z63" s="133"/>
      <c r="AA63" s="133"/>
      <c r="AB63" s="133"/>
      <c r="AC63" s="243">
        <f>SUM(D64:AB64)</f>
        <v>0</v>
      </c>
    </row>
    <row r="64" spans="1:29" ht="15" hidden="1" customHeight="1" x14ac:dyDescent="0.4">
      <c r="A64" s="242"/>
      <c r="B64" s="253"/>
      <c r="C64" s="245"/>
      <c r="D64" s="127">
        <f t="shared" ref="D64:AB64" si="45">IF(IFERROR(IF(VLOOKUP(D63,D$151:D$155,1,0)&gt;=1,D$150,0),D63)=D$132,D$136,IF(IFERROR(IF(VLOOKUP(D63,D$151:D$155,1,0)&gt;=1,D$150,0),D63)=D$139,D$142,IF(IFERROR(IF(VLOOKUP(D63,D$151:D$155,1,0)&gt;=1,D$150,0),D63)=D$145,D$147,0)))</f>
        <v>0</v>
      </c>
      <c r="E64" s="127">
        <f t="shared" si="45"/>
        <v>0</v>
      </c>
      <c r="F64" s="127">
        <f t="shared" si="45"/>
        <v>0</v>
      </c>
      <c r="G64" s="127">
        <f t="shared" si="45"/>
        <v>0</v>
      </c>
      <c r="H64" s="127">
        <f t="shared" si="45"/>
        <v>0</v>
      </c>
      <c r="I64" s="127">
        <f t="shared" si="45"/>
        <v>0</v>
      </c>
      <c r="J64" s="127">
        <f t="shared" si="45"/>
        <v>0</v>
      </c>
      <c r="K64" s="127">
        <f t="shared" si="45"/>
        <v>0</v>
      </c>
      <c r="L64" s="127">
        <f t="shared" si="45"/>
        <v>0</v>
      </c>
      <c r="M64" s="127">
        <f t="shared" si="45"/>
        <v>0</v>
      </c>
      <c r="N64" s="127">
        <f t="shared" si="45"/>
        <v>0</v>
      </c>
      <c r="O64" s="127">
        <f t="shared" si="45"/>
        <v>0</v>
      </c>
      <c r="P64" s="127">
        <f t="shared" si="45"/>
        <v>0</v>
      </c>
      <c r="Q64" s="127">
        <f t="shared" si="45"/>
        <v>0</v>
      </c>
      <c r="R64" s="127">
        <f t="shared" si="45"/>
        <v>0</v>
      </c>
      <c r="S64" s="127">
        <f t="shared" si="45"/>
        <v>0</v>
      </c>
      <c r="T64" s="127">
        <f t="shared" si="45"/>
        <v>0</v>
      </c>
      <c r="U64" s="127">
        <f t="shared" si="45"/>
        <v>0</v>
      </c>
      <c r="V64" s="127">
        <f t="shared" si="45"/>
        <v>0</v>
      </c>
      <c r="W64" s="127">
        <f t="shared" si="45"/>
        <v>0</v>
      </c>
      <c r="X64" s="127">
        <f t="shared" si="45"/>
        <v>0</v>
      </c>
      <c r="Y64" s="127">
        <f t="shared" si="45"/>
        <v>0</v>
      </c>
      <c r="Z64" s="127">
        <f t="shared" si="45"/>
        <v>0</v>
      </c>
      <c r="AA64" s="127">
        <f t="shared" si="45"/>
        <v>0</v>
      </c>
      <c r="AB64" s="127">
        <f t="shared" si="45"/>
        <v>0</v>
      </c>
      <c r="AC64" s="243"/>
    </row>
    <row r="65" spans="1:40" ht="15.75" hidden="1" customHeight="1" x14ac:dyDescent="0.4">
      <c r="A65" s="252">
        <f>+A63+1</f>
        <v>31</v>
      </c>
      <c r="B65" s="253">
        <f>+STUD!B32</f>
        <v>0</v>
      </c>
      <c r="C65" s="244">
        <f>SUM(D66:AB66)</f>
        <v>0</v>
      </c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33"/>
      <c r="Y65" s="133"/>
      <c r="Z65" s="133"/>
      <c r="AA65" s="133"/>
      <c r="AB65" s="133"/>
      <c r="AC65" s="243">
        <f>SUM(D66:AB66)</f>
        <v>0</v>
      </c>
    </row>
    <row r="66" spans="1:40" ht="15.75" hidden="1" customHeight="1" x14ac:dyDescent="0.4">
      <c r="A66" s="242"/>
      <c r="B66" s="253"/>
      <c r="C66" s="245"/>
      <c r="D66" s="127">
        <f t="shared" ref="D66:AB66" si="46">IF(IFERROR(IF(VLOOKUP(D65,D$151:D$155,1,0)&gt;=1,D$150,0),D65)=D$132,D$136,IF(IFERROR(IF(VLOOKUP(D65,D$151:D$155,1,0)&gt;=1,D$150,0),D65)=D$139,D$142,IF(IFERROR(IF(VLOOKUP(D65,D$151:D$155,1,0)&gt;=1,D$150,0),D65)=D$145,D$147,0)))</f>
        <v>0</v>
      </c>
      <c r="E66" s="127">
        <f t="shared" si="46"/>
        <v>0</v>
      </c>
      <c r="F66" s="127">
        <f t="shared" si="46"/>
        <v>0</v>
      </c>
      <c r="G66" s="127">
        <f t="shared" si="46"/>
        <v>0</v>
      </c>
      <c r="H66" s="127">
        <f t="shared" si="46"/>
        <v>0</v>
      </c>
      <c r="I66" s="127">
        <f t="shared" si="46"/>
        <v>0</v>
      </c>
      <c r="J66" s="127">
        <f t="shared" si="46"/>
        <v>0</v>
      </c>
      <c r="K66" s="127">
        <f t="shared" si="46"/>
        <v>0</v>
      </c>
      <c r="L66" s="127">
        <f t="shared" si="46"/>
        <v>0</v>
      </c>
      <c r="M66" s="127">
        <f t="shared" si="46"/>
        <v>0</v>
      </c>
      <c r="N66" s="127">
        <f t="shared" si="46"/>
        <v>0</v>
      </c>
      <c r="O66" s="127">
        <f t="shared" si="46"/>
        <v>0</v>
      </c>
      <c r="P66" s="127">
        <f t="shared" si="46"/>
        <v>0</v>
      </c>
      <c r="Q66" s="127">
        <f t="shared" si="46"/>
        <v>0</v>
      </c>
      <c r="R66" s="127">
        <f t="shared" si="46"/>
        <v>0</v>
      </c>
      <c r="S66" s="127">
        <f t="shared" si="46"/>
        <v>0</v>
      </c>
      <c r="T66" s="127">
        <f t="shared" si="46"/>
        <v>0</v>
      </c>
      <c r="U66" s="127">
        <f t="shared" si="46"/>
        <v>0</v>
      </c>
      <c r="V66" s="127">
        <f t="shared" si="46"/>
        <v>0</v>
      </c>
      <c r="W66" s="127">
        <f t="shared" si="46"/>
        <v>0</v>
      </c>
      <c r="X66" s="127">
        <f t="shared" si="46"/>
        <v>0</v>
      </c>
      <c r="Y66" s="127">
        <f t="shared" si="46"/>
        <v>0</v>
      </c>
      <c r="Z66" s="127">
        <f t="shared" si="46"/>
        <v>0</v>
      </c>
      <c r="AA66" s="127">
        <f t="shared" si="46"/>
        <v>0</v>
      </c>
      <c r="AB66" s="127">
        <f t="shared" si="46"/>
        <v>0</v>
      </c>
      <c r="AC66" s="243"/>
    </row>
    <row r="67" spans="1:40" ht="15.75" hidden="1" customHeight="1" x14ac:dyDescent="0.4">
      <c r="A67" s="252">
        <f>+A65+1</f>
        <v>32</v>
      </c>
      <c r="B67" s="253">
        <f>+STUD!B33</f>
        <v>0</v>
      </c>
      <c r="C67" s="244">
        <f>SUM(D68:AB68)</f>
        <v>0</v>
      </c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33"/>
      <c r="Y67" s="133"/>
      <c r="Z67" s="133"/>
      <c r="AA67" s="133"/>
      <c r="AB67" s="133"/>
      <c r="AC67" s="243">
        <f>SUM(D68:AB68)</f>
        <v>0</v>
      </c>
    </row>
    <row r="68" spans="1:40" ht="15.75" hidden="1" customHeight="1" x14ac:dyDescent="0.4">
      <c r="A68" s="242"/>
      <c r="B68" s="253"/>
      <c r="C68" s="245"/>
      <c r="D68" s="127">
        <f t="shared" ref="D68:AB68" si="47">IF(IFERROR(IF(VLOOKUP(D67,D$151:D$155,1,0)&gt;=1,D$150,0),D67)=D$132,D$136,IF(IFERROR(IF(VLOOKUP(D67,D$151:D$155,1,0)&gt;=1,D$150,0),D67)=D$139,D$142,IF(IFERROR(IF(VLOOKUP(D67,D$151:D$155,1,0)&gt;=1,D$150,0),D67)=D$145,D$147,0)))</f>
        <v>0</v>
      </c>
      <c r="E68" s="127">
        <f t="shared" si="47"/>
        <v>0</v>
      </c>
      <c r="F68" s="127">
        <f t="shared" si="47"/>
        <v>0</v>
      </c>
      <c r="G68" s="127">
        <f t="shared" si="47"/>
        <v>0</v>
      </c>
      <c r="H68" s="127">
        <f t="shared" si="47"/>
        <v>0</v>
      </c>
      <c r="I68" s="127">
        <f t="shared" si="47"/>
        <v>0</v>
      </c>
      <c r="J68" s="127">
        <f t="shared" si="47"/>
        <v>0</v>
      </c>
      <c r="K68" s="127">
        <f t="shared" si="47"/>
        <v>0</v>
      </c>
      <c r="L68" s="127">
        <f t="shared" si="47"/>
        <v>0</v>
      </c>
      <c r="M68" s="127">
        <f t="shared" si="47"/>
        <v>0</v>
      </c>
      <c r="N68" s="127">
        <f t="shared" si="47"/>
        <v>0</v>
      </c>
      <c r="O68" s="127">
        <f t="shared" si="47"/>
        <v>0</v>
      </c>
      <c r="P68" s="127">
        <f t="shared" si="47"/>
        <v>0</v>
      </c>
      <c r="Q68" s="127">
        <f t="shared" si="47"/>
        <v>0</v>
      </c>
      <c r="R68" s="127">
        <f t="shared" si="47"/>
        <v>0</v>
      </c>
      <c r="S68" s="127">
        <f t="shared" si="47"/>
        <v>0</v>
      </c>
      <c r="T68" s="127">
        <f t="shared" si="47"/>
        <v>0</v>
      </c>
      <c r="U68" s="127">
        <f t="shared" si="47"/>
        <v>0</v>
      </c>
      <c r="V68" s="127">
        <f t="shared" si="47"/>
        <v>0</v>
      </c>
      <c r="W68" s="127">
        <f t="shared" si="47"/>
        <v>0</v>
      </c>
      <c r="X68" s="127">
        <f t="shared" si="47"/>
        <v>0</v>
      </c>
      <c r="Y68" s="127">
        <f t="shared" si="47"/>
        <v>0</v>
      </c>
      <c r="Z68" s="127">
        <f t="shared" si="47"/>
        <v>0</v>
      </c>
      <c r="AA68" s="127">
        <f t="shared" si="47"/>
        <v>0</v>
      </c>
      <c r="AB68" s="127">
        <f t="shared" si="47"/>
        <v>0</v>
      </c>
      <c r="AC68" s="243"/>
    </row>
    <row r="69" spans="1:40" ht="15.75" customHeight="1" x14ac:dyDescent="0.4">
      <c r="A69" s="272" t="s">
        <v>20</v>
      </c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  <c r="O69" s="273"/>
      <c r="P69" s="273"/>
      <c r="Q69" s="273"/>
      <c r="R69" s="273"/>
      <c r="S69" s="273"/>
      <c r="T69" s="273"/>
      <c r="U69" s="273"/>
      <c r="V69" s="273"/>
      <c r="W69" s="273"/>
      <c r="X69" s="273"/>
      <c r="Y69" s="273"/>
      <c r="Z69" s="273"/>
      <c r="AA69" s="273"/>
      <c r="AB69" s="273"/>
      <c r="AC69" s="274"/>
    </row>
    <row r="70" spans="1:40" ht="15.75" customHeight="1" x14ac:dyDescent="0.4">
      <c r="A70" s="275"/>
      <c r="B70" s="276"/>
      <c r="C70" s="276"/>
      <c r="D70" s="276"/>
      <c r="E70" s="276"/>
      <c r="F70" s="276"/>
      <c r="G70" s="276"/>
      <c r="H70" s="276"/>
      <c r="I70" s="276"/>
      <c r="J70" s="276"/>
      <c r="K70" s="276"/>
      <c r="L70" s="276"/>
      <c r="M70" s="276"/>
      <c r="N70" s="276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7"/>
    </row>
    <row r="71" spans="1:40" ht="15.75" customHeight="1" x14ac:dyDescent="0.4">
      <c r="A71" s="278"/>
      <c r="B71" s="279"/>
      <c r="C71" s="279"/>
      <c r="D71" s="279"/>
      <c r="E71" s="279"/>
      <c r="F71" s="279"/>
      <c r="G71" s="279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  <c r="Z71" s="279"/>
      <c r="AA71" s="279"/>
      <c r="AB71" s="279"/>
      <c r="AC71" s="280"/>
    </row>
    <row r="72" spans="1:40" ht="15.75" customHeight="1" x14ac:dyDescent="0.5">
      <c r="A72" s="116" t="s">
        <v>0</v>
      </c>
      <c r="B72" s="116" t="s">
        <v>14</v>
      </c>
      <c r="C72" s="116" t="s">
        <v>19</v>
      </c>
      <c r="D72" s="116">
        <v>1</v>
      </c>
      <c r="E72" s="116">
        <v>2</v>
      </c>
      <c r="F72" s="116">
        <v>3</v>
      </c>
      <c r="G72" s="116">
        <v>4</v>
      </c>
      <c r="H72" s="116">
        <v>5</v>
      </c>
      <c r="I72" s="116">
        <v>6</v>
      </c>
      <c r="J72" s="116">
        <v>7</v>
      </c>
      <c r="K72" s="116">
        <v>8</v>
      </c>
      <c r="L72" s="116">
        <v>9</v>
      </c>
      <c r="M72" s="116">
        <v>10</v>
      </c>
      <c r="N72" s="116">
        <v>11</v>
      </c>
      <c r="O72" s="116">
        <v>12</v>
      </c>
      <c r="P72" s="116">
        <v>13</v>
      </c>
      <c r="Q72" s="116">
        <v>14</v>
      </c>
      <c r="R72" s="116">
        <v>15</v>
      </c>
      <c r="S72" s="116">
        <v>16</v>
      </c>
      <c r="T72" s="116">
        <v>17</v>
      </c>
      <c r="U72" s="116">
        <v>18</v>
      </c>
      <c r="V72" s="116">
        <v>19</v>
      </c>
      <c r="W72" s="116">
        <v>20</v>
      </c>
      <c r="X72" s="116">
        <v>21</v>
      </c>
      <c r="Y72" s="116">
        <v>22</v>
      </c>
      <c r="Z72" s="116">
        <v>23</v>
      </c>
      <c r="AA72" s="116">
        <v>24</v>
      </c>
      <c r="AB72" s="116">
        <v>25</v>
      </c>
      <c r="AC72" s="116" t="s">
        <v>19</v>
      </c>
      <c r="AE72" s="264" t="s">
        <v>53</v>
      </c>
      <c r="AF72" s="265"/>
      <c r="AG72" s="265"/>
      <c r="AH72" s="266"/>
      <c r="AI72" s="52">
        <v>9</v>
      </c>
      <c r="AJ72" s="52"/>
      <c r="AK72" s="52">
        <v>10</v>
      </c>
      <c r="AL72" s="52"/>
      <c r="AM72" s="52">
        <v>11</v>
      </c>
      <c r="AN72" s="52"/>
    </row>
    <row r="73" spans="1:40" ht="15.75" customHeight="1" x14ac:dyDescent="0.5">
      <c r="A73" s="288">
        <v>1</v>
      </c>
      <c r="B73" s="243">
        <f>STUD!H35</f>
        <v>0</v>
      </c>
      <c r="C73" s="244">
        <f>SUM(D74:AB74)</f>
        <v>0</v>
      </c>
      <c r="D73" s="135"/>
      <c r="E73" s="135"/>
      <c r="F73" s="135"/>
      <c r="G73" s="135"/>
      <c r="H73" s="135"/>
      <c r="I73" s="135"/>
      <c r="J73" s="135"/>
      <c r="K73" s="135"/>
      <c r="L73" s="135"/>
      <c r="M73" s="135"/>
      <c r="N73" s="135"/>
      <c r="O73" s="136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Z73" s="135"/>
      <c r="AA73" s="135"/>
      <c r="AB73" s="135"/>
      <c r="AC73" s="243">
        <f>SUM(D74:AB74)</f>
        <v>0</v>
      </c>
      <c r="AE73" s="141" t="s">
        <v>37</v>
      </c>
      <c r="AF73" s="141" t="s">
        <v>14</v>
      </c>
      <c r="AG73" s="169" t="s">
        <v>15</v>
      </c>
      <c r="AH73" s="169" t="s">
        <v>52</v>
      </c>
      <c r="AI73" s="51" t="str">
        <f>"Prono Carrera "&amp;AI72</f>
        <v>Prono Carrera 9</v>
      </c>
      <c r="AJ73" s="51" t="s">
        <v>42</v>
      </c>
      <c r="AK73" s="51" t="str">
        <f>"Prono Carrera "&amp;AK72</f>
        <v>Prono Carrera 10</v>
      </c>
      <c r="AL73" s="51" t="s">
        <v>42</v>
      </c>
      <c r="AM73" s="51" t="str">
        <f>"Prono Carrera "&amp;AM72</f>
        <v>Prono Carrera 11</v>
      </c>
      <c r="AN73" s="51" t="s">
        <v>42</v>
      </c>
    </row>
    <row r="74" spans="1:40" ht="15.75" customHeight="1" x14ac:dyDescent="0.4">
      <c r="A74" s="242"/>
      <c r="B74" s="243"/>
      <c r="C74" s="245"/>
      <c r="D74" s="138">
        <f t="shared" ref="D74:AB74" si="48">IF(IFERROR(IF(VLOOKUP(D73,D$151:D$155,1,0)&gt;=1,D$150,0),D73)=D$132,D$136,IF(IFERROR(IF(VLOOKUP(D73,D$151:D$155,1,0)&gt;=1,D$150,0),D73)=D$139,D$142,IF(IFERROR(IF(VLOOKUP(D73,D$151:D$155,1,0)&gt;=1,D$150,0),D73)=D$145,D$147,0)))</f>
        <v>0</v>
      </c>
      <c r="E74" s="138">
        <f t="shared" si="48"/>
        <v>0</v>
      </c>
      <c r="F74" s="138">
        <f t="shared" si="48"/>
        <v>0</v>
      </c>
      <c r="G74" s="138">
        <f t="shared" si="48"/>
        <v>0</v>
      </c>
      <c r="H74" s="138">
        <f t="shared" si="48"/>
        <v>0</v>
      </c>
      <c r="I74" s="138">
        <f t="shared" si="48"/>
        <v>0</v>
      </c>
      <c r="J74" s="138">
        <f t="shared" si="48"/>
        <v>0</v>
      </c>
      <c r="K74" s="138">
        <f t="shared" si="48"/>
        <v>0</v>
      </c>
      <c r="L74" s="138">
        <f t="shared" si="48"/>
        <v>0</v>
      </c>
      <c r="M74" s="138">
        <f t="shared" si="48"/>
        <v>0</v>
      </c>
      <c r="N74" s="138">
        <f t="shared" si="48"/>
        <v>0</v>
      </c>
      <c r="O74" s="138">
        <f t="shared" si="48"/>
        <v>0</v>
      </c>
      <c r="P74" s="138">
        <f t="shared" si="48"/>
        <v>0</v>
      </c>
      <c r="Q74" s="138">
        <f t="shared" si="48"/>
        <v>0</v>
      </c>
      <c r="R74" s="138">
        <f t="shared" si="48"/>
        <v>0</v>
      </c>
      <c r="S74" s="138">
        <f t="shared" si="48"/>
        <v>0</v>
      </c>
      <c r="T74" s="138">
        <f t="shared" si="48"/>
        <v>0</v>
      </c>
      <c r="U74" s="138">
        <f t="shared" si="48"/>
        <v>0</v>
      </c>
      <c r="V74" s="138">
        <f t="shared" si="48"/>
        <v>0</v>
      </c>
      <c r="W74" s="138">
        <f t="shared" si="48"/>
        <v>0</v>
      </c>
      <c r="X74" s="138">
        <f t="shared" si="48"/>
        <v>0</v>
      </c>
      <c r="Y74" s="138">
        <f t="shared" si="48"/>
        <v>0</v>
      </c>
      <c r="Z74" s="138">
        <f t="shared" si="48"/>
        <v>0</v>
      </c>
      <c r="AA74" s="138">
        <f t="shared" si="48"/>
        <v>0</v>
      </c>
      <c r="AB74" s="138">
        <f t="shared" si="48"/>
        <v>0</v>
      </c>
      <c r="AC74" s="243"/>
      <c r="AE74" s="170">
        <v>1</v>
      </c>
      <c r="AF74" s="171" t="str">
        <f>IF(ISBLANK(STUD!H35)," ",STUD!H35)</f>
        <v xml:space="preserve"> </v>
      </c>
      <c r="AG74" s="183">
        <f t="shared" ref="AG74:AG101" si="49">IFERROR(VLOOKUP(AF74,$B$73:$C$128,2,0),0)</f>
        <v>0</v>
      </c>
      <c r="AH74" s="183"/>
      <c r="AI74" s="53" t="str">
        <f>IFERROR(
   VLOOKUP(AF74, $B$73:$Y$128, CHOOSE($AI$72, 3, 4, 5, 6, 7, 8, 9, 10, 11, 12, 13, 14, 15, 16, 17, 18, 19, 20, 21, 22, 23, 24, 25, 26, 27, 28, 29), 0),
   " "
)</f>
        <v xml:space="preserve"> </v>
      </c>
      <c r="AJ74" s="53" t="str">
        <f>IF(AI74="","",IFERROR(IF(VLOOKUP(AI74,Programa!$AF$3:$AG$18,2,0)="","",VLOOKUP(AI74,Programa!$AF$3:$AG$18,2,0)),""))</f>
        <v/>
      </c>
      <c r="AK74" s="53" t="str">
        <f>IFERROR(
   VLOOKUP(AF74, $B$73:$Y$128, CHOOSE($AK$72, 3, 4, 5, 6, 7, 8, 9, 10, 11, 12, 13, 14, 15, 16, 17, 18, 19, 20, 21, 22, 23, 24, 25, 26, 27, 28, 29), 0),
   " "
)</f>
        <v xml:space="preserve"> </v>
      </c>
      <c r="AL74" s="53" t="str">
        <f>IF(AK74="","",IFERROR(IF(VLOOKUP(AK74,Programa!$AF$19:$AG$34,2,0)="","",VLOOKUP(AK74,Programa!$AF$19:$AG$34,2,0)),""))</f>
        <v/>
      </c>
      <c r="AM74" s="53" t="str">
        <f>IFERROR(
   VLOOKUP(AF74, $B$73:$Y$128, CHOOSE($AM$72, 3, 4, 5, 6, 7, 8, 9, 10, 11, 12, 13, 14, 15, 16, 17, 18, 19, 20, 21, 22, 23, 24, 25, 26, 27, 28, 29), 0),
   " "
)</f>
        <v xml:space="preserve"> </v>
      </c>
      <c r="AN74" s="53" t="str">
        <f>IF(AM74="","",IFERROR(IF(VLOOKUP(AM74,Programa!$AF$35:$AG$50,2,0)="","",VLOOKUP(AM74,Programa!$AF$35:$AG$50,2,0)),""))</f>
        <v/>
      </c>
    </row>
    <row r="75" spans="1:40" ht="15.75" customHeight="1" x14ac:dyDescent="0.4">
      <c r="A75" s="288">
        <f>+A73+1</f>
        <v>2</v>
      </c>
      <c r="B75" s="243">
        <f>STUD!H36</f>
        <v>0</v>
      </c>
      <c r="C75" s="244">
        <f>SUM(D76:AB76)</f>
        <v>0</v>
      </c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6"/>
      <c r="P75" s="135"/>
      <c r="Q75" s="135"/>
      <c r="R75" s="135"/>
      <c r="S75" s="135"/>
      <c r="T75" s="135"/>
      <c r="U75" s="135"/>
      <c r="V75" s="135"/>
      <c r="W75" s="135"/>
      <c r="X75" s="135"/>
      <c r="Y75" s="135"/>
      <c r="Z75" s="135"/>
      <c r="AA75" s="135"/>
      <c r="AB75" s="135"/>
      <c r="AC75" s="243">
        <f>SUM(D76:AB76)</f>
        <v>0</v>
      </c>
      <c r="AE75" s="172">
        <v>2</v>
      </c>
      <c r="AF75" s="171" t="str">
        <f>IF(ISBLANK(STUD!H37)," ",STUD!H37)</f>
        <v xml:space="preserve"> </v>
      </c>
      <c r="AG75" s="183">
        <f t="shared" si="49"/>
        <v>0</v>
      </c>
      <c r="AH75" s="183">
        <f>$AG$74-AG75</f>
        <v>0</v>
      </c>
      <c r="AI75" s="53" t="str">
        <f t="shared" ref="AI75:AI101" si="50">IFERROR(
   VLOOKUP(AF75, $B$73:$Y$128, CHOOSE($AI$72, 3, 4, 5, 6, 7, 8, 9, 10, 11, 12, 13, 14, 15, 16, 17, 18, 19, 20, 21, 22, 23, 24, 25, 26, 27, 28, 29), 0),
   " "
)</f>
        <v xml:space="preserve"> </v>
      </c>
      <c r="AJ75" s="53" t="str">
        <f>IF(AI75="","",IFERROR(IF(VLOOKUP(AI75,Programa!$AF$3:$AG$18,2,0)="","",VLOOKUP(AI75,Programa!$AF$3:$AG$18,2,0)),""))</f>
        <v/>
      </c>
      <c r="AK75" s="53" t="str">
        <f t="shared" ref="AK75:AK101" si="51">IFERROR(
   VLOOKUP(AF75, $B$73:$Y$128, CHOOSE($AK$72, 3, 4, 5, 6, 7, 8, 9, 10, 11, 12, 13, 14, 15, 16, 17, 18, 19, 20, 21, 22, 23, 24, 25, 26, 27, 28, 29), 0),
   " "
)</f>
        <v xml:space="preserve"> </v>
      </c>
      <c r="AL75" s="53" t="str">
        <f>IF(AK75="","",IFERROR(IF(VLOOKUP(AK75,Programa!$AF$19:$AG$34,2,0)="","",VLOOKUP(AK75,Programa!$AF$19:$AG$34,2,0)),""))</f>
        <v/>
      </c>
      <c r="AM75" s="53" t="str">
        <f t="shared" ref="AM75:AM101" si="52">IFERROR(
   VLOOKUP(AF75, $B$73:$Y$128, CHOOSE($AM$72, 3, 4, 5, 6, 7, 8, 9, 10, 11, 12, 13, 14, 15, 16, 17, 18, 19, 20, 21, 22, 23, 24, 25, 26, 27, 28, 29), 0),
   " "
)</f>
        <v xml:space="preserve"> </v>
      </c>
      <c r="AN75" s="53" t="str">
        <f>IF(AM75="","",IFERROR(IF(VLOOKUP(AM75,Programa!$AF$35:$AG$50,2,0)="","",VLOOKUP(AM75,Programa!$AF$35:$AG$50,2,0)),""))</f>
        <v/>
      </c>
    </row>
    <row r="76" spans="1:40" ht="15.75" customHeight="1" x14ac:dyDescent="0.4">
      <c r="A76" s="242"/>
      <c r="B76" s="243"/>
      <c r="C76" s="245"/>
      <c r="D76" s="138">
        <f t="shared" ref="D76:AB76" si="53">IF(IFERROR(IF(VLOOKUP(D75,D$151:D$155,1,0)&gt;=1,D$150,0),D75)=D$132,D$136,IF(IFERROR(IF(VLOOKUP(D75,D$151:D$155,1,0)&gt;=1,D$150,0),D75)=D$139,D$142,IF(IFERROR(IF(VLOOKUP(D75,D$151:D$155,1,0)&gt;=1,D$150,0),D75)=D$145,D$147,0)))</f>
        <v>0</v>
      </c>
      <c r="E76" s="138">
        <f t="shared" si="53"/>
        <v>0</v>
      </c>
      <c r="F76" s="138">
        <f t="shared" si="53"/>
        <v>0</v>
      </c>
      <c r="G76" s="138">
        <f t="shared" si="53"/>
        <v>0</v>
      </c>
      <c r="H76" s="138">
        <f t="shared" si="53"/>
        <v>0</v>
      </c>
      <c r="I76" s="138">
        <f t="shared" si="53"/>
        <v>0</v>
      </c>
      <c r="J76" s="138">
        <f t="shared" si="53"/>
        <v>0</v>
      </c>
      <c r="K76" s="138">
        <f t="shared" si="53"/>
        <v>0</v>
      </c>
      <c r="L76" s="138">
        <f t="shared" si="53"/>
        <v>0</v>
      </c>
      <c r="M76" s="138">
        <f t="shared" si="53"/>
        <v>0</v>
      </c>
      <c r="N76" s="138">
        <f t="shared" si="53"/>
        <v>0</v>
      </c>
      <c r="O76" s="138">
        <f t="shared" si="53"/>
        <v>0</v>
      </c>
      <c r="P76" s="138">
        <f t="shared" si="53"/>
        <v>0</v>
      </c>
      <c r="Q76" s="138">
        <f t="shared" si="53"/>
        <v>0</v>
      </c>
      <c r="R76" s="138">
        <f t="shared" si="53"/>
        <v>0</v>
      </c>
      <c r="S76" s="138">
        <f t="shared" si="53"/>
        <v>0</v>
      </c>
      <c r="T76" s="138">
        <f t="shared" si="53"/>
        <v>0</v>
      </c>
      <c r="U76" s="138">
        <f t="shared" si="53"/>
        <v>0</v>
      </c>
      <c r="V76" s="138">
        <f t="shared" si="53"/>
        <v>0</v>
      </c>
      <c r="W76" s="138">
        <f t="shared" si="53"/>
        <v>0</v>
      </c>
      <c r="X76" s="138">
        <f t="shared" si="53"/>
        <v>0</v>
      </c>
      <c r="Y76" s="138">
        <f t="shared" si="53"/>
        <v>0</v>
      </c>
      <c r="Z76" s="138">
        <f t="shared" si="53"/>
        <v>0</v>
      </c>
      <c r="AA76" s="138">
        <f t="shared" si="53"/>
        <v>0</v>
      </c>
      <c r="AB76" s="138">
        <f t="shared" si="53"/>
        <v>0</v>
      </c>
      <c r="AC76" s="243"/>
      <c r="AE76" s="173">
        <v>3</v>
      </c>
      <c r="AF76" s="171" t="str">
        <f>IF(ISBLANK(STUD!H49)," ",STUD!H49)</f>
        <v xml:space="preserve"> </v>
      </c>
      <c r="AG76" s="183">
        <f t="shared" si="49"/>
        <v>0</v>
      </c>
      <c r="AH76" s="183">
        <f t="shared" ref="AH76:AH101" si="54">$AG$74-AG76</f>
        <v>0</v>
      </c>
      <c r="AI76" s="53" t="str">
        <f t="shared" si="50"/>
        <v xml:space="preserve"> </v>
      </c>
      <c r="AJ76" s="53" t="str">
        <f>IF(AI76="","",IFERROR(IF(VLOOKUP(AI76,Programa!$AF$3:$AG$18,2,0)="","",VLOOKUP(AI76,Programa!$AF$3:$AG$18,2,0)),""))</f>
        <v/>
      </c>
      <c r="AK76" s="53" t="str">
        <f t="shared" si="51"/>
        <v xml:space="preserve"> </v>
      </c>
      <c r="AL76" s="53" t="str">
        <f>IF(AK76="","",IFERROR(IF(VLOOKUP(AK76,Programa!$AF$19:$AG$34,2,0)="","",VLOOKUP(AK76,Programa!$AF$19:$AG$34,2,0)),""))</f>
        <v/>
      </c>
      <c r="AM76" s="53" t="str">
        <f t="shared" si="52"/>
        <v xml:space="preserve"> </v>
      </c>
      <c r="AN76" s="53" t="str">
        <f>IF(AM76="","",IFERROR(IF(VLOOKUP(AM76,Programa!$AF$35:$AG$50,2,0)="","",VLOOKUP(AM76,Programa!$AF$35:$AG$50,2,0)),""))</f>
        <v/>
      </c>
    </row>
    <row r="77" spans="1:40" ht="15.75" customHeight="1" x14ac:dyDescent="0.4">
      <c r="A77" s="288">
        <f>+A75+1</f>
        <v>3</v>
      </c>
      <c r="B77" s="243">
        <f>STUD!H37</f>
        <v>0</v>
      </c>
      <c r="C77" s="244">
        <f>SUM(D78:AB78)</f>
        <v>0</v>
      </c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36"/>
      <c r="P77" s="135"/>
      <c r="Q77" s="135"/>
      <c r="R77" s="135"/>
      <c r="S77" s="135"/>
      <c r="T77" s="135"/>
      <c r="U77" s="135"/>
      <c r="V77" s="135"/>
      <c r="W77" s="135"/>
      <c r="X77" s="135"/>
      <c r="Y77" s="135"/>
      <c r="Z77" s="135"/>
      <c r="AA77" s="135"/>
      <c r="AB77" s="135"/>
      <c r="AC77" s="243">
        <f>SUM(D78:AB78)</f>
        <v>0</v>
      </c>
      <c r="AE77" s="174">
        <v>4</v>
      </c>
      <c r="AF77" s="171" t="str">
        <f>IF(ISBLANK(STUD!H42)," ",STUD!H42)</f>
        <v xml:space="preserve"> </v>
      </c>
      <c r="AG77" s="183">
        <f t="shared" si="49"/>
        <v>0</v>
      </c>
      <c r="AH77" s="183">
        <f t="shared" si="54"/>
        <v>0</v>
      </c>
      <c r="AI77" s="53" t="str">
        <f t="shared" si="50"/>
        <v xml:space="preserve"> </v>
      </c>
      <c r="AJ77" s="53" t="str">
        <f>IF(AI77="","",IFERROR(IF(VLOOKUP(AI77,Programa!$AF$3:$AG$18,2,0)="","",VLOOKUP(AI77,Programa!$AF$3:$AG$18,2,0)),""))</f>
        <v/>
      </c>
      <c r="AK77" s="53" t="str">
        <f t="shared" si="51"/>
        <v xml:space="preserve"> </v>
      </c>
      <c r="AL77" s="53" t="str">
        <f>IF(AK77="","",IFERROR(IF(VLOOKUP(AK77,Programa!$AF$19:$AG$34,2,0)="","",VLOOKUP(AK77,Programa!$AF$19:$AG$34,2,0)),""))</f>
        <v/>
      </c>
      <c r="AM77" s="53" t="str">
        <f t="shared" si="52"/>
        <v xml:space="preserve"> </v>
      </c>
      <c r="AN77" s="53" t="str">
        <f>IF(AM77="","",IFERROR(IF(VLOOKUP(AM77,Programa!$AF$35:$AG$50,2,0)="","",VLOOKUP(AM77,Programa!$AF$35:$AG$50,2,0)),""))</f>
        <v/>
      </c>
    </row>
    <row r="78" spans="1:40" ht="15.75" customHeight="1" x14ac:dyDescent="0.4">
      <c r="A78" s="242"/>
      <c r="B78" s="243"/>
      <c r="C78" s="245"/>
      <c r="D78" s="138">
        <f t="shared" ref="D78:AB78" si="55">IF(IFERROR(IF(VLOOKUP(D77,D$151:D$155,1,0)&gt;=1,D$150,0),D77)=D$132,D$136,IF(IFERROR(IF(VLOOKUP(D77,D$151:D$155,1,0)&gt;=1,D$150,0),D77)=D$139,D$142,IF(IFERROR(IF(VLOOKUP(D77,D$151:D$155,1,0)&gt;=1,D$150,0),D77)=D$145,D$147,0)))</f>
        <v>0</v>
      </c>
      <c r="E78" s="138">
        <f t="shared" si="55"/>
        <v>0</v>
      </c>
      <c r="F78" s="138">
        <f t="shared" si="55"/>
        <v>0</v>
      </c>
      <c r="G78" s="138">
        <f t="shared" si="55"/>
        <v>0</v>
      </c>
      <c r="H78" s="138">
        <f t="shared" si="55"/>
        <v>0</v>
      </c>
      <c r="I78" s="138">
        <f t="shared" si="55"/>
        <v>0</v>
      </c>
      <c r="J78" s="138">
        <f t="shared" si="55"/>
        <v>0</v>
      </c>
      <c r="K78" s="138">
        <f t="shared" si="55"/>
        <v>0</v>
      </c>
      <c r="L78" s="138">
        <f t="shared" si="55"/>
        <v>0</v>
      </c>
      <c r="M78" s="138">
        <f t="shared" si="55"/>
        <v>0</v>
      </c>
      <c r="N78" s="138">
        <f t="shared" si="55"/>
        <v>0</v>
      </c>
      <c r="O78" s="138">
        <f t="shared" si="55"/>
        <v>0</v>
      </c>
      <c r="P78" s="138">
        <f t="shared" si="55"/>
        <v>0</v>
      </c>
      <c r="Q78" s="138">
        <f t="shared" si="55"/>
        <v>0</v>
      </c>
      <c r="R78" s="138">
        <f t="shared" si="55"/>
        <v>0</v>
      </c>
      <c r="S78" s="138">
        <f t="shared" si="55"/>
        <v>0</v>
      </c>
      <c r="T78" s="138">
        <f t="shared" si="55"/>
        <v>0</v>
      </c>
      <c r="U78" s="138">
        <f t="shared" si="55"/>
        <v>0</v>
      </c>
      <c r="V78" s="138">
        <f t="shared" si="55"/>
        <v>0</v>
      </c>
      <c r="W78" s="138">
        <f t="shared" si="55"/>
        <v>0</v>
      </c>
      <c r="X78" s="138">
        <f t="shared" si="55"/>
        <v>0</v>
      </c>
      <c r="Y78" s="138">
        <f t="shared" si="55"/>
        <v>0</v>
      </c>
      <c r="Z78" s="138">
        <f t="shared" si="55"/>
        <v>0</v>
      </c>
      <c r="AA78" s="138">
        <f t="shared" si="55"/>
        <v>0</v>
      </c>
      <c r="AB78" s="138">
        <f t="shared" si="55"/>
        <v>0</v>
      </c>
      <c r="AC78" s="243"/>
      <c r="AE78" s="175">
        <v>5</v>
      </c>
      <c r="AF78" s="171" t="str">
        <f>IF(ISBLANK(STUD!H46)," ",STUD!H46)</f>
        <v xml:space="preserve"> </v>
      </c>
      <c r="AG78" s="183">
        <f t="shared" si="49"/>
        <v>0</v>
      </c>
      <c r="AH78" s="183">
        <f t="shared" si="54"/>
        <v>0</v>
      </c>
      <c r="AI78" s="53" t="str">
        <f t="shared" si="50"/>
        <v xml:space="preserve"> </v>
      </c>
      <c r="AJ78" s="53" t="str">
        <f>IF(AI78="","",IFERROR(IF(VLOOKUP(AI78,Programa!$AF$3:$AG$18,2,0)="","",VLOOKUP(AI78,Programa!$AF$3:$AG$18,2,0)),""))</f>
        <v/>
      </c>
      <c r="AK78" s="53" t="str">
        <f t="shared" si="51"/>
        <v xml:space="preserve"> </v>
      </c>
      <c r="AL78" s="53" t="str">
        <f>IF(AK78="","",IFERROR(IF(VLOOKUP(AK78,Programa!$AF$19:$AG$34,2,0)="","",VLOOKUP(AK78,Programa!$AF$19:$AG$34,2,0)),""))</f>
        <v/>
      </c>
      <c r="AM78" s="53" t="str">
        <f t="shared" si="52"/>
        <v xml:space="preserve"> </v>
      </c>
      <c r="AN78" s="53" t="str">
        <f>IF(AM78="","",IFERROR(IF(VLOOKUP(AM78,Programa!$AF$35:$AG$50,2,0)="","",VLOOKUP(AM78,Programa!$AF$35:$AG$50,2,0)),""))</f>
        <v/>
      </c>
    </row>
    <row r="79" spans="1:40" ht="15.75" customHeight="1" x14ac:dyDescent="0.4">
      <c r="A79" s="288">
        <f>+A77+1</f>
        <v>4</v>
      </c>
      <c r="B79" s="243">
        <f>STUD!H38</f>
        <v>0</v>
      </c>
      <c r="C79" s="244">
        <f>SUM(D80:AB80)</f>
        <v>0</v>
      </c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6"/>
      <c r="P79" s="135"/>
      <c r="Q79" s="135"/>
      <c r="R79" s="135"/>
      <c r="S79" s="135"/>
      <c r="T79" s="135"/>
      <c r="U79" s="135"/>
      <c r="V79" s="135"/>
      <c r="W79" s="135"/>
      <c r="X79" s="135"/>
      <c r="Y79" s="135"/>
      <c r="Z79" s="135"/>
      <c r="AA79" s="135"/>
      <c r="AB79" s="135"/>
      <c r="AC79" s="243">
        <f>SUM(D80:AB80)</f>
        <v>0</v>
      </c>
      <c r="AE79" s="176">
        <v>6</v>
      </c>
      <c r="AF79" s="171" t="str">
        <f>IF(ISBLANK(STUD!H45)," ",STUD!H45)</f>
        <v xml:space="preserve"> </v>
      </c>
      <c r="AG79" s="183">
        <f t="shared" si="49"/>
        <v>0</v>
      </c>
      <c r="AH79" s="183">
        <f t="shared" si="54"/>
        <v>0</v>
      </c>
      <c r="AI79" s="53" t="str">
        <f t="shared" si="50"/>
        <v xml:space="preserve"> </v>
      </c>
      <c r="AJ79" s="53" t="str">
        <f>IF(AI79="","",IFERROR(IF(VLOOKUP(AI79,Programa!$AF$3:$AG$18,2,0)="","",VLOOKUP(AI79,Programa!$AF$3:$AG$18,2,0)),""))</f>
        <v/>
      </c>
      <c r="AK79" s="53" t="str">
        <f t="shared" si="51"/>
        <v xml:space="preserve"> </v>
      </c>
      <c r="AL79" s="53" t="str">
        <f>IF(AK79="","",IFERROR(IF(VLOOKUP(AK79,Programa!$AF$19:$AG$34,2,0)="","",VLOOKUP(AK79,Programa!$AF$19:$AG$34,2,0)),""))</f>
        <v/>
      </c>
      <c r="AM79" s="53" t="str">
        <f t="shared" si="52"/>
        <v xml:space="preserve"> </v>
      </c>
      <c r="AN79" s="53" t="str">
        <f>IF(AM79="","",IFERROR(IF(VLOOKUP(AM79,Programa!$AF$35:$AG$50,2,0)="","",VLOOKUP(AM79,Programa!$AF$35:$AG$50,2,0)),""))</f>
        <v/>
      </c>
    </row>
    <row r="80" spans="1:40" ht="15.75" customHeight="1" x14ac:dyDescent="0.4">
      <c r="A80" s="242"/>
      <c r="B80" s="243"/>
      <c r="C80" s="245"/>
      <c r="D80" s="138">
        <f t="shared" ref="D80:AB80" si="56">IF(IFERROR(IF(VLOOKUP(D79,D$151:D$155,1,0)&gt;=1,D$150,0),D79)=D$132,D$136,IF(IFERROR(IF(VLOOKUP(D79,D$151:D$155,1,0)&gt;=1,D$150,0),D79)=D$139,D$142,IF(IFERROR(IF(VLOOKUP(D79,D$151:D$155,1,0)&gt;=1,D$150,0),D79)=D$145,D$147,0)))</f>
        <v>0</v>
      </c>
      <c r="E80" s="138">
        <f t="shared" si="56"/>
        <v>0</v>
      </c>
      <c r="F80" s="138">
        <f t="shared" si="56"/>
        <v>0</v>
      </c>
      <c r="G80" s="138">
        <f t="shared" si="56"/>
        <v>0</v>
      </c>
      <c r="H80" s="138">
        <f t="shared" si="56"/>
        <v>0</v>
      </c>
      <c r="I80" s="138">
        <f t="shared" si="56"/>
        <v>0</v>
      </c>
      <c r="J80" s="138">
        <f t="shared" si="56"/>
        <v>0</v>
      </c>
      <c r="K80" s="138">
        <f t="shared" si="56"/>
        <v>0</v>
      </c>
      <c r="L80" s="138">
        <f t="shared" si="56"/>
        <v>0</v>
      </c>
      <c r="M80" s="138">
        <f t="shared" si="56"/>
        <v>0</v>
      </c>
      <c r="N80" s="138">
        <f t="shared" si="56"/>
        <v>0</v>
      </c>
      <c r="O80" s="138">
        <f t="shared" si="56"/>
        <v>0</v>
      </c>
      <c r="P80" s="138">
        <f t="shared" si="56"/>
        <v>0</v>
      </c>
      <c r="Q80" s="138">
        <f t="shared" si="56"/>
        <v>0</v>
      </c>
      <c r="R80" s="138">
        <f t="shared" si="56"/>
        <v>0</v>
      </c>
      <c r="S80" s="138">
        <f t="shared" si="56"/>
        <v>0</v>
      </c>
      <c r="T80" s="138">
        <f t="shared" si="56"/>
        <v>0</v>
      </c>
      <c r="U80" s="138">
        <f t="shared" si="56"/>
        <v>0</v>
      </c>
      <c r="V80" s="138">
        <f t="shared" si="56"/>
        <v>0</v>
      </c>
      <c r="W80" s="138">
        <f t="shared" si="56"/>
        <v>0</v>
      </c>
      <c r="X80" s="138">
        <f t="shared" si="56"/>
        <v>0</v>
      </c>
      <c r="Y80" s="138">
        <f t="shared" si="56"/>
        <v>0</v>
      </c>
      <c r="Z80" s="138">
        <f t="shared" si="56"/>
        <v>0</v>
      </c>
      <c r="AA80" s="138">
        <f t="shared" si="56"/>
        <v>0</v>
      </c>
      <c r="AB80" s="138">
        <f t="shared" si="56"/>
        <v>0</v>
      </c>
      <c r="AC80" s="243"/>
      <c r="AE80" s="177">
        <v>7</v>
      </c>
      <c r="AF80" s="171" t="str">
        <f>IF(ISBLANK(STUD!H47)," ",STUD!H47)</f>
        <v xml:space="preserve"> </v>
      </c>
      <c r="AG80" s="183">
        <f t="shared" si="49"/>
        <v>0</v>
      </c>
      <c r="AH80" s="183">
        <f t="shared" si="54"/>
        <v>0</v>
      </c>
      <c r="AI80" s="53" t="str">
        <f t="shared" si="50"/>
        <v xml:space="preserve"> </v>
      </c>
      <c r="AJ80" s="53" t="str">
        <f>IF(AI80="","",IFERROR(IF(VLOOKUP(AI80,Programa!$AF$3:$AG$18,2,0)="","",VLOOKUP(AI80,Programa!$AF$3:$AG$18,2,0)),""))</f>
        <v/>
      </c>
      <c r="AK80" s="53" t="str">
        <f t="shared" si="51"/>
        <v xml:space="preserve"> </v>
      </c>
      <c r="AL80" s="53" t="str">
        <f>IF(AK80="","",IFERROR(IF(VLOOKUP(AK80,Programa!$AF$19:$AG$34,2,0)="","",VLOOKUP(AK80,Programa!$AF$19:$AG$34,2,0)),""))</f>
        <v/>
      </c>
      <c r="AM80" s="53" t="str">
        <f t="shared" si="52"/>
        <v xml:space="preserve"> </v>
      </c>
      <c r="AN80" s="53" t="str">
        <f>IF(AM80="","",IFERROR(IF(VLOOKUP(AM80,Programa!$AF$35:$AG$50,2,0)="","",VLOOKUP(AM80,Programa!$AF$35:$AG$50,2,0)),""))</f>
        <v/>
      </c>
    </row>
    <row r="81" spans="1:40" ht="15.75" customHeight="1" x14ac:dyDescent="0.4">
      <c r="A81" s="288">
        <f t="shared" ref="A81:A127" si="57">+A79+1</f>
        <v>5</v>
      </c>
      <c r="B81" s="243">
        <f>STUD!H39</f>
        <v>0</v>
      </c>
      <c r="C81" s="244">
        <f>SUM(D82:AB82)</f>
        <v>0</v>
      </c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36"/>
      <c r="P81" s="135"/>
      <c r="Q81" s="135"/>
      <c r="R81" s="135"/>
      <c r="S81" s="135"/>
      <c r="T81" s="135"/>
      <c r="U81" s="135"/>
      <c r="V81" s="135"/>
      <c r="W81" s="135"/>
      <c r="X81" s="135"/>
      <c r="Y81" s="135"/>
      <c r="Z81" s="135"/>
      <c r="AA81" s="135"/>
      <c r="AB81" s="135"/>
      <c r="AC81" s="243">
        <f>SUM(D82:AB82)</f>
        <v>0</v>
      </c>
      <c r="AE81" s="178">
        <v>8</v>
      </c>
      <c r="AF81" s="171" t="str">
        <f>IF(ISBLANK(STUD!H41)," ",STUD!H41)</f>
        <v xml:space="preserve"> </v>
      </c>
      <c r="AG81" s="183">
        <f t="shared" si="49"/>
        <v>0</v>
      </c>
      <c r="AH81" s="183">
        <f t="shared" si="54"/>
        <v>0</v>
      </c>
      <c r="AI81" s="53" t="str">
        <f t="shared" si="50"/>
        <v xml:space="preserve"> </v>
      </c>
      <c r="AJ81" s="53" t="str">
        <f>IF(AI81="","",IFERROR(IF(VLOOKUP(AI81,Programa!$AF$3:$AG$18,2,0)="","",VLOOKUP(AI81,Programa!$AF$3:$AG$18,2,0)),""))</f>
        <v/>
      </c>
      <c r="AK81" s="53" t="str">
        <f t="shared" si="51"/>
        <v xml:space="preserve"> </v>
      </c>
      <c r="AL81" s="53" t="str">
        <f>IF(AK81="","",IFERROR(IF(VLOOKUP(AK81,Programa!$AF$19:$AG$34,2,0)="","",VLOOKUP(AK81,Programa!$AF$19:$AG$34,2,0)),""))</f>
        <v/>
      </c>
      <c r="AM81" s="53" t="str">
        <f t="shared" si="52"/>
        <v xml:space="preserve"> </v>
      </c>
      <c r="AN81" s="53" t="str">
        <f>IF(AM81="","",IFERROR(IF(VLOOKUP(AM81,Programa!$AF$35:$AG$50,2,0)="","",VLOOKUP(AM81,Programa!$AF$35:$AG$50,2,0)),""))</f>
        <v/>
      </c>
    </row>
    <row r="82" spans="1:40" ht="15.75" customHeight="1" x14ac:dyDescent="0.4">
      <c r="A82" s="242"/>
      <c r="B82" s="243"/>
      <c r="C82" s="245"/>
      <c r="D82" s="138">
        <f t="shared" ref="D82:AB82" si="58">IF(IFERROR(IF(VLOOKUP(D81,D$151:D$155,1,0)&gt;=1,D$150,0),D81)=D$132,D$136,IF(IFERROR(IF(VLOOKUP(D81,D$151:D$155,1,0)&gt;=1,D$150,0),D81)=D$139,D$142,IF(IFERROR(IF(VLOOKUP(D81,D$151:D$155,1,0)&gt;=1,D$150,0),D81)=D$145,D$147,0)))</f>
        <v>0</v>
      </c>
      <c r="E82" s="138">
        <f t="shared" si="58"/>
        <v>0</v>
      </c>
      <c r="F82" s="138">
        <f t="shared" si="58"/>
        <v>0</v>
      </c>
      <c r="G82" s="138">
        <f t="shared" si="58"/>
        <v>0</v>
      </c>
      <c r="H82" s="138">
        <f t="shared" si="58"/>
        <v>0</v>
      </c>
      <c r="I82" s="138">
        <f t="shared" si="58"/>
        <v>0</v>
      </c>
      <c r="J82" s="138">
        <f t="shared" si="58"/>
        <v>0</v>
      </c>
      <c r="K82" s="138">
        <f t="shared" si="58"/>
        <v>0</v>
      </c>
      <c r="L82" s="138">
        <f t="shared" si="58"/>
        <v>0</v>
      </c>
      <c r="M82" s="138">
        <f t="shared" si="58"/>
        <v>0</v>
      </c>
      <c r="N82" s="138">
        <f t="shared" si="58"/>
        <v>0</v>
      </c>
      <c r="O82" s="138">
        <f t="shared" si="58"/>
        <v>0</v>
      </c>
      <c r="P82" s="138">
        <f t="shared" si="58"/>
        <v>0</v>
      </c>
      <c r="Q82" s="138">
        <f t="shared" si="58"/>
        <v>0</v>
      </c>
      <c r="R82" s="138">
        <f t="shared" si="58"/>
        <v>0</v>
      </c>
      <c r="S82" s="138">
        <f t="shared" si="58"/>
        <v>0</v>
      </c>
      <c r="T82" s="138">
        <f t="shared" si="58"/>
        <v>0</v>
      </c>
      <c r="U82" s="138">
        <f t="shared" si="58"/>
        <v>0</v>
      </c>
      <c r="V82" s="138">
        <f t="shared" si="58"/>
        <v>0</v>
      </c>
      <c r="W82" s="138">
        <f t="shared" si="58"/>
        <v>0</v>
      </c>
      <c r="X82" s="138">
        <f t="shared" si="58"/>
        <v>0</v>
      </c>
      <c r="Y82" s="138">
        <f t="shared" si="58"/>
        <v>0</v>
      </c>
      <c r="Z82" s="138">
        <f t="shared" si="58"/>
        <v>0</v>
      </c>
      <c r="AA82" s="138">
        <f t="shared" si="58"/>
        <v>0</v>
      </c>
      <c r="AB82" s="138">
        <f t="shared" si="58"/>
        <v>0</v>
      </c>
      <c r="AC82" s="243"/>
      <c r="AE82" s="179">
        <v>9</v>
      </c>
      <c r="AF82" s="171" t="str">
        <f>IF(ISBLANK(STUD!H48)," ",STUD!H48)</f>
        <v xml:space="preserve"> </v>
      </c>
      <c r="AG82" s="183">
        <f t="shared" si="49"/>
        <v>0</v>
      </c>
      <c r="AH82" s="183">
        <f t="shared" si="54"/>
        <v>0</v>
      </c>
      <c r="AI82" s="53" t="str">
        <f t="shared" si="50"/>
        <v xml:space="preserve"> </v>
      </c>
      <c r="AJ82" s="53" t="str">
        <f>IF(AI82="","",IFERROR(IF(VLOOKUP(AI82,Programa!$AF$3:$AG$18,2,0)="","",VLOOKUP(AI82,Programa!$AF$3:$AG$18,2,0)),""))</f>
        <v/>
      </c>
      <c r="AK82" s="53" t="str">
        <f t="shared" si="51"/>
        <v xml:space="preserve"> </v>
      </c>
      <c r="AL82" s="53" t="str">
        <f>IF(AK82="","",IFERROR(IF(VLOOKUP(AK82,Programa!$AF$19:$AG$34,2,0)="","",VLOOKUP(AK82,Programa!$AF$19:$AG$34,2,0)),""))</f>
        <v/>
      </c>
      <c r="AM82" s="53" t="str">
        <f t="shared" si="52"/>
        <v xml:space="preserve"> </v>
      </c>
      <c r="AN82" s="53" t="str">
        <f>IF(AM82="","",IFERROR(IF(VLOOKUP(AM82,Programa!$AF$35:$AG$50,2,0)="","",VLOOKUP(AM82,Programa!$AF$35:$AG$50,2,0)),""))</f>
        <v/>
      </c>
    </row>
    <row r="83" spans="1:40" ht="15.75" customHeight="1" x14ac:dyDescent="0.4">
      <c r="A83" s="288">
        <f t="shared" si="57"/>
        <v>6</v>
      </c>
      <c r="B83" s="243">
        <f>STUD!H40</f>
        <v>0</v>
      </c>
      <c r="C83" s="244">
        <f>SUM(D84:AB84)</f>
        <v>0</v>
      </c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6"/>
      <c r="P83" s="135"/>
      <c r="Q83" s="135"/>
      <c r="R83" s="135"/>
      <c r="S83" s="135"/>
      <c r="T83" s="135"/>
      <c r="U83" s="135"/>
      <c r="V83" s="135"/>
      <c r="W83" s="135"/>
      <c r="X83" s="135"/>
      <c r="Y83" s="135"/>
      <c r="Z83" s="135"/>
      <c r="AA83" s="135"/>
      <c r="AB83" s="135"/>
      <c r="AC83" s="243">
        <f>SUM(D84:AB84)</f>
        <v>0</v>
      </c>
      <c r="AE83" s="180">
        <v>10</v>
      </c>
      <c r="AF83" s="171" t="str">
        <f>IF(ISBLANK(STUD!H39)," ",STUD!H39)</f>
        <v xml:space="preserve"> </v>
      </c>
      <c r="AG83" s="183">
        <f t="shared" si="49"/>
        <v>0</v>
      </c>
      <c r="AH83" s="183">
        <f t="shared" si="54"/>
        <v>0</v>
      </c>
      <c r="AI83" s="53" t="str">
        <f t="shared" si="50"/>
        <v xml:space="preserve"> </v>
      </c>
      <c r="AJ83" s="53" t="str">
        <f>IF(AI83="","",IFERROR(IF(VLOOKUP(AI83,Programa!$AF$3:$AG$18,2,0)="","",VLOOKUP(AI83,Programa!$AF$3:$AG$18,2,0)),""))</f>
        <v/>
      </c>
      <c r="AK83" s="53" t="str">
        <f t="shared" si="51"/>
        <v xml:space="preserve"> </v>
      </c>
      <c r="AL83" s="53" t="str">
        <f>IF(AK83="","",IFERROR(IF(VLOOKUP(AK83,Programa!$AF$19:$AG$34,2,0)="","",VLOOKUP(AK83,Programa!$AF$19:$AG$34,2,0)),""))</f>
        <v/>
      </c>
      <c r="AM83" s="53" t="str">
        <f t="shared" si="52"/>
        <v xml:space="preserve"> </v>
      </c>
      <c r="AN83" s="53" t="str">
        <f>IF(AM83="","",IFERROR(IF(VLOOKUP(AM83,Programa!$AF$35:$AG$50,2,0)="","",VLOOKUP(AM83,Programa!$AF$35:$AG$50,2,0)),""))</f>
        <v/>
      </c>
    </row>
    <row r="84" spans="1:40" ht="15.75" customHeight="1" x14ac:dyDescent="0.4">
      <c r="A84" s="242"/>
      <c r="B84" s="243"/>
      <c r="C84" s="245"/>
      <c r="D84" s="138">
        <f t="shared" ref="D84:AB84" si="59">IF(IFERROR(IF(VLOOKUP(D83,D$151:D$155,1,0)&gt;=1,D$150,0),D83)=D$132,D$136,IF(IFERROR(IF(VLOOKUP(D83,D$151:D$155,1,0)&gt;=1,D$150,0),D83)=D$139,D$142,IF(IFERROR(IF(VLOOKUP(D83,D$151:D$155,1,0)&gt;=1,D$150,0),D83)=D$145,D$147,0)))</f>
        <v>0</v>
      </c>
      <c r="E84" s="138">
        <f t="shared" si="59"/>
        <v>0</v>
      </c>
      <c r="F84" s="138">
        <f t="shared" si="59"/>
        <v>0</v>
      </c>
      <c r="G84" s="138">
        <f t="shared" si="59"/>
        <v>0</v>
      </c>
      <c r="H84" s="138">
        <f t="shared" si="59"/>
        <v>0</v>
      </c>
      <c r="I84" s="138">
        <f t="shared" si="59"/>
        <v>0</v>
      </c>
      <c r="J84" s="138">
        <f t="shared" si="59"/>
        <v>0</v>
      </c>
      <c r="K84" s="138">
        <f t="shared" si="59"/>
        <v>0</v>
      </c>
      <c r="L84" s="138">
        <f t="shared" si="59"/>
        <v>0</v>
      </c>
      <c r="M84" s="138">
        <f t="shared" si="59"/>
        <v>0</v>
      </c>
      <c r="N84" s="138">
        <f t="shared" si="59"/>
        <v>0</v>
      </c>
      <c r="O84" s="138">
        <f t="shared" si="59"/>
        <v>0</v>
      </c>
      <c r="P84" s="138">
        <f t="shared" si="59"/>
        <v>0</v>
      </c>
      <c r="Q84" s="138">
        <f t="shared" si="59"/>
        <v>0</v>
      </c>
      <c r="R84" s="138">
        <f t="shared" si="59"/>
        <v>0</v>
      </c>
      <c r="S84" s="138">
        <f t="shared" si="59"/>
        <v>0</v>
      </c>
      <c r="T84" s="138">
        <f t="shared" si="59"/>
        <v>0</v>
      </c>
      <c r="U84" s="138">
        <f t="shared" si="59"/>
        <v>0</v>
      </c>
      <c r="V84" s="138">
        <f t="shared" si="59"/>
        <v>0</v>
      </c>
      <c r="W84" s="138">
        <f t="shared" si="59"/>
        <v>0</v>
      </c>
      <c r="X84" s="138">
        <f t="shared" si="59"/>
        <v>0</v>
      </c>
      <c r="Y84" s="138">
        <f t="shared" si="59"/>
        <v>0</v>
      </c>
      <c r="Z84" s="138">
        <f t="shared" si="59"/>
        <v>0</v>
      </c>
      <c r="AA84" s="138">
        <f t="shared" si="59"/>
        <v>0</v>
      </c>
      <c r="AB84" s="138">
        <f t="shared" si="59"/>
        <v>0</v>
      </c>
      <c r="AC84" s="243"/>
      <c r="AE84" s="196">
        <v>11</v>
      </c>
      <c r="AF84" s="171" t="str">
        <f>IF(ISBLANK(STUD!H36)," ",STUD!H36)</f>
        <v xml:space="preserve"> </v>
      </c>
      <c r="AG84" s="183">
        <f t="shared" si="49"/>
        <v>0</v>
      </c>
      <c r="AH84" s="183">
        <f t="shared" si="54"/>
        <v>0</v>
      </c>
      <c r="AI84" s="53" t="str">
        <f t="shared" si="50"/>
        <v xml:space="preserve"> </v>
      </c>
      <c r="AJ84" s="53" t="str">
        <f>IF(AI84="","",IFERROR(IF(VLOOKUP(AI84,Programa!$AF$3:$AG$18,2,0)="","",VLOOKUP(AI84,Programa!$AF$3:$AG$18,2,0)),""))</f>
        <v/>
      </c>
      <c r="AK84" s="53" t="str">
        <f t="shared" si="51"/>
        <v xml:space="preserve"> </v>
      </c>
      <c r="AL84" s="53" t="str">
        <f>IF(AK84="","",IFERROR(IF(VLOOKUP(AK84,Programa!$AF$19:$AG$34,2,0)="","",VLOOKUP(AK84,Programa!$AF$19:$AG$34,2,0)),""))</f>
        <v/>
      </c>
      <c r="AM84" s="53" t="str">
        <f t="shared" si="52"/>
        <v xml:space="preserve"> </v>
      </c>
      <c r="AN84" s="53" t="str">
        <f>IF(AM84="","",IFERROR(IF(VLOOKUP(AM84,Programa!$AF$35:$AG$50,2,0)="","",VLOOKUP(AM84,Programa!$AF$35:$AG$50,2,0)),""))</f>
        <v/>
      </c>
    </row>
    <row r="85" spans="1:40" ht="15.75" customHeight="1" x14ac:dyDescent="0.4">
      <c r="A85" s="288">
        <f t="shared" si="57"/>
        <v>7</v>
      </c>
      <c r="B85" s="243">
        <f>STUD!H41</f>
        <v>0</v>
      </c>
      <c r="C85" s="244">
        <f>SUM(D86:AB86)</f>
        <v>0</v>
      </c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36"/>
      <c r="P85" s="135"/>
      <c r="Q85" s="135"/>
      <c r="R85" s="135"/>
      <c r="S85" s="135"/>
      <c r="T85" s="135"/>
      <c r="U85" s="135"/>
      <c r="V85" s="135"/>
      <c r="W85" s="135"/>
      <c r="X85" s="135"/>
      <c r="Y85" s="135"/>
      <c r="Z85" s="135"/>
      <c r="AA85" s="135"/>
      <c r="AB85" s="135"/>
      <c r="AC85" s="243">
        <f>SUM(D86:AB86)</f>
        <v>0</v>
      </c>
      <c r="AE85" s="197">
        <v>12</v>
      </c>
      <c r="AF85" s="171" t="str">
        <f>IF(ISBLANK(STUD!H43)," ",STUD!H43)</f>
        <v xml:space="preserve"> </v>
      </c>
      <c r="AG85" s="183">
        <f t="shared" si="49"/>
        <v>0</v>
      </c>
      <c r="AH85" s="183">
        <f t="shared" si="54"/>
        <v>0</v>
      </c>
      <c r="AI85" s="53" t="str">
        <f t="shared" si="50"/>
        <v xml:space="preserve"> </v>
      </c>
      <c r="AJ85" s="53" t="str">
        <f>IF(AI85="","",IFERROR(IF(VLOOKUP(AI85,Programa!$AF$3:$AG$18,2,0)="","",VLOOKUP(AI85,Programa!$AF$3:$AG$18,2,0)),""))</f>
        <v/>
      </c>
      <c r="AK85" s="53" t="str">
        <f t="shared" si="51"/>
        <v xml:space="preserve"> </v>
      </c>
      <c r="AL85" s="53" t="str">
        <f>IF(AK85="","",IFERROR(IF(VLOOKUP(AK85,Programa!$AF$19:$AG$34,2,0)="","",VLOOKUP(AK85,Programa!$AF$19:$AG$34,2,0)),""))</f>
        <v/>
      </c>
      <c r="AM85" s="53" t="str">
        <f t="shared" si="52"/>
        <v xml:space="preserve"> </v>
      </c>
      <c r="AN85" s="53" t="str">
        <f>IF(AM85="","",IFERROR(IF(VLOOKUP(AM85,Programa!$AF$35:$AG$50,2,0)="","",VLOOKUP(AM85,Programa!$AF$35:$AG$50,2,0)),""))</f>
        <v/>
      </c>
    </row>
    <row r="86" spans="1:40" ht="15.75" customHeight="1" x14ac:dyDescent="0.4">
      <c r="A86" s="242"/>
      <c r="B86" s="243"/>
      <c r="C86" s="245"/>
      <c r="D86" s="138">
        <f t="shared" ref="D86:AB86" si="60">IF(IFERROR(IF(VLOOKUP(D85,D$151:D$155,1,0)&gt;=1,D$150,0),D85)=D$132,D$136,IF(IFERROR(IF(VLOOKUP(D85,D$151:D$155,1,0)&gt;=1,D$150,0),D85)=D$139,D$142,IF(IFERROR(IF(VLOOKUP(D85,D$151:D$155,1,0)&gt;=1,D$150,0),D85)=D$145,D$147,0)))</f>
        <v>0</v>
      </c>
      <c r="E86" s="138">
        <f t="shared" si="60"/>
        <v>0</v>
      </c>
      <c r="F86" s="138">
        <f t="shared" si="60"/>
        <v>0</v>
      </c>
      <c r="G86" s="138">
        <f t="shared" si="60"/>
        <v>0</v>
      </c>
      <c r="H86" s="138">
        <f t="shared" si="60"/>
        <v>0</v>
      </c>
      <c r="I86" s="138">
        <f t="shared" si="60"/>
        <v>0</v>
      </c>
      <c r="J86" s="138">
        <f t="shared" si="60"/>
        <v>0</v>
      </c>
      <c r="K86" s="138">
        <f t="shared" si="60"/>
        <v>0</v>
      </c>
      <c r="L86" s="138">
        <f t="shared" si="60"/>
        <v>0</v>
      </c>
      <c r="M86" s="138">
        <f t="shared" si="60"/>
        <v>0</v>
      </c>
      <c r="N86" s="138">
        <f t="shared" si="60"/>
        <v>0</v>
      </c>
      <c r="O86" s="138">
        <f t="shared" si="60"/>
        <v>0</v>
      </c>
      <c r="P86" s="138">
        <f t="shared" si="60"/>
        <v>0</v>
      </c>
      <c r="Q86" s="138">
        <f t="shared" si="60"/>
        <v>0</v>
      </c>
      <c r="R86" s="138">
        <f t="shared" si="60"/>
        <v>0</v>
      </c>
      <c r="S86" s="138">
        <f t="shared" si="60"/>
        <v>0</v>
      </c>
      <c r="T86" s="138">
        <f t="shared" si="60"/>
        <v>0</v>
      </c>
      <c r="U86" s="138">
        <f t="shared" si="60"/>
        <v>0</v>
      </c>
      <c r="V86" s="138">
        <f t="shared" si="60"/>
        <v>0</v>
      </c>
      <c r="W86" s="138">
        <f t="shared" si="60"/>
        <v>0</v>
      </c>
      <c r="X86" s="138">
        <f t="shared" si="60"/>
        <v>0</v>
      </c>
      <c r="Y86" s="138">
        <f t="shared" si="60"/>
        <v>0</v>
      </c>
      <c r="Z86" s="138">
        <f t="shared" si="60"/>
        <v>0</v>
      </c>
      <c r="AA86" s="138">
        <f t="shared" si="60"/>
        <v>0</v>
      </c>
      <c r="AB86" s="138">
        <f t="shared" si="60"/>
        <v>0</v>
      </c>
      <c r="AC86" s="243"/>
      <c r="AE86" s="198">
        <v>13</v>
      </c>
      <c r="AF86" s="171" t="str">
        <f>IF(ISBLANK(STUD!H38)," ",STUD!H38)</f>
        <v xml:space="preserve"> </v>
      </c>
      <c r="AG86" s="183">
        <f t="shared" si="49"/>
        <v>0</v>
      </c>
      <c r="AH86" s="183">
        <f t="shared" si="54"/>
        <v>0</v>
      </c>
      <c r="AI86" s="53" t="str">
        <f t="shared" si="50"/>
        <v xml:space="preserve"> </v>
      </c>
      <c r="AJ86" s="53" t="str">
        <f>IF(AI86="","",IFERROR(IF(VLOOKUP(AI86,Programa!$AF$3:$AG$18,2,0)="","",VLOOKUP(AI86,Programa!$AF$3:$AG$18,2,0)),""))</f>
        <v/>
      </c>
      <c r="AK86" s="53" t="str">
        <f t="shared" si="51"/>
        <v xml:space="preserve"> </v>
      </c>
      <c r="AL86" s="53" t="str">
        <f>IF(AK86="","",IFERROR(IF(VLOOKUP(AK86,Programa!$AF$19:$AG$34,2,0)="","",VLOOKUP(AK86,Programa!$AF$19:$AG$34,2,0)),""))</f>
        <v/>
      </c>
      <c r="AM86" s="53" t="str">
        <f t="shared" si="52"/>
        <v xml:space="preserve"> </v>
      </c>
      <c r="AN86" s="53" t="str">
        <f>IF(AM86="","",IFERROR(IF(VLOOKUP(AM86,Programa!$AF$35:$AG$50,2,0)="","",VLOOKUP(AM86,Programa!$AF$35:$AG$50,2,0)),""))</f>
        <v/>
      </c>
    </row>
    <row r="87" spans="1:40" ht="15.75" customHeight="1" x14ac:dyDescent="0.4">
      <c r="A87" s="288">
        <f t="shared" si="57"/>
        <v>8</v>
      </c>
      <c r="B87" s="243">
        <f>STUD!H42</f>
        <v>0</v>
      </c>
      <c r="C87" s="244">
        <f>SUM(D88:AB88)</f>
        <v>0</v>
      </c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6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243">
        <f>SUM(D88:AB88)</f>
        <v>0</v>
      </c>
      <c r="AE87" s="199">
        <v>14</v>
      </c>
      <c r="AF87" s="171" t="str">
        <f>IF(ISBLANK(STUD!H50)," ",STUD!H50)</f>
        <v xml:space="preserve"> </v>
      </c>
      <c r="AG87" s="183">
        <f t="shared" si="49"/>
        <v>0</v>
      </c>
      <c r="AH87" s="183">
        <f t="shared" si="54"/>
        <v>0</v>
      </c>
      <c r="AI87" s="53" t="str">
        <f t="shared" si="50"/>
        <v xml:space="preserve"> </v>
      </c>
      <c r="AJ87" s="53" t="str">
        <f>IF(AI87="","",IFERROR(IF(VLOOKUP(AI87,Programa!$AF$3:$AG$18,2,0)="","",VLOOKUP(AI87,Programa!$AF$3:$AG$18,2,0)),""))</f>
        <v/>
      </c>
      <c r="AK87" s="53" t="str">
        <f t="shared" si="51"/>
        <v xml:space="preserve"> </v>
      </c>
      <c r="AL87" s="53" t="str">
        <f>IF(AK87="","",IFERROR(IF(VLOOKUP(AK87,Programa!$AF$19:$AG$34,2,0)="","",VLOOKUP(AK87,Programa!$AF$19:$AG$34,2,0)),""))</f>
        <v/>
      </c>
      <c r="AM87" s="53" t="str">
        <f t="shared" si="52"/>
        <v xml:space="preserve"> </v>
      </c>
      <c r="AN87" s="53" t="str">
        <f>IF(AM87="","",IFERROR(IF(VLOOKUP(AM87,Programa!$AF$35:$AG$50,2,0)="","",VLOOKUP(AM87,Programa!$AF$35:$AG$50,2,0)),""))</f>
        <v/>
      </c>
    </row>
    <row r="88" spans="1:40" ht="15.75" customHeight="1" x14ac:dyDescent="0.4">
      <c r="A88" s="242"/>
      <c r="B88" s="243"/>
      <c r="C88" s="245"/>
      <c r="D88" s="138">
        <f t="shared" ref="D88:AB88" si="61">IF(IFERROR(IF(VLOOKUP(D87,D$151:D$155,1,0)&gt;=1,D$150,0),D87)=D$132,D$136,IF(IFERROR(IF(VLOOKUP(D87,D$151:D$155,1,0)&gt;=1,D$150,0),D87)=D$139,D$142,IF(IFERROR(IF(VLOOKUP(D87,D$151:D$155,1,0)&gt;=1,D$150,0),D87)=D$145,D$147,0)))</f>
        <v>0</v>
      </c>
      <c r="E88" s="138">
        <f t="shared" si="61"/>
        <v>0</v>
      </c>
      <c r="F88" s="138">
        <f t="shared" si="61"/>
        <v>0</v>
      </c>
      <c r="G88" s="138">
        <f t="shared" si="61"/>
        <v>0</v>
      </c>
      <c r="H88" s="138">
        <f t="shared" si="61"/>
        <v>0</v>
      </c>
      <c r="I88" s="138">
        <f t="shared" si="61"/>
        <v>0</v>
      </c>
      <c r="J88" s="138">
        <f t="shared" si="61"/>
        <v>0</v>
      </c>
      <c r="K88" s="138">
        <f t="shared" si="61"/>
        <v>0</v>
      </c>
      <c r="L88" s="138">
        <f t="shared" si="61"/>
        <v>0</v>
      </c>
      <c r="M88" s="138">
        <f t="shared" si="61"/>
        <v>0</v>
      </c>
      <c r="N88" s="138">
        <f t="shared" si="61"/>
        <v>0</v>
      </c>
      <c r="O88" s="138">
        <f t="shared" si="61"/>
        <v>0</v>
      </c>
      <c r="P88" s="138">
        <f t="shared" si="61"/>
        <v>0</v>
      </c>
      <c r="Q88" s="138">
        <f t="shared" si="61"/>
        <v>0</v>
      </c>
      <c r="R88" s="138">
        <f t="shared" si="61"/>
        <v>0</v>
      </c>
      <c r="S88" s="138">
        <f t="shared" si="61"/>
        <v>0</v>
      </c>
      <c r="T88" s="138">
        <f t="shared" si="61"/>
        <v>0</v>
      </c>
      <c r="U88" s="138">
        <f t="shared" si="61"/>
        <v>0</v>
      </c>
      <c r="V88" s="138">
        <f t="shared" si="61"/>
        <v>0</v>
      </c>
      <c r="W88" s="138">
        <f t="shared" si="61"/>
        <v>0</v>
      </c>
      <c r="X88" s="138">
        <f t="shared" si="61"/>
        <v>0</v>
      </c>
      <c r="Y88" s="138">
        <f t="shared" si="61"/>
        <v>0</v>
      </c>
      <c r="Z88" s="138">
        <f t="shared" si="61"/>
        <v>0</v>
      </c>
      <c r="AA88" s="138">
        <f t="shared" si="61"/>
        <v>0</v>
      </c>
      <c r="AB88" s="138">
        <f t="shared" si="61"/>
        <v>0</v>
      </c>
      <c r="AC88" s="243"/>
      <c r="AE88" s="200">
        <v>15</v>
      </c>
      <c r="AF88" s="171" t="str">
        <f>IF(ISBLANK(STUD!H40)," ",STUD!H40)</f>
        <v xml:space="preserve"> </v>
      </c>
      <c r="AG88" s="183">
        <f t="shared" si="49"/>
        <v>0</v>
      </c>
      <c r="AH88" s="183">
        <f t="shared" si="54"/>
        <v>0</v>
      </c>
      <c r="AI88" s="53" t="str">
        <f t="shared" si="50"/>
        <v xml:space="preserve"> </v>
      </c>
      <c r="AJ88" s="53" t="str">
        <f>IF(AI88="","",IFERROR(IF(VLOOKUP(AI88,Programa!$AF$3:$AG$18,2,0)="","",VLOOKUP(AI88,Programa!$AF$3:$AG$18,2,0)),""))</f>
        <v/>
      </c>
      <c r="AK88" s="53" t="str">
        <f t="shared" si="51"/>
        <v xml:space="preserve"> </v>
      </c>
      <c r="AL88" s="53" t="str">
        <f>IF(AK88="","",IFERROR(IF(VLOOKUP(AK88,Programa!$AF$19:$AG$34,2,0)="","",VLOOKUP(AK88,Programa!$AF$19:$AG$34,2,0)),""))</f>
        <v/>
      </c>
      <c r="AM88" s="53" t="str">
        <f t="shared" si="52"/>
        <v xml:space="preserve"> </v>
      </c>
      <c r="AN88" s="53" t="str">
        <f>IF(AM88="","",IFERROR(IF(VLOOKUP(AM88,Programa!$AF$35:$AG$50,2,0)="","",VLOOKUP(AM88,Programa!$AF$35:$AG$50,2,0)),""))</f>
        <v/>
      </c>
    </row>
    <row r="89" spans="1:40" ht="15.75" customHeight="1" x14ac:dyDescent="0.4">
      <c r="A89" s="288">
        <f t="shared" si="57"/>
        <v>9</v>
      </c>
      <c r="B89" s="243">
        <f>STUD!H43</f>
        <v>0</v>
      </c>
      <c r="C89" s="244">
        <f>SUM(D90:AB90)</f>
        <v>0</v>
      </c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6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243">
        <f>SUM(D90:AB90)</f>
        <v>0</v>
      </c>
      <c r="AE89" s="201">
        <v>16</v>
      </c>
      <c r="AF89" s="171" t="str">
        <f>IF(ISBLANK(STUD!H44)," ",STUD!H44)</f>
        <v xml:space="preserve"> </v>
      </c>
      <c r="AG89" s="183">
        <f t="shared" si="49"/>
        <v>0</v>
      </c>
      <c r="AH89" s="183">
        <f t="shared" si="54"/>
        <v>0</v>
      </c>
      <c r="AI89" s="53" t="str">
        <f t="shared" si="50"/>
        <v xml:space="preserve"> </v>
      </c>
      <c r="AJ89" s="53" t="str">
        <f>IF(AI89="","",IFERROR(IF(VLOOKUP(AI89,Programa!$AF$3:$AG$18,2,0)="","",VLOOKUP(AI89,Programa!$AF$3:$AG$18,2,0)),""))</f>
        <v/>
      </c>
      <c r="AK89" s="53" t="str">
        <f t="shared" si="51"/>
        <v xml:space="preserve"> </v>
      </c>
      <c r="AL89" s="53" t="str">
        <f>IF(AK89="","",IFERROR(IF(VLOOKUP(AK89,Programa!$AF$19:$AG$34,2,0)="","",VLOOKUP(AK89,Programa!$AF$19:$AG$34,2,0)),""))</f>
        <v/>
      </c>
      <c r="AM89" s="53" t="str">
        <f t="shared" si="52"/>
        <v xml:space="preserve"> </v>
      </c>
      <c r="AN89" s="53" t="str">
        <f>IF(AM89="","",IFERROR(IF(VLOOKUP(AM89,Programa!$AF$35:$AG$50,2,0)="","",VLOOKUP(AM89,Programa!$AF$35:$AG$50,2,0)),""))</f>
        <v/>
      </c>
    </row>
    <row r="90" spans="1:40" ht="15.75" customHeight="1" x14ac:dyDescent="0.45">
      <c r="A90" s="242"/>
      <c r="B90" s="243"/>
      <c r="C90" s="245"/>
      <c r="D90" s="138">
        <f t="shared" ref="D90:AB90" si="62">IF(IFERROR(IF(VLOOKUP(D89,D$151:D$155,1,0)&gt;=1,D$150,0),D89)=D$132,D$136,IF(IFERROR(IF(VLOOKUP(D89,D$151:D$155,1,0)&gt;=1,D$150,0),D89)=D$139,D$142,IF(IFERROR(IF(VLOOKUP(D89,D$151:D$155,1,0)&gt;=1,D$150,0),D89)=D$145,D$147,0)))</f>
        <v>0</v>
      </c>
      <c r="E90" s="138">
        <f t="shared" si="62"/>
        <v>0</v>
      </c>
      <c r="F90" s="138">
        <f t="shared" si="62"/>
        <v>0</v>
      </c>
      <c r="G90" s="138">
        <f t="shared" si="62"/>
        <v>0</v>
      </c>
      <c r="H90" s="138">
        <f t="shared" si="62"/>
        <v>0</v>
      </c>
      <c r="I90" s="138">
        <f t="shared" si="62"/>
        <v>0</v>
      </c>
      <c r="J90" s="138">
        <f t="shared" si="62"/>
        <v>0</v>
      </c>
      <c r="K90" s="138">
        <f t="shared" si="62"/>
        <v>0</v>
      </c>
      <c r="L90" s="138">
        <f t="shared" si="62"/>
        <v>0</v>
      </c>
      <c r="M90" s="138">
        <f t="shared" si="62"/>
        <v>0</v>
      </c>
      <c r="N90" s="138">
        <f t="shared" si="62"/>
        <v>0</v>
      </c>
      <c r="O90" s="138">
        <f t="shared" si="62"/>
        <v>0</v>
      </c>
      <c r="P90" s="138">
        <f t="shared" si="62"/>
        <v>0</v>
      </c>
      <c r="Q90" s="138">
        <f t="shared" si="62"/>
        <v>0</v>
      </c>
      <c r="R90" s="138">
        <f t="shared" si="62"/>
        <v>0</v>
      </c>
      <c r="S90" s="138">
        <f t="shared" si="62"/>
        <v>0</v>
      </c>
      <c r="T90" s="138">
        <f t="shared" si="62"/>
        <v>0</v>
      </c>
      <c r="U90" s="138">
        <f t="shared" si="62"/>
        <v>0</v>
      </c>
      <c r="V90" s="138">
        <f t="shared" si="62"/>
        <v>0</v>
      </c>
      <c r="W90" s="138">
        <f t="shared" si="62"/>
        <v>0</v>
      </c>
      <c r="X90" s="138">
        <f t="shared" si="62"/>
        <v>0</v>
      </c>
      <c r="Y90" s="138">
        <f t="shared" si="62"/>
        <v>0</v>
      </c>
      <c r="Z90" s="138">
        <f t="shared" si="62"/>
        <v>0</v>
      </c>
      <c r="AA90" s="138">
        <f t="shared" si="62"/>
        <v>0</v>
      </c>
      <c r="AB90" s="138">
        <f t="shared" si="62"/>
        <v>0</v>
      </c>
      <c r="AC90" s="243"/>
      <c r="AE90" s="93">
        <v>17</v>
      </c>
      <c r="AF90" t="str">
        <f>IF(ISBLANK(STUD!H51)," ",STUD!H51)</f>
        <v xml:space="preserve"> </v>
      </c>
      <c r="AG90" s="45">
        <f t="shared" si="49"/>
        <v>0</v>
      </c>
      <c r="AH90" s="45">
        <f t="shared" si="54"/>
        <v>0</v>
      </c>
      <c r="AI90" s="53" t="str">
        <f t="shared" si="50"/>
        <v xml:space="preserve"> </v>
      </c>
      <c r="AJ90" s="53" t="str">
        <f>IF(AI90="","",IFERROR(IF(VLOOKUP(AI90,Programa!$AF$3:$AG$18,2,0)="","",VLOOKUP(AI90,Programa!$AF$3:$AG$18,2,0)),""))</f>
        <v/>
      </c>
      <c r="AK90" s="53" t="str">
        <f t="shared" si="51"/>
        <v xml:space="preserve"> </v>
      </c>
      <c r="AL90" s="53" t="str">
        <f>IF(AK90="","",IFERROR(IF(VLOOKUP(AK90,Programa!$AF$19:$AG$34,2,0)="","",VLOOKUP(AK90,Programa!$AF$19:$AG$34,2,0)),""))</f>
        <v/>
      </c>
      <c r="AM90" s="53" t="str">
        <f t="shared" si="52"/>
        <v xml:space="preserve"> </v>
      </c>
      <c r="AN90" s="53" t="str">
        <f>IF(AM90="","",IFERROR(IF(VLOOKUP(AM90,Programa!$AF$35:$AG$50,2,0)="","",VLOOKUP(AM90,Programa!$AF$35:$AG$50,2,0)),""))</f>
        <v/>
      </c>
    </row>
    <row r="91" spans="1:40" ht="15.75" customHeight="1" x14ac:dyDescent="0.45">
      <c r="A91" s="288">
        <f t="shared" si="57"/>
        <v>10</v>
      </c>
      <c r="B91" s="243">
        <f>STUD!H44</f>
        <v>0</v>
      </c>
      <c r="C91" s="244">
        <f>SUM(D92:AB92)</f>
        <v>0</v>
      </c>
      <c r="D91" s="135"/>
      <c r="E91" s="135"/>
      <c r="F91" s="135"/>
      <c r="G91" s="135"/>
      <c r="H91" s="135"/>
      <c r="I91" s="135"/>
      <c r="J91" s="135"/>
      <c r="K91" s="135"/>
      <c r="L91" s="135"/>
      <c r="M91" s="135"/>
      <c r="N91" s="135"/>
      <c r="O91" s="136"/>
      <c r="P91" s="135"/>
      <c r="Q91" s="135"/>
      <c r="R91" s="135"/>
      <c r="S91" s="135"/>
      <c r="T91" s="135"/>
      <c r="U91" s="135"/>
      <c r="V91" s="135"/>
      <c r="W91" s="135"/>
      <c r="X91" s="135"/>
      <c r="Y91" s="135"/>
      <c r="Z91" s="135"/>
      <c r="AA91" s="135"/>
      <c r="AB91" s="135"/>
      <c r="AC91" s="243">
        <f>SUM(D92:AB92)</f>
        <v>0</v>
      </c>
      <c r="AE91" s="94">
        <v>18</v>
      </c>
      <c r="AF91" t="str">
        <f>IF(ISBLANK(STUD!H52)," ",STUD!H52)</f>
        <v xml:space="preserve"> </v>
      </c>
      <c r="AG91" s="45">
        <f t="shared" si="49"/>
        <v>0</v>
      </c>
      <c r="AH91" s="45">
        <f t="shared" si="54"/>
        <v>0</v>
      </c>
      <c r="AI91" s="53" t="str">
        <f t="shared" si="50"/>
        <v xml:space="preserve"> </v>
      </c>
      <c r="AJ91" s="53" t="str">
        <f>IF(AI91="","",IFERROR(IF(VLOOKUP(AI91,Programa!$AF$3:$AG$18,2,0)="","",VLOOKUP(AI91,Programa!$AF$3:$AG$18,2,0)),""))</f>
        <v/>
      </c>
      <c r="AK91" s="53" t="str">
        <f t="shared" si="51"/>
        <v xml:space="preserve"> </v>
      </c>
      <c r="AL91" s="53" t="str">
        <f>IF(AK91="","",IFERROR(IF(VLOOKUP(AK91,Programa!$AF$19:$AG$34,2,0)="","",VLOOKUP(AK91,Programa!$AF$19:$AG$34,2,0)),""))</f>
        <v/>
      </c>
      <c r="AM91" s="53" t="str">
        <f t="shared" si="52"/>
        <v xml:space="preserve"> </v>
      </c>
      <c r="AN91" s="53" t="str">
        <f>IF(AM91="","",IFERROR(IF(VLOOKUP(AM91,Programa!$AF$35:$AG$50,2,0)="","",VLOOKUP(AM91,Programa!$AF$35:$AG$50,2,0)),""))</f>
        <v/>
      </c>
    </row>
    <row r="92" spans="1:40" ht="15.75" customHeight="1" x14ac:dyDescent="0.45">
      <c r="A92" s="242"/>
      <c r="B92" s="243"/>
      <c r="C92" s="245"/>
      <c r="D92" s="138">
        <f t="shared" ref="D92:AB92" si="63">IF(IFERROR(IF(VLOOKUP(D91,D$151:D$155,1,0)&gt;=1,D$150,0),D91)=D$132,D$136,IF(IFERROR(IF(VLOOKUP(D91,D$151:D$155,1,0)&gt;=1,D$150,0),D91)=D$139,D$142,IF(IFERROR(IF(VLOOKUP(D91,D$151:D$155,1,0)&gt;=1,D$150,0),D91)=D$145,D$147,0)))</f>
        <v>0</v>
      </c>
      <c r="E92" s="138">
        <f t="shared" si="63"/>
        <v>0</v>
      </c>
      <c r="F92" s="138">
        <f t="shared" si="63"/>
        <v>0</v>
      </c>
      <c r="G92" s="138">
        <f t="shared" si="63"/>
        <v>0</v>
      </c>
      <c r="H92" s="138">
        <f t="shared" si="63"/>
        <v>0</v>
      </c>
      <c r="I92" s="138">
        <f t="shared" si="63"/>
        <v>0</v>
      </c>
      <c r="J92" s="138">
        <f t="shared" si="63"/>
        <v>0</v>
      </c>
      <c r="K92" s="138">
        <f t="shared" si="63"/>
        <v>0</v>
      </c>
      <c r="L92" s="138">
        <f t="shared" si="63"/>
        <v>0</v>
      </c>
      <c r="M92" s="138">
        <f t="shared" si="63"/>
        <v>0</v>
      </c>
      <c r="N92" s="138">
        <f t="shared" si="63"/>
        <v>0</v>
      </c>
      <c r="O92" s="138">
        <f t="shared" si="63"/>
        <v>0</v>
      </c>
      <c r="P92" s="138">
        <f t="shared" si="63"/>
        <v>0</v>
      </c>
      <c r="Q92" s="138">
        <f t="shared" si="63"/>
        <v>0</v>
      </c>
      <c r="R92" s="138">
        <f t="shared" si="63"/>
        <v>0</v>
      </c>
      <c r="S92" s="138">
        <f t="shared" si="63"/>
        <v>0</v>
      </c>
      <c r="T92" s="138">
        <f t="shared" si="63"/>
        <v>0</v>
      </c>
      <c r="U92" s="138">
        <f t="shared" si="63"/>
        <v>0</v>
      </c>
      <c r="V92" s="138">
        <f t="shared" si="63"/>
        <v>0</v>
      </c>
      <c r="W92" s="138">
        <f t="shared" si="63"/>
        <v>0</v>
      </c>
      <c r="X92" s="138">
        <f t="shared" si="63"/>
        <v>0</v>
      </c>
      <c r="Y92" s="138">
        <f t="shared" si="63"/>
        <v>0</v>
      </c>
      <c r="Z92" s="138">
        <f t="shared" si="63"/>
        <v>0</v>
      </c>
      <c r="AA92" s="138">
        <f t="shared" si="63"/>
        <v>0</v>
      </c>
      <c r="AB92" s="138">
        <f t="shared" si="63"/>
        <v>0</v>
      </c>
      <c r="AC92" s="243"/>
      <c r="AE92" s="95">
        <v>19</v>
      </c>
      <c r="AF92" t="str">
        <f>IF(ISBLANK(STUD!H53)," ",STUD!H53)</f>
        <v xml:space="preserve"> </v>
      </c>
      <c r="AG92" s="45">
        <f t="shared" si="49"/>
        <v>0</v>
      </c>
      <c r="AH92" s="45">
        <f t="shared" si="54"/>
        <v>0</v>
      </c>
      <c r="AI92" s="53" t="str">
        <f t="shared" si="50"/>
        <v xml:space="preserve"> </v>
      </c>
      <c r="AJ92" s="53" t="str">
        <f>IF(AI92="","",IFERROR(IF(VLOOKUP(AI92,Programa!$AF$3:$AG$18,2,0)="","",VLOOKUP(AI92,Programa!$AF$3:$AG$18,2,0)),""))</f>
        <v/>
      </c>
      <c r="AK92" s="53" t="str">
        <f t="shared" si="51"/>
        <v xml:space="preserve"> </v>
      </c>
      <c r="AL92" s="53" t="str">
        <f>IF(AK92="","",IFERROR(IF(VLOOKUP(AK92,Programa!$AF$19:$AG$34,2,0)="","",VLOOKUP(AK92,Programa!$AF$19:$AG$34,2,0)),""))</f>
        <v/>
      </c>
      <c r="AM92" s="53" t="str">
        <f t="shared" si="52"/>
        <v xml:space="preserve"> </v>
      </c>
      <c r="AN92" s="53" t="str">
        <f>IF(AM92="","",IFERROR(IF(VLOOKUP(AM92,Programa!$AF$35:$AG$50,2,0)="","",VLOOKUP(AM92,Programa!$AF$35:$AG$50,2,0)),""))</f>
        <v/>
      </c>
    </row>
    <row r="93" spans="1:40" ht="15.75" customHeight="1" x14ac:dyDescent="0.45">
      <c r="A93" s="288">
        <f t="shared" si="57"/>
        <v>11</v>
      </c>
      <c r="B93" s="243">
        <f>STUD!H45</f>
        <v>0</v>
      </c>
      <c r="C93" s="244">
        <f>SUM(D94:AB94)</f>
        <v>0</v>
      </c>
      <c r="D93" s="135"/>
      <c r="E93" s="135"/>
      <c r="F93" s="135"/>
      <c r="G93" s="135"/>
      <c r="H93" s="135"/>
      <c r="I93" s="135"/>
      <c r="J93" s="135"/>
      <c r="K93" s="135"/>
      <c r="L93" s="135"/>
      <c r="M93" s="135"/>
      <c r="N93" s="135"/>
      <c r="O93" s="136"/>
      <c r="P93" s="135"/>
      <c r="Q93" s="135"/>
      <c r="R93" s="135"/>
      <c r="S93" s="135"/>
      <c r="T93" s="135"/>
      <c r="U93" s="135"/>
      <c r="V93" s="135"/>
      <c r="W93" s="135"/>
      <c r="X93" s="135"/>
      <c r="Y93" s="135"/>
      <c r="Z93" s="135"/>
      <c r="AA93" s="135"/>
      <c r="AB93" s="135"/>
      <c r="AC93" s="243">
        <f>SUM(D94:AB94)</f>
        <v>0</v>
      </c>
      <c r="AE93" s="96">
        <v>20</v>
      </c>
      <c r="AF93" t="str">
        <f>IF(ISBLANK(STUD!H54)," ",STUD!H54)</f>
        <v xml:space="preserve"> </v>
      </c>
      <c r="AG93" s="45">
        <f t="shared" si="49"/>
        <v>0</v>
      </c>
      <c r="AH93" s="45">
        <f t="shared" si="54"/>
        <v>0</v>
      </c>
      <c r="AI93" s="53" t="str">
        <f t="shared" si="50"/>
        <v xml:space="preserve"> </v>
      </c>
      <c r="AJ93" s="53" t="str">
        <f>IF(AI93="","",IFERROR(IF(VLOOKUP(AI93,Programa!$AF$3:$AG$18,2,0)="","",VLOOKUP(AI93,Programa!$AF$3:$AG$18,2,0)),""))</f>
        <v/>
      </c>
      <c r="AK93" s="53" t="str">
        <f t="shared" si="51"/>
        <v xml:space="preserve"> </v>
      </c>
      <c r="AL93" s="53" t="str">
        <f>IF(AK93="","",IFERROR(IF(VLOOKUP(AK93,Programa!$AF$19:$AG$34,2,0)="","",VLOOKUP(AK93,Programa!$AF$19:$AG$34,2,0)),""))</f>
        <v/>
      </c>
      <c r="AM93" s="53" t="str">
        <f t="shared" si="52"/>
        <v xml:space="preserve"> </v>
      </c>
      <c r="AN93" s="53" t="str">
        <f>IF(AM93="","",IFERROR(IF(VLOOKUP(AM93,Programa!$AF$35:$AG$50,2,0)="","",VLOOKUP(AM93,Programa!$AF$35:$AG$50,2,0)),""))</f>
        <v/>
      </c>
    </row>
    <row r="94" spans="1:40" ht="15.75" customHeight="1" x14ac:dyDescent="0.45">
      <c r="A94" s="242"/>
      <c r="B94" s="243"/>
      <c r="C94" s="245"/>
      <c r="D94" s="138">
        <f t="shared" ref="D94:AB94" si="64">IF(IFERROR(IF(VLOOKUP(D93,D$151:D$155,1,0)&gt;=1,D$150,0),D93)=D$132,D$136,IF(IFERROR(IF(VLOOKUP(D93,D$151:D$155,1,0)&gt;=1,D$150,0),D93)=D$139,D$142,IF(IFERROR(IF(VLOOKUP(D93,D$151:D$155,1,0)&gt;=1,D$150,0),D93)=D$145,D$147,0)))</f>
        <v>0</v>
      </c>
      <c r="E94" s="138">
        <f t="shared" si="64"/>
        <v>0</v>
      </c>
      <c r="F94" s="138">
        <f t="shared" si="64"/>
        <v>0</v>
      </c>
      <c r="G94" s="138">
        <f t="shared" si="64"/>
        <v>0</v>
      </c>
      <c r="H94" s="138">
        <f t="shared" si="64"/>
        <v>0</v>
      </c>
      <c r="I94" s="138">
        <f t="shared" si="64"/>
        <v>0</v>
      </c>
      <c r="J94" s="138">
        <f t="shared" si="64"/>
        <v>0</v>
      </c>
      <c r="K94" s="138">
        <f t="shared" si="64"/>
        <v>0</v>
      </c>
      <c r="L94" s="138">
        <f t="shared" si="64"/>
        <v>0</v>
      </c>
      <c r="M94" s="138">
        <f t="shared" si="64"/>
        <v>0</v>
      </c>
      <c r="N94" s="138">
        <f t="shared" si="64"/>
        <v>0</v>
      </c>
      <c r="O94" s="138">
        <f t="shared" si="64"/>
        <v>0</v>
      </c>
      <c r="P94" s="138">
        <f t="shared" si="64"/>
        <v>0</v>
      </c>
      <c r="Q94" s="138">
        <f t="shared" si="64"/>
        <v>0</v>
      </c>
      <c r="R94" s="138">
        <f t="shared" si="64"/>
        <v>0</v>
      </c>
      <c r="S94" s="138">
        <f t="shared" si="64"/>
        <v>0</v>
      </c>
      <c r="T94" s="138">
        <f t="shared" si="64"/>
        <v>0</v>
      </c>
      <c r="U94" s="138">
        <f t="shared" si="64"/>
        <v>0</v>
      </c>
      <c r="V94" s="138">
        <f t="shared" si="64"/>
        <v>0</v>
      </c>
      <c r="W94" s="138">
        <f t="shared" si="64"/>
        <v>0</v>
      </c>
      <c r="X94" s="138">
        <f t="shared" si="64"/>
        <v>0</v>
      </c>
      <c r="Y94" s="138">
        <f t="shared" si="64"/>
        <v>0</v>
      </c>
      <c r="Z94" s="138">
        <f t="shared" si="64"/>
        <v>0</v>
      </c>
      <c r="AA94" s="138">
        <f t="shared" si="64"/>
        <v>0</v>
      </c>
      <c r="AB94" s="138">
        <f t="shared" si="64"/>
        <v>0</v>
      </c>
      <c r="AC94" s="243"/>
      <c r="AE94" s="97">
        <v>21</v>
      </c>
      <c r="AF94" t="str">
        <f>IF(ISBLANK(STUD!H55)," ",STUD!H55)</f>
        <v xml:space="preserve"> </v>
      </c>
      <c r="AG94" s="45">
        <f t="shared" si="49"/>
        <v>0</v>
      </c>
      <c r="AH94" s="45">
        <f t="shared" si="54"/>
        <v>0</v>
      </c>
      <c r="AI94" s="53" t="str">
        <f t="shared" si="50"/>
        <v xml:space="preserve"> </v>
      </c>
      <c r="AJ94" s="53" t="str">
        <f>IF(AI94="","",IFERROR(IF(VLOOKUP(AI94,Programa!$AF$3:$AG$18,2,0)="","",VLOOKUP(AI94,Programa!$AF$3:$AG$18,2,0)),""))</f>
        <v/>
      </c>
      <c r="AK94" s="53" t="str">
        <f t="shared" si="51"/>
        <v xml:space="preserve"> </v>
      </c>
      <c r="AL94" s="53" t="str">
        <f>IF(AK94="","",IFERROR(IF(VLOOKUP(AK94,Programa!$AF$19:$AG$34,2,0)="","",VLOOKUP(AK94,Programa!$AF$19:$AG$34,2,0)),""))</f>
        <v/>
      </c>
      <c r="AM94" s="53" t="str">
        <f t="shared" si="52"/>
        <v xml:space="preserve"> </v>
      </c>
      <c r="AN94" s="53" t="str">
        <f>IF(AM94="","",IFERROR(IF(VLOOKUP(AM94,Programa!$AF$35:$AG$50,2,0)="","",VLOOKUP(AM94,Programa!$AF$35:$AG$50,2,0)),""))</f>
        <v/>
      </c>
    </row>
    <row r="95" spans="1:40" ht="15.75" customHeight="1" x14ac:dyDescent="0.45">
      <c r="A95" s="288">
        <f t="shared" si="57"/>
        <v>12</v>
      </c>
      <c r="B95" s="243">
        <f>STUD!H46</f>
        <v>0</v>
      </c>
      <c r="C95" s="244">
        <f>SUM(D96:AB96)</f>
        <v>0</v>
      </c>
      <c r="D95" s="135"/>
      <c r="E95" s="135"/>
      <c r="F95" s="135"/>
      <c r="G95" s="135"/>
      <c r="H95" s="135"/>
      <c r="I95" s="135"/>
      <c r="J95" s="135"/>
      <c r="K95" s="135"/>
      <c r="L95" s="135"/>
      <c r="M95" s="135"/>
      <c r="N95" s="135"/>
      <c r="O95" s="136"/>
      <c r="P95" s="135"/>
      <c r="Q95" s="135"/>
      <c r="R95" s="135"/>
      <c r="S95" s="135"/>
      <c r="T95" s="135"/>
      <c r="U95" s="135"/>
      <c r="V95" s="135"/>
      <c r="W95" s="135"/>
      <c r="X95" s="135"/>
      <c r="Y95" s="135"/>
      <c r="Z95" s="135"/>
      <c r="AA95" s="135"/>
      <c r="AB95" s="135"/>
      <c r="AC95" s="243">
        <f>SUM(D96:AB96)</f>
        <v>0</v>
      </c>
      <c r="AE95" s="98">
        <v>22</v>
      </c>
      <c r="AF95" t="str">
        <f>IF(ISBLANK(STUD!H56)," ",STUD!H56)</f>
        <v xml:space="preserve"> </v>
      </c>
      <c r="AG95" s="45">
        <f t="shared" si="49"/>
        <v>0</v>
      </c>
      <c r="AH95" s="45">
        <f t="shared" si="54"/>
        <v>0</v>
      </c>
      <c r="AI95" s="53" t="str">
        <f t="shared" si="50"/>
        <v xml:space="preserve"> </v>
      </c>
      <c r="AJ95" s="53" t="str">
        <f>IF(AI95="","",IFERROR(IF(VLOOKUP(AI95,Programa!$AF$3:$AG$18,2,0)="","",VLOOKUP(AI95,Programa!$AF$3:$AG$18,2,0)),""))</f>
        <v/>
      </c>
      <c r="AK95" s="53" t="str">
        <f t="shared" si="51"/>
        <v xml:space="preserve"> </v>
      </c>
      <c r="AL95" s="53" t="str">
        <f>IF(AK95="","",IFERROR(IF(VLOOKUP(AK95,Programa!$AF$19:$AG$34,2,0)="","",VLOOKUP(AK95,Programa!$AF$19:$AG$34,2,0)),""))</f>
        <v/>
      </c>
      <c r="AM95" s="53" t="str">
        <f t="shared" si="52"/>
        <v xml:space="preserve"> </v>
      </c>
      <c r="AN95" s="53" t="str">
        <f>IF(AM95="","",IFERROR(IF(VLOOKUP(AM95,Programa!$AF$35:$AG$50,2,0)="","",VLOOKUP(AM95,Programa!$AF$35:$AG$50,2,0)),""))</f>
        <v/>
      </c>
    </row>
    <row r="96" spans="1:40" ht="15.75" customHeight="1" x14ac:dyDescent="0.45">
      <c r="A96" s="242"/>
      <c r="B96" s="243"/>
      <c r="C96" s="245"/>
      <c r="D96" s="138">
        <f t="shared" ref="D96:AB96" si="65">IF(IFERROR(IF(VLOOKUP(D95,D$151:D$155,1,0)&gt;=1,D$150,0),D95)=D$132,D$136,IF(IFERROR(IF(VLOOKUP(D95,D$151:D$155,1,0)&gt;=1,D$150,0),D95)=D$139,D$142,IF(IFERROR(IF(VLOOKUP(D95,D$151:D$155,1,0)&gt;=1,D$150,0),D95)=D$145,D$147,0)))</f>
        <v>0</v>
      </c>
      <c r="E96" s="138">
        <f t="shared" si="65"/>
        <v>0</v>
      </c>
      <c r="F96" s="138">
        <f t="shared" si="65"/>
        <v>0</v>
      </c>
      <c r="G96" s="138">
        <f t="shared" si="65"/>
        <v>0</v>
      </c>
      <c r="H96" s="138">
        <f t="shared" si="65"/>
        <v>0</v>
      </c>
      <c r="I96" s="138">
        <f t="shared" si="65"/>
        <v>0</v>
      </c>
      <c r="J96" s="138">
        <f t="shared" si="65"/>
        <v>0</v>
      </c>
      <c r="K96" s="138">
        <f t="shared" si="65"/>
        <v>0</v>
      </c>
      <c r="L96" s="138">
        <f t="shared" si="65"/>
        <v>0</v>
      </c>
      <c r="M96" s="138">
        <f t="shared" si="65"/>
        <v>0</v>
      </c>
      <c r="N96" s="138">
        <f t="shared" si="65"/>
        <v>0</v>
      </c>
      <c r="O96" s="138">
        <f t="shared" si="65"/>
        <v>0</v>
      </c>
      <c r="P96" s="138">
        <f t="shared" si="65"/>
        <v>0</v>
      </c>
      <c r="Q96" s="138">
        <f t="shared" si="65"/>
        <v>0</v>
      </c>
      <c r="R96" s="138">
        <f t="shared" si="65"/>
        <v>0</v>
      </c>
      <c r="S96" s="138">
        <f t="shared" si="65"/>
        <v>0</v>
      </c>
      <c r="T96" s="138">
        <f t="shared" si="65"/>
        <v>0</v>
      </c>
      <c r="U96" s="138">
        <f t="shared" si="65"/>
        <v>0</v>
      </c>
      <c r="V96" s="138">
        <f t="shared" si="65"/>
        <v>0</v>
      </c>
      <c r="W96" s="138">
        <f t="shared" si="65"/>
        <v>0</v>
      </c>
      <c r="X96" s="138">
        <f t="shared" si="65"/>
        <v>0</v>
      </c>
      <c r="Y96" s="138">
        <f t="shared" si="65"/>
        <v>0</v>
      </c>
      <c r="Z96" s="138">
        <f t="shared" si="65"/>
        <v>0</v>
      </c>
      <c r="AA96" s="138">
        <f t="shared" si="65"/>
        <v>0</v>
      </c>
      <c r="AB96" s="138">
        <f t="shared" si="65"/>
        <v>0</v>
      </c>
      <c r="AC96" s="243"/>
      <c r="AE96" s="99">
        <v>23</v>
      </c>
      <c r="AF96" t="str">
        <f>IF(ISBLANK(STUD!H57)," ",STUD!H57)</f>
        <v xml:space="preserve"> </v>
      </c>
      <c r="AG96" s="45">
        <f t="shared" si="49"/>
        <v>0</v>
      </c>
      <c r="AH96" s="45">
        <f t="shared" si="54"/>
        <v>0</v>
      </c>
      <c r="AI96" s="53" t="str">
        <f t="shared" si="50"/>
        <v xml:space="preserve"> </v>
      </c>
      <c r="AJ96" s="53" t="str">
        <f>IF(AI96="","",IFERROR(IF(VLOOKUP(AI96,Programa!$AF$3:$AG$18,2,0)="","",VLOOKUP(AI96,Programa!$AF$3:$AG$18,2,0)),""))</f>
        <v/>
      </c>
      <c r="AK96" s="53" t="str">
        <f t="shared" si="51"/>
        <v xml:space="preserve"> </v>
      </c>
      <c r="AL96" s="53" t="str">
        <f>IF(AK96="","",IFERROR(IF(VLOOKUP(AK96,Programa!$AF$19:$AG$34,2,0)="","",VLOOKUP(AK96,Programa!$AF$19:$AG$34,2,0)),""))</f>
        <v/>
      </c>
      <c r="AM96" s="53" t="str">
        <f t="shared" si="52"/>
        <v xml:space="preserve"> </v>
      </c>
      <c r="AN96" s="53" t="str">
        <f>IF(AM96="","",IFERROR(IF(VLOOKUP(AM96,Programa!$AF$35:$AG$50,2,0)="","",VLOOKUP(AM96,Programa!$AF$35:$AG$50,2,0)),""))</f>
        <v/>
      </c>
    </row>
    <row r="97" spans="1:40" ht="15.75" customHeight="1" x14ac:dyDescent="0.45">
      <c r="A97" s="288">
        <f t="shared" si="57"/>
        <v>13</v>
      </c>
      <c r="B97" s="243">
        <f>STUD!H47</f>
        <v>0</v>
      </c>
      <c r="C97" s="244">
        <f>SUM(D98:AB98)</f>
        <v>0</v>
      </c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6"/>
      <c r="P97" s="135"/>
      <c r="Q97" s="135"/>
      <c r="R97" s="135"/>
      <c r="S97" s="135"/>
      <c r="T97" s="135"/>
      <c r="U97" s="135"/>
      <c r="V97" s="135"/>
      <c r="W97" s="135"/>
      <c r="X97" s="135"/>
      <c r="Y97" s="135"/>
      <c r="Z97" s="135"/>
      <c r="AA97" s="135"/>
      <c r="AB97" s="135"/>
      <c r="AC97" s="243">
        <f>SUM(D98:AB98)</f>
        <v>0</v>
      </c>
      <c r="AE97" s="100">
        <v>24</v>
      </c>
      <c r="AF97" t="str">
        <f>IF(ISBLANK(STUD!H58)," ",STUD!H58)</f>
        <v xml:space="preserve"> </v>
      </c>
      <c r="AG97" s="45">
        <f t="shared" si="49"/>
        <v>0</v>
      </c>
      <c r="AH97" s="45">
        <f t="shared" si="54"/>
        <v>0</v>
      </c>
      <c r="AI97" s="53" t="str">
        <f t="shared" si="50"/>
        <v xml:space="preserve"> </v>
      </c>
      <c r="AJ97" s="53" t="str">
        <f>IF(AI97="","",IFERROR(IF(VLOOKUP(AI97,Programa!$AF$3:$AG$18,2,0)="","",VLOOKUP(AI97,Programa!$AF$3:$AG$18,2,0)),""))</f>
        <v/>
      </c>
      <c r="AK97" s="53" t="str">
        <f t="shared" si="51"/>
        <v xml:space="preserve"> </v>
      </c>
      <c r="AL97" s="53" t="str">
        <f>IF(AK97="","",IFERROR(IF(VLOOKUP(AK97,Programa!$AF$19:$AG$34,2,0)="","",VLOOKUP(AK97,Programa!$AF$19:$AG$34,2,0)),""))</f>
        <v/>
      </c>
      <c r="AM97" s="53" t="str">
        <f t="shared" si="52"/>
        <v xml:space="preserve"> </v>
      </c>
      <c r="AN97" s="53" t="str">
        <f>IF(AM97="","",IFERROR(IF(VLOOKUP(AM97,Programa!$AF$35:$AG$50,2,0)="","",VLOOKUP(AM97,Programa!$AF$35:$AG$50,2,0)),""))</f>
        <v/>
      </c>
    </row>
    <row r="98" spans="1:40" ht="15.75" customHeight="1" x14ac:dyDescent="0.45">
      <c r="A98" s="242"/>
      <c r="B98" s="243"/>
      <c r="C98" s="245"/>
      <c r="D98" s="138">
        <f t="shared" ref="D98:AB98" si="66">IF(IFERROR(IF(VLOOKUP(D97,D$151:D$155,1,0)&gt;=1,D$150,0),D97)=D$132,D$136,IF(IFERROR(IF(VLOOKUP(D97,D$151:D$155,1,0)&gt;=1,D$150,0),D97)=D$139,D$142,IF(IFERROR(IF(VLOOKUP(D97,D$151:D$155,1,0)&gt;=1,D$150,0),D97)=D$145,D$147,0)))</f>
        <v>0</v>
      </c>
      <c r="E98" s="138">
        <f t="shared" si="66"/>
        <v>0</v>
      </c>
      <c r="F98" s="138">
        <f t="shared" si="66"/>
        <v>0</v>
      </c>
      <c r="G98" s="138">
        <f t="shared" si="66"/>
        <v>0</v>
      </c>
      <c r="H98" s="138">
        <f t="shared" si="66"/>
        <v>0</v>
      </c>
      <c r="I98" s="138">
        <f t="shared" si="66"/>
        <v>0</v>
      </c>
      <c r="J98" s="138">
        <f t="shared" si="66"/>
        <v>0</v>
      </c>
      <c r="K98" s="138">
        <f t="shared" si="66"/>
        <v>0</v>
      </c>
      <c r="L98" s="138">
        <f t="shared" si="66"/>
        <v>0</v>
      </c>
      <c r="M98" s="138">
        <f t="shared" si="66"/>
        <v>0</v>
      </c>
      <c r="N98" s="138">
        <f t="shared" si="66"/>
        <v>0</v>
      </c>
      <c r="O98" s="138">
        <f t="shared" si="66"/>
        <v>0</v>
      </c>
      <c r="P98" s="138">
        <f t="shared" si="66"/>
        <v>0</v>
      </c>
      <c r="Q98" s="138">
        <f t="shared" si="66"/>
        <v>0</v>
      </c>
      <c r="R98" s="138">
        <f t="shared" si="66"/>
        <v>0</v>
      </c>
      <c r="S98" s="138">
        <f t="shared" si="66"/>
        <v>0</v>
      </c>
      <c r="T98" s="138">
        <f t="shared" si="66"/>
        <v>0</v>
      </c>
      <c r="U98" s="138">
        <f t="shared" si="66"/>
        <v>0</v>
      </c>
      <c r="V98" s="138">
        <f t="shared" si="66"/>
        <v>0</v>
      </c>
      <c r="W98" s="138">
        <f t="shared" si="66"/>
        <v>0</v>
      </c>
      <c r="X98" s="138">
        <f t="shared" si="66"/>
        <v>0</v>
      </c>
      <c r="Y98" s="138">
        <f t="shared" si="66"/>
        <v>0</v>
      </c>
      <c r="Z98" s="138">
        <f t="shared" si="66"/>
        <v>0</v>
      </c>
      <c r="AA98" s="138">
        <f t="shared" si="66"/>
        <v>0</v>
      </c>
      <c r="AB98" s="138">
        <f t="shared" si="66"/>
        <v>0</v>
      </c>
      <c r="AC98" s="243"/>
      <c r="AE98" s="101">
        <v>25</v>
      </c>
      <c r="AF98" t="str">
        <f>IF(ISBLANK(STUD!H59)," ",STUD!H59)</f>
        <v xml:space="preserve"> </v>
      </c>
      <c r="AG98" s="45">
        <f t="shared" si="49"/>
        <v>0</v>
      </c>
      <c r="AH98" s="45">
        <f t="shared" si="54"/>
        <v>0</v>
      </c>
      <c r="AI98" s="53" t="str">
        <f t="shared" si="50"/>
        <v xml:space="preserve"> </v>
      </c>
      <c r="AJ98" s="53" t="str">
        <f>IF(AI98="","",IFERROR(IF(VLOOKUP(AI98,Programa!$AF$3:$AG$18,2,0)="","",VLOOKUP(AI98,Programa!$AF$3:$AG$18,2,0)),""))</f>
        <v/>
      </c>
      <c r="AK98" s="53" t="str">
        <f t="shared" si="51"/>
        <v xml:space="preserve"> </v>
      </c>
      <c r="AL98" s="53" t="str">
        <f>IF(AK98="","",IFERROR(IF(VLOOKUP(AK98,Programa!$AF$19:$AG$34,2,0)="","",VLOOKUP(AK98,Programa!$AF$19:$AG$34,2,0)),""))</f>
        <v/>
      </c>
      <c r="AM98" s="53" t="str">
        <f t="shared" si="52"/>
        <v xml:space="preserve"> </v>
      </c>
      <c r="AN98" s="53" t="str">
        <f>IF(AM98="","",IFERROR(IF(VLOOKUP(AM98,Programa!$AF$35:$AG$50,2,0)="","",VLOOKUP(AM98,Programa!$AF$35:$AG$50,2,0)),""))</f>
        <v/>
      </c>
    </row>
    <row r="99" spans="1:40" ht="15.75" customHeight="1" x14ac:dyDescent="0.45">
      <c r="A99" s="288">
        <f t="shared" si="57"/>
        <v>14</v>
      </c>
      <c r="B99" s="243">
        <f>STUD!H48</f>
        <v>0</v>
      </c>
      <c r="C99" s="244">
        <f>SUM(D100:AB100)</f>
        <v>0</v>
      </c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  <c r="O99" s="136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243">
        <f>SUM(D100:AB100)</f>
        <v>0</v>
      </c>
      <c r="AE99" s="102">
        <v>26</v>
      </c>
      <c r="AF99" t="str">
        <f>IF(ISBLANK(STUD!H60)," ",STUD!H60)</f>
        <v xml:space="preserve"> </v>
      </c>
      <c r="AG99" s="45">
        <f t="shared" si="49"/>
        <v>0</v>
      </c>
      <c r="AH99" s="45">
        <f t="shared" si="54"/>
        <v>0</v>
      </c>
      <c r="AI99" s="53" t="str">
        <f t="shared" si="50"/>
        <v xml:space="preserve"> </v>
      </c>
      <c r="AJ99" s="53" t="str">
        <f>IF(AI99="","",IFERROR(IF(VLOOKUP(AI99,Programa!$AF$3:$AG$18,2,0)="","",VLOOKUP(AI99,Programa!$AF$3:$AG$18,2,0)),""))</f>
        <v/>
      </c>
      <c r="AK99" s="53" t="str">
        <f t="shared" si="51"/>
        <v xml:space="preserve"> </v>
      </c>
      <c r="AL99" s="53" t="str">
        <f>IF(AK99="","",IFERROR(IF(VLOOKUP(AK99,Programa!$AF$19:$AG$34,2,0)="","",VLOOKUP(AK99,Programa!$AF$19:$AG$34,2,0)),""))</f>
        <v/>
      </c>
      <c r="AM99" s="53" t="str">
        <f t="shared" si="52"/>
        <v xml:space="preserve"> </v>
      </c>
      <c r="AN99" s="53" t="str">
        <f>IF(AM99="","",IFERROR(IF(VLOOKUP(AM99,Programa!$AF$35:$AG$50,2,0)="","",VLOOKUP(AM99,Programa!$AF$35:$AG$50,2,0)),""))</f>
        <v/>
      </c>
    </row>
    <row r="100" spans="1:40" ht="15.75" customHeight="1" x14ac:dyDescent="0.45">
      <c r="A100" s="242"/>
      <c r="B100" s="243"/>
      <c r="C100" s="245"/>
      <c r="D100" s="138">
        <f t="shared" ref="D100:AB100" si="67">IF(IFERROR(IF(VLOOKUP(D99,D$151:D$155,1,0)&gt;=1,D$150,0),D99)=D$132,D$136,IF(IFERROR(IF(VLOOKUP(D99,D$151:D$155,1,0)&gt;=1,D$150,0),D99)=D$139,D$142,IF(IFERROR(IF(VLOOKUP(D99,D$151:D$155,1,0)&gt;=1,D$150,0),D99)=D$145,D$147,0)))</f>
        <v>0</v>
      </c>
      <c r="E100" s="138">
        <f t="shared" si="67"/>
        <v>0</v>
      </c>
      <c r="F100" s="138">
        <f t="shared" si="67"/>
        <v>0</v>
      </c>
      <c r="G100" s="138">
        <f t="shared" si="67"/>
        <v>0</v>
      </c>
      <c r="H100" s="138">
        <f t="shared" si="67"/>
        <v>0</v>
      </c>
      <c r="I100" s="138">
        <f t="shared" si="67"/>
        <v>0</v>
      </c>
      <c r="J100" s="138">
        <f t="shared" si="67"/>
        <v>0</v>
      </c>
      <c r="K100" s="138">
        <f t="shared" si="67"/>
        <v>0</v>
      </c>
      <c r="L100" s="138">
        <f t="shared" si="67"/>
        <v>0</v>
      </c>
      <c r="M100" s="138">
        <f t="shared" si="67"/>
        <v>0</v>
      </c>
      <c r="N100" s="138">
        <f t="shared" si="67"/>
        <v>0</v>
      </c>
      <c r="O100" s="138">
        <f t="shared" si="67"/>
        <v>0</v>
      </c>
      <c r="P100" s="138">
        <f t="shared" si="67"/>
        <v>0</v>
      </c>
      <c r="Q100" s="138">
        <f t="shared" si="67"/>
        <v>0</v>
      </c>
      <c r="R100" s="138">
        <f t="shared" si="67"/>
        <v>0</v>
      </c>
      <c r="S100" s="138">
        <f t="shared" si="67"/>
        <v>0</v>
      </c>
      <c r="T100" s="138">
        <f t="shared" si="67"/>
        <v>0</v>
      </c>
      <c r="U100" s="138">
        <f t="shared" si="67"/>
        <v>0</v>
      </c>
      <c r="V100" s="138">
        <f t="shared" si="67"/>
        <v>0</v>
      </c>
      <c r="W100" s="138">
        <f t="shared" si="67"/>
        <v>0</v>
      </c>
      <c r="X100" s="138">
        <f t="shared" si="67"/>
        <v>0</v>
      </c>
      <c r="Y100" s="138">
        <f t="shared" si="67"/>
        <v>0</v>
      </c>
      <c r="Z100" s="138">
        <f t="shared" si="67"/>
        <v>0</v>
      </c>
      <c r="AA100" s="138">
        <f t="shared" si="67"/>
        <v>0</v>
      </c>
      <c r="AB100" s="138">
        <f t="shared" si="67"/>
        <v>0</v>
      </c>
      <c r="AC100" s="243"/>
      <c r="AE100" s="103">
        <v>27</v>
      </c>
      <c r="AF100" t="str">
        <f>IF(ISBLANK(STUD!H61)," ",STUD!H61)</f>
        <v xml:space="preserve"> </v>
      </c>
      <c r="AG100" s="45">
        <f t="shared" si="49"/>
        <v>0</v>
      </c>
      <c r="AH100" s="45">
        <f t="shared" si="54"/>
        <v>0</v>
      </c>
      <c r="AI100" s="53" t="str">
        <f t="shared" si="50"/>
        <v xml:space="preserve"> </v>
      </c>
      <c r="AJ100" s="53" t="str">
        <f>IF(AI100="","",IFERROR(IF(VLOOKUP(AI100,Programa!$AF$3:$AG$18,2,0)="","",VLOOKUP(AI100,Programa!$AF$3:$AG$18,2,0)),""))</f>
        <v/>
      </c>
      <c r="AK100" s="53" t="str">
        <f t="shared" si="51"/>
        <v xml:space="preserve"> </v>
      </c>
      <c r="AL100" s="53" t="str">
        <f>IF(AK100="","",IFERROR(IF(VLOOKUP(AK100,Programa!$AF$19:$AG$34,2,0)="","",VLOOKUP(AK100,Programa!$AF$19:$AG$34,2,0)),""))</f>
        <v/>
      </c>
      <c r="AM100" s="53" t="str">
        <f t="shared" si="52"/>
        <v xml:space="preserve"> </v>
      </c>
      <c r="AN100" s="53" t="str">
        <f>IF(AM100="","",IFERROR(IF(VLOOKUP(AM100,Programa!$AF$35:$AG$50,2,0)="","",VLOOKUP(AM100,Programa!$AF$35:$AG$50,2,0)),""))</f>
        <v/>
      </c>
    </row>
    <row r="101" spans="1:40" ht="15.75" customHeight="1" x14ac:dyDescent="0.45">
      <c r="A101" s="288">
        <f t="shared" si="57"/>
        <v>15</v>
      </c>
      <c r="B101" s="243">
        <f>STUD!H49</f>
        <v>0</v>
      </c>
      <c r="C101" s="244">
        <f>SUM(D102:AB102)</f>
        <v>0</v>
      </c>
      <c r="D101" s="135"/>
      <c r="E101" s="135"/>
      <c r="F101" s="135"/>
      <c r="G101" s="135"/>
      <c r="H101" s="135"/>
      <c r="I101" s="135"/>
      <c r="J101" s="135"/>
      <c r="K101" s="135"/>
      <c r="L101" s="135"/>
      <c r="M101" s="135"/>
      <c r="N101" s="135"/>
      <c r="O101" s="136"/>
      <c r="P101" s="135"/>
      <c r="Q101" s="135"/>
      <c r="R101" s="135"/>
      <c r="S101" s="135"/>
      <c r="T101" s="135"/>
      <c r="U101" s="135"/>
      <c r="V101" s="135"/>
      <c r="W101" s="135"/>
      <c r="X101" s="135"/>
      <c r="Y101" s="135"/>
      <c r="Z101" s="135"/>
      <c r="AA101" s="135"/>
      <c r="AB101" s="135"/>
      <c r="AC101" s="243">
        <f>SUM(D102:AB102)</f>
        <v>0</v>
      </c>
      <c r="AE101" s="104">
        <v>28</v>
      </c>
      <c r="AF101" t="str">
        <f>IF(ISBLANK(STUD!H62)," ",STUD!H62)</f>
        <v xml:space="preserve"> </v>
      </c>
      <c r="AG101" s="45">
        <f t="shared" si="49"/>
        <v>0</v>
      </c>
      <c r="AH101" s="45">
        <f t="shared" si="54"/>
        <v>0</v>
      </c>
      <c r="AI101" s="53" t="str">
        <f t="shared" si="50"/>
        <v xml:space="preserve"> </v>
      </c>
      <c r="AJ101" s="53" t="str">
        <f>IF(AI101="","",IFERROR(IF(VLOOKUP(AI101,Programa!$AF$3:$AG$18,2,0)="","",VLOOKUP(AI101,Programa!$AF$3:$AG$18,2,0)),""))</f>
        <v/>
      </c>
      <c r="AK101" s="53" t="str">
        <f t="shared" si="51"/>
        <v xml:space="preserve"> </v>
      </c>
      <c r="AL101" s="53" t="str">
        <f>IF(AK101="","",IFERROR(IF(VLOOKUP(AK101,Programa!$AF$19:$AG$34,2,0)="","",VLOOKUP(AK101,Programa!$AF$19:$AG$34,2,0)),""))</f>
        <v/>
      </c>
      <c r="AM101" s="53" t="str">
        <f t="shared" si="52"/>
        <v xml:space="preserve"> </v>
      </c>
      <c r="AN101" s="53" t="str">
        <f>IF(AM101="","",IFERROR(IF(VLOOKUP(AM101,Programa!$AF$35:$AG$50,2,0)="","",VLOOKUP(AM101,Programa!$AF$35:$AG$50,2,0)),""))</f>
        <v/>
      </c>
    </row>
    <row r="102" spans="1:40" ht="15.75" customHeight="1" x14ac:dyDescent="0.4">
      <c r="A102" s="242"/>
      <c r="B102" s="243"/>
      <c r="C102" s="245"/>
      <c r="D102" s="138">
        <f t="shared" ref="D102:AB102" si="68">IF(IFERROR(IF(VLOOKUP(D101,D$151:D$155,1,0)&gt;=1,D$150,0),D101)=D$132,D$136,IF(IFERROR(IF(VLOOKUP(D101,D$151:D$155,1,0)&gt;=1,D$150,0),D101)=D$139,D$142,IF(IFERROR(IF(VLOOKUP(D101,D$151:D$155,1,0)&gt;=1,D$150,0),D101)=D$145,D$147,0)))</f>
        <v>0</v>
      </c>
      <c r="E102" s="138">
        <f t="shared" si="68"/>
        <v>0</v>
      </c>
      <c r="F102" s="138">
        <f t="shared" si="68"/>
        <v>0</v>
      </c>
      <c r="G102" s="138">
        <f t="shared" si="68"/>
        <v>0</v>
      </c>
      <c r="H102" s="138">
        <f t="shared" si="68"/>
        <v>0</v>
      </c>
      <c r="I102" s="138">
        <f t="shared" si="68"/>
        <v>0</v>
      </c>
      <c r="J102" s="138">
        <f t="shared" si="68"/>
        <v>0</v>
      </c>
      <c r="K102" s="138">
        <f t="shared" si="68"/>
        <v>0</v>
      </c>
      <c r="L102" s="138">
        <f t="shared" si="68"/>
        <v>0</v>
      </c>
      <c r="M102" s="138">
        <f t="shared" si="68"/>
        <v>0</v>
      </c>
      <c r="N102" s="138">
        <f t="shared" si="68"/>
        <v>0</v>
      </c>
      <c r="O102" s="138">
        <f t="shared" si="68"/>
        <v>0</v>
      </c>
      <c r="P102" s="138">
        <f t="shared" si="68"/>
        <v>0</v>
      </c>
      <c r="Q102" s="138">
        <f t="shared" si="68"/>
        <v>0</v>
      </c>
      <c r="R102" s="138">
        <f t="shared" si="68"/>
        <v>0</v>
      </c>
      <c r="S102" s="138">
        <f t="shared" si="68"/>
        <v>0</v>
      </c>
      <c r="T102" s="138">
        <f t="shared" si="68"/>
        <v>0</v>
      </c>
      <c r="U102" s="138">
        <f t="shared" si="68"/>
        <v>0</v>
      </c>
      <c r="V102" s="138">
        <f t="shared" si="68"/>
        <v>0</v>
      </c>
      <c r="W102" s="138">
        <f t="shared" si="68"/>
        <v>0</v>
      </c>
      <c r="X102" s="138">
        <f t="shared" si="68"/>
        <v>0</v>
      </c>
      <c r="Y102" s="138">
        <f t="shared" si="68"/>
        <v>0</v>
      </c>
      <c r="Z102" s="138">
        <f t="shared" si="68"/>
        <v>0</v>
      </c>
      <c r="AA102" s="138">
        <f t="shared" si="68"/>
        <v>0</v>
      </c>
      <c r="AB102" s="138">
        <f t="shared" si="68"/>
        <v>0</v>
      </c>
      <c r="AC102" s="243"/>
      <c r="AI102" s="54"/>
      <c r="AJ102" s="54"/>
      <c r="AK102" s="54"/>
      <c r="AL102" s="54"/>
      <c r="AM102" s="54"/>
      <c r="AN102" s="54"/>
    </row>
    <row r="103" spans="1:40" ht="15.75" customHeight="1" x14ac:dyDescent="0.45">
      <c r="A103" s="288">
        <f t="shared" si="57"/>
        <v>16</v>
      </c>
      <c r="B103" s="243">
        <f>STUD!H50</f>
        <v>0</v>
      </c>
      <c r="C103" s="244">
        <f>SUM(D104:AB104)</f>
        <v>0</v>
      </c>
      <c r="D103" s="135"/>
      <c r="E103" s="135"/>
      <c r="F103" s="135"/>
      <c r="G103" s="135"/>
      <c r="H103" s="135"/>
      <c r="I103" s="135"/>
      <c r="J103" s="135"/>
      <c r="K103" s="135"/>
      <c r="L103" s="135"/>
      <c r="M103" s="135"/>
      <c r="N103" s="135"/>
      <c r="O103" s="136"/>
      <c r="P103" s="135"/>
      <c r="Q103" s="135"/>
      <c r="R103" s="135"/>
      <c r="S103" s="135"/>
      <c r="T103" s="135"/>
      <c r="U103" s="135"/>
      <c r="V103" s="135"/>
      <c r="W103" s="135"/>
      <c r="X103" s="135"/>
      <c r="Y103" s="135"/>
      <c r="Z103" s="135"/>
      <c r="AA103" s="135"/>
      <c r="AB103" s="135"/>
      <c r="AC103" s="243">
        <f>SUM(D104:AB104)</f>
        <v>0</v>
      </c>
      <c r="AE103" s="55" t="s">
        <v>51</v>
      </c>
      <c r="AF103" s="57">
        <f>COUNTA(STUD!B35:B68)</f>
        <v>34</v>
      </c>
      <c r="AG103" s="55" t="s">
        <v>16</v>
      </c>
      <c r="AH103" s="56">
        <f>(AF103-1)*5000</f>
        <v>165000</v>
      </c>
    </row>
    <row r="104" spans="1:40" ht="15.75" customHeight="1" x14ac:dyDescent="0.4">
      <c r="A104" s="242"/>
      <c r="B104" s="243"/>
      <c r="C104" s="245"/>
      <c r="D104" s="138">
        <f t="shared" ref="D104:AB104" si="69">IF(IFERROR(IF(VLOOKUP(D103,D$151:D$155,1,0)&gt;=1,D$150,0),D103)=D$132,D$136,IF(IFERROR(IF(VLOOKUP(D103,D$151:D$155,1,0)&gt;=1,D$150,0),D103)=D$139,D$142,IF(IFERROR(IF(VLOOKUP(D103,D$151:D$155,1,0)&gt;=1,D$150,0),D103)=D$145,D$147,0)))</f>
        <v>0</v>
      </c>
      <c r="E104" s="138">
        <f t="shared" si="69"/>
        <v>0</v>
      </c>
      <c r="F104" s="138">
        <f t="shared" si="69"/>
        <v>0</v>
      </c>
      <c r="G104" s="138">
        <f t="shared" si="69"/>
        <v>0</v>
      </c>
      <c r="H104" s="138">
        <f t="shared" si="69"/>
        <v>0</v>
      </c>
      <c r="I104" s="138">
        <f t="shared" si="69"/>
        <v>0</v>
      </c>
      <c r="J104" s="138">
        <f t="shared" si="69"/>
        <v>0</v>
      </c>
      <c r="K104" s="138">
        <f t="shared" si="69"/>
        <v>0</v>
      </c>
      <c r="L104" s="138">
        <f t="shared" si="69"/>
        <v>0</v>
      </c>
      <c r="M104" s="138">
        <f t="shared" si="69"/>
        <v>0</v>
      </c>
      <c r="N104" s="138">
        <f t="shared" si="69"/>
        <v>0</v>
      </c>
      <c r="O104" s="138">
        <f t="shared" si="69"/>
        <v>0</v>
      </c>
      <c r="P104" s="138">
        <f t="shared" si="69"/>
        <v>0</v>
      </c>
      <c r="Q104" s="138">
        <f t="shared" si="69"/>
        <v>0</v>
      </c>
      <c r="R104" s="138">
        <f t="shared" si="69"/>
        <v>0</v>
      </c>
      <c r="S104" s="138">
        <f t="shared" si="69"/>
        <v>0</v>
      </c>
      <c r="T104" s="138">
        <f t="shared" si="69"/>
        <v>0</v>
      </c>
      <c r="U104" s="138">
        <f t="shared" si="69"/>
        <v>0</v>
      </c>
      <c r="V104" s="138">
        <f t="shared" si="69"/>
        <v>0</v>
      </c>
      <c r="W104" s="138">
        <f t="shared" si="69"/>
        <v>0</v>
      </c>
      <c r="X104" s="138">
        <f t="shared" si="69"/>
        <v>0</v>
      </c>
      <c r="Y104" s="138">
        <f t="shared" si="69"/>
        <v>0</v>
      </c>
      <c r="Z104" s="138">
        <f t="shared" si="69"/>
        <v>0</v>
      </c>
      <c r="AA104" s="138">
        <f t="shared" si="69"/>
        <v>0</v>
      </c>
      <c r="AB104" s="138">
        <f t="shared" si="69"/>
        <v>0</v>
      </c>
      <c r="AC104" s="243"/>
      <c r="AE104" s="58" t="s">
        <v>38</v>
      </c>
      <c r="AF104" s="58"/>
      <c r="AG104" s="59">
        <f>($AH$103-$AG$106)*80%</f>
        <v>118800</v>
      </c>
      <c r="AH104" s="59"/>
    </row>
    <row r="105" spans="1:40" ht="15.75" hidden="1" customHeight="1" x14ac:dyDescent="0.4">
      <c r="A105" s="293">
        <f t="shared" si="57"/>
        <v>17</v>
      </c>
      <c r="B105" s="243">
        <f>STUD!H51</f>
        <v>0</v>
      </c>
      <c r="C105" s="244">
        <f>SUM(D106:AB106)</f>
        <v>0</v>
      </c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3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243">
        <f>SUM(D106:AB106)</f>
        <v>0</v>
      </c>
      <c r="AE105" s="58" t="s">
        <v>39</v>
      </c>
      <c r="AF105" s="58"/>
      <c r="AG105" s="59">
        <f>($AH$103-$AG$106)*20%</f>
        <v>29700</v>
      </c>
      <c r="AH105" s="59"/>
    </row>
    <row r="106" spans="1:40" ht="15.75" hidden="1" customHeight="1" x14ac:dyDescent="0.4">
      <c r="A106" s="242"/>
      <c r="B106" s="243"/>
      <c r="C106" s="245"/>
      <c r="D106" s="138">
        <f t="shared" ref="D106:AB106" si="70">IF(IFERROR(IF(VLOOKUP(D105,D$151:D$155,1,0)&gt;=1,D$150,0),D105)=D$132,D$136,IF(IFERROR(IF(VLOOKUP(D105,D$151:D$155,1,0)&gt;=1,D$150,0),D105)=D$139,D$142,IF(IFERROR(IF(VLOOKUP(D105,D$151:D$155,1,0)&gt;=1,D$150,0),D105)=D$145,D$147,0)))</f>
        <v>0</v>
      </c>
      <c r="E106" s="138">
        <f t="shared" si="70"/>
        <v>0</v>
      </c>
      <c r="F106" s="138">
        <f t="shared" si="70"/>
        <v>0</v>
      </c>
      <c r="G106" s="138">
        <f t="shared" si="70"/>
        <v>0</v>
      </c>
      <c r="H106" s="138">
        <f t="shared" si="70"/>
        <v>0</v>
      </c>
      <c r="I106" s="138">
        <f t="shared" si="70"/>
        <v>0</v>
      </c>
      <c r="J106" s="138">
        <f t="shared" si="70"/>
        <v>0</v>
      </c>
      <c r="K106" s="138">
        <f t="shared" si="70"/>
        <v>0</v>
      </c>
      <c r="L106" s="138">
        <f t="shared" si="70"/>
        <v>0</v>
      </c>
      <c r="M106" s="138">
        <f t="shared" si="70"/>
        <v>0</v>
      </c>
      <c r="N106" s="138">
        <f t="shared" si="70"/>
        <v>0</v>
      </c>
      <c r="O106" s="138">
        <f t="shared" si="70"/>
        <v>0</v>
      </c>
      <c r="P106" s="138">
        <f t="shared" si="70"/>
        <v>0</v>
      </c>
      <c r="Q106" s="138">
        <f t="shared" si="70"/>
        <v>0</v>
      </c>
      <c r="R106" s="138">
        <f t="shared" si="70"/>
        <v>0</v>
      </c>
      <c r="S106" s="138">
        <f t="shared" si="70"/>
        <v>0</v>
      </c>
      <c r="T106" s="138">
        <f t="shared" si="70"/>
        <v>0</v>
      </c>
      <c r="U106" s="138">
        <f t="shared" si="70"/>
        <v>0</v>
      </c>
      <c r="V106" s="138">
        <f t="shared" si="70"/>
        <v>0</v>
      </c>
      <c r="W106" s="138">
        <f t="shared" si="70"/>
        <v>0</v>
      </c>
      <c r="X106" s="138">
        <f t="shared" si="70"/>
        <v>0</v>
      </c>
      <c r="Y106" s="138">
        <f t="shared" si="70"/>
        <v>0</v>
      </c>
      <c r="Z106" s="138">
        <f t="shared" si="70"/>
        <v>0</v>
      </c>
      <c r="AA106" s="138">
        <f t="shared" si="70"/>
        <v>0</v>
      </c>
      <c r="AB106" s="138">
        <f t="shared" si="70"/>
        <v>0</v>
      </c>
      <c r="AC106" s="243"/>
      <c r="AE106" s="58" t="s">
        <v>40</v>
      </c>
      <c r="AF106" s="58"/>
      <c r="AG106" s="60">
        <f>(AH103*10%)</f>
        <v>16500</v>
      </c>
      <c r="AH106" s="60"/>
    </row>
    <row r="107" spans="1:40" ht="15.75" hidden="1" customHeight="1" x14ac:dyDescent="0.4">
      <c r="A107" s="293">
        <f t="shared" si="57"/>
        <v>18</v>
      </c>
      <c r="B107" s="243">
        <f>STUD!H52</f>
        <v>0</v>
      </c>
      <c r="C107" s="244">
        <f>SUM(D108:AB108)</f>
        <v>0</v>
      </c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3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243">
        <f>SUM(D108:AB108)</f>
        <v>0</v>
      </c>
    </row>
    <row r="108" spans="1:40" ht="15.75" hidden="1" customHeight="1" x14ac:dyDescent="0.4">
      <c r="A108" s="242"/>
      <c r="B108" s="243"/>
      <c r="C108" s="245"/>
      <c r="D108" s="138">
        <f t="shared" ref="D108:AB108" si="71">IF(IFERROR(IF(VLOOKUP(D107,D$151:D$155,1,0)&gt;=1,D$150,0),D107)=D$132,D$136,IF(IFERROR(IF(VLOOKUP(D107,D$151:D$155,1,0)&gt;=1,D$150,0),D107)=D$139,D$142,IF(IFERROR(IF(VLOOKUP(D107,D$151:D$155,1,0)&gt;=1,D$150,0),D107)=D$145,D$147,0)))</f>
        <v>0</v>
      </c>
      <c r="E108" s="138">
        <f t="shared" si="71"/>
        <v>0</v>
      </c>
      <c r="F108" s="138">
        <f t="shared" si="71"/>
        <v>0</v>
      </c>
      <c r="G108" s="138">
        <f t="shared" si="71"/>
        <v>0</v>
      </c>
      <c r="H108" s="138">
        <f t="shared" si="71"/>
        <v>0</v>
      </c>
      <c r="I108" s="138">
        <f t="shared" si="71"/>
        <v>0</v>
      </c>
      <c r="J108" s="138">
        <f t="shared" si="71"/>
        <v>0</v>
      </c>
      <c r="K108" s="138">
        <f t="shared" si="71"/>
        <v>0</v>
      </c>
      <c r="L108" s="138">
        <f t="shared" si="71"/>
        <v>0</v>
      </c>
      <c r="M108" s="138">
        <f t="shared" si="71"/>
        <v>0</v>
      </c>
      <c r="N108" s="138">
        <f t="shared" si="71"/>
        <v>0</v>
      </c>
      <c r="O108" s="138">
        <f t="shared" si="71"/>
        <v>0</v>
      </c>
      <c r="P108" s="138">
        <f t="shared" si="71"/>
        <v>0</v>
      </c>
      <c r="Q108" s="138">
        <f t="shared" si="71"/>
        <v>0</v>
      </c>
      <c r="R108" s="138">
        <f t="shared" si="71"/>
        <v>0</v>
      </c>
      <c r="S108" s="138">
        <f t="shared" si="71"/>
        <v>0</v>
      </c>
      <c r="T108" s="138">
        <f t="shared" si="71"/>
        <v>0</v>
      </c>
      <c r="U108" s="138">
        <f t="shared" si="71"/>
        <v>0</v>
      </c>
      <c r="V108" s="138">
        <f t="shared" si="71"/>
        <v>0</v>
      </c>
      <c r="W108" s="138">
        <f t="shared" si="71"/>
        <v>0</v>
      </c>
      <c r="X108" s="138">
        <f t="shared" si="71"/>
        <v>0</v>
      </c>
      <c r="Y108" s="138">
        <f t="shared" si="71"/>
        <v>0</v>
      </c>
      <c r="Z108" s="138">
        <f t="shared" si="71"/>
        <v>0</v>
      </c>
      <c r="AA108" s="138">
        <f t="shared" si="71"/>
        <v>0</v>
      </c>
      <c r="AB108" s="138">
        <f t="shared" si="71"/>
        <v>0</v>
      </c>
      <c r="AC108" s="243"/>
    </row>
    <row r="109" spans="1:40" ht="15.75" hidden="1" customHeight="1" x14ac:dyDescent="0.4">
      <c r="A109" s="293">
        <f t="shared" si="57"/>
        <v>19</v>
      </c>
      <c r="B109" s="243">
        <f>STUD!H53</f>
        <v>0</v>
      </c>
      <c r="C109" s="244">
        <f>SUM(D110:AB110)</f>
        <v>0</v>
      </c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3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243">
        <f>SUM(D110:AB110)</f>
        <v>0</v>
      </c>
    </row>
    <row r="110" spans="1:40" ht="15.75" hidden="1" customHeight="1" x14ac:dyDescent="0.4">
      <c r="A110" s="242"/>
      <c r="B110" s="243"/>
      <c r="C110" s="245"/>
      <c r="D110" s="138">
        <f t="shared" ref="D110:AB110" si="72">IF(IFERROR(IF(VLOOKUP(D109,D$151:D$155,1,0)&gt;=1,D$150,0),D109)=D$132,D$136,IF(IFERROR(IF(VLOOKUP(D109,D$151:D$155,1,0)&gt;=1,D$150,0),D109)=D$139,D$142,IF(IFERROR(IF(VLOOKUP(D109,D$151:D$155,1,0)&gt;=1,D$150,0),D109)=D$145,D$147,0)))</f>
        <v>0</v>
      </c>
      <c r="E110" s="138">
        <f t="shared" si="72"/>
        <v>0</v>
      </c>
      <c r="F110" s="138">
        <f t="shared" si="72"/>
        <v>0</v>
      </c>
      <c r="G110" s="138">
        <f t="shared" si="72"/>
        <v>0</v>
      </c>
      <c r="H110" s="138">
        <f t="shared" si="72"/>
        <v>0</v>
      </c>
      <c r="I110" s="138">
        <f t="shared" si="72"/>
        <v>0</v>
      </c>
      <c r="J110" s="138">
        <f t="shared" si="72"/>
        <v>0</v>
      </c>
      <c r="K110" s="138">
        <f t="shared" si="72"/>
        <v>0</v>
      </c>
      <c r="L110" s="138">
        <f t="shared" si="72"/>
        <v>0</v>
      </c>
      <c r="M110" s="138">
        <f t="shared" si="72"/>
        <v>0</v>
      </c>
      <c r="N110" s="138">
        <f t="shared" si="72"/>
        <v>0</v>
      </c>
      <c r="O110" s="138">
        <f t="shared" si="72"/>
        <v>0</v>
      </c>
      <c r="P110" s="138">
        <f t="shared" si="72"/>
        <v>0</v>
      </c>
      <c r="Q110" s="138">
        <f t="shared" si="72"/>
        <v>0</v>
      </c>
      <c r="R110" s="138">
        <f t="shared" si="72"/>
        <v>0</v>
      </c>
      <c r="S110" s="138">
        <f t="shared" si="72"/>
        <v>0</v>
      </c>
      <c r="T110" s="138">
        <f t="shared" si="72"/>
        <v>0</v>
      </c>
      <c r="U110" s="138">
        <f t="shared" si="72"/>
        <v>0</v>
      </c>
      <c r="V110" s="138">
        <f t="shared" si="72"/>
        <v>0</v>
      </c>
      <c r="W110" s="138">
        <f t="shared" si="72"/>
        <v>0</v>
      </c>
      <c r="X110" s="138">
        <f t="shared" si="72"/>
        <v>0</v>
      </c>
      <c r="Y110" s="138">
        <f t="shared" si="72"/>
        <v>0</v>
      </c>
      <c r="Z110" s="138">
        <f t="shared" si="72"/>
        <v>0</v>
      </c>
      <c r="AA110" s="138">
        <f t="shared" si="72"/>
        <v>0</v>
      </c>
      <c r="AB110" s="138">
        <f t="shared" si="72"/>
        <v>0</v>
      </c>
      <c r="AC110" s="243"/>
    </row>
    <row r="111" spans="1:40" ht="15.75" hidden="1" customHeight="1" x14ac:dyDescent="0.4">
      <c r="A111" s="293">
        <f t="shared" si="57"/>
        <v>20</v>
      </c>
      <c r="B111" s="243">
        <f>STUD!H54</f>
        <v>0</v>
      </c>
      <c r="C111" s="244">
        <f>SUM(D112:AB112)</f>
        <v>0</v>
      </c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3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243">
        <f>SUM(D112:AB112)</f>
        <v>0</v>
      </c>
    </row>
    <row r="112" spans="1:40" ht="15.75" hidden="1" customHeight="1" x14ac:dyDescent="0.4">
      <c r="A112" s="242"/>
      <c r="B112" s="243"/>
      <c r="C112" s="245"/>
      <c r="D112" s="127">
        <f t="shared" ref="D112:AB112" si="73">IF(IFERROR(IF(VLOOKUP(D111,D$151:D$155,1,0)&gt;=1,D$150,0),D111)=D$132,D$136,IF(IFERROR(IF(VLOOKUP(D111,D$151:D$155,1,0)&gt;=1,D$150,0),D111)=D$139,D$142,IF(IFERROR(IF(VLOOKUP(D111,D$151:D$155,1,0)&gt;=1,D$150,0),D111)=D$145,D$147,0)))</f>
        <v>0</v>
      </c>
      <c r="E112" s="127">
        <f t="shared" si="73"/>
        <v>0</v>
      </c>
      <c r="F112" s="127">
        <f t="shared" si="73"/>
        <v>0</v>
      </c>
      <c r="G112" s="127">
        <f t="shared" si="73"/>
        <v>0</v>
      </c>
      <c r="H112" s="127">
        <f t="shared" si="73"/>
        <v>0</v>
      </c>
      <c r="I112" s="127">
        <f t="shared" si="73"/>
        <v>0</v>
      </c>
      <c r="J112" s="127">
        <f t="shared" si="73"/>
        <v>0</v>
      </c>
      <c r="K112" s="127">
        <f t="shared" si="73"/>
        <v>0</v>
      </c>
      <c r="L112" s="127">
        <f t="shared" si="73"/>
        <v>0</v>
      </c>
      <c r="M112" s="127">
        <f t="shared" si="73"/>
        <v>0</v>
      </c>
      <c r="N112" s="127">
        <f t="shared" si="73"/>
        <v>0</v>
      </c>
      <c r="O112" s="127">
        <f t="shared" si="73"/>
        <v>0</v>
      </c>
      <c r="P112" s="127">
        <f t="shared" si="73"/>
        <v>0</v>
      </c>
      <c r="Q112" s="127">
        <f t="shared" si="73"/>
        <v>0</v>
      </c>
      <c r="R112" s="127">
        <f t="shared" si="73"/>
        <v>0</v>
      </c>
      <c r="S112" s="127">
        <f t="shared" si="73"/>
        <v>0</v>
      </c>
      <c r="T112" s="127">
        <f t="shared" si="73"/>
        <v>0</v>
      </c>
      <c r="U112" s="127">
        <f t="shared" si="73"/>
        <v>0</v>
      </c>
      <c r="V112" s="127">
        <f t="shared" si="73"/>
        <v>0</v>
      </c>
      <c r="W112" s="127">
        <f t="shared" si="73"/>
        <v>0</v>
      </c>
      <c r="X112" s="127">
        <f t="shared" si="73"/>
        <v>0</v>
      </c>
      <c r="Y112" s="127">
        <f t="shared" si="73"/>
        <v>0</v>
      </c>
      <c r="Z112" s="127">
        <f t="shared" si="73"/>
        <v>0</v>
      </c>
      <c r="AA112" s="127">
        <f t="shared" si="73"/>
        <v>0</v>
      </c>
      <c r="AB112" s="127">
        <f t="shared" si="73"/>
        <v>0</v>
      </c>
      <c r="AC112" s="243"/>
    </row>
    <row r="113" spans="1:29" ht="15.75" hidden="1" customHeight="1" x14ac:dyDescent="0.4">
      <c r="A113" s="293">
        <f t="shared" si="57"/>
        <v>21</v>
      </c>
      <c r="B113" s="243">
        <f>STUD!H55</f>
        <v>0</v>
      </c>
      <c r="C113" s="244">
        <f>SUM(D114:AB114)</f>
        <v>0</v>
      </c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243">
        <f>SUM(D114:AB114)</f>
        <v>0</v>
      </c>
    </row>
    <row r="114" spans="1:29" ht="15.75" hidden="1" customHeight="1" x14ac:dyDescent="0.4">
      <c r="A114" s="242"/>
      <c r="B114" s="243"/>
      <c r="C114" s="245"/>
      <c r="D114" s="127">
        <f t="shared" ref="D114:AB114" si="74">IF(IFERROR(IF(VLOOKUP(D113,D$151:D$155,1,0)&gt;=1,D$150,0),D113)=D$132,D$136,IF(IFERROR(IF(VLOOKUP(D113,D$151:D$155,1,0)&gt;=1,D$150,0),D113)=D$139,D$142,IF(IFERROR(IF(VLOOKUP(D113,D$151:D$155,1,0)&gt;=1,D$150,0),D113)=D$145,D$147,0)))</f>
        <v>0</v>
      </c>
      <c r="E114" s="127">
        <f t="shared" si="74"/>
        <v>0</v>
      </c>
      <c r="F114" s="127">
        <f t="shared" si="74"/>
        <v>0</v>
      </c>
      <c r="G114" s="127">
        <f t="shared" si="74"/>
        <v>0</v>
      </c>
      <c r="H114" s="127">
        <f t="shared" si="74"/>
        <v>0</v>
      </c>
      <c r="I114" s="127">
        <f t="shared" si="74"/>
        <v>0</v>
      </c>
      <c r="J114" s="127">
        <f t="shared" si="74"/>
        <v>0</v>
      </c>
      <c r="K114" s="127">
        <f t="shared" si="74"/>
        <v>0</v>
      </c>
      <c r="L114" s="127">
        <f t="shared" si="74"/>
        <v>0</v>
      </c>
      <c r="M114" s="127">
        <f t="shared" si="74"/>
        <v>0</v>
      </c>
      <c r="N114" s="127">
        <f t="shared" si="74"/>
        <v>0</v>
      </c>
      <c r="O114" s="127">
        <f t="shared" si="74"/>
        <v>0</v>
      </c>
      <c r="P114" s="127">
        <f t="shared" si="74"/>
        <v>0</v>
      </c>
      <c r="Q114" s="127">
        <f t="shared" si="74"/>
        <v>0</v>
      </c>
      <c r="R114" s="127">
        <f t="shared" si="74"/>
        <v>0</v>
      </c>
      <c r="S114" s="127">
        <f t="shared" si="74"/>
        <v>0</v>
      </c>
      <c r="T114" s="127">
        <f t="shared" si="74"/>
        <v>0</v>
      </c>
      <c r="U114" s="127">
        <f t="shared" si="74"/>
        <v>0</v>
      </c>
      <c r="V114" s="127">
        <f t="shared" si="74"/>
        <v>0</v>
      </c>
      <c r="W114" s="127">
        <f t="shared" si="74"/>
        <v>0</v>
      </c>
      <c r="X114" s="127">
        <f t="shared" si="74"/>
        <v>0</v>
      </c>
      <c r="Y114" s="127">
        <f t="shared" si="74"/>
        <v>0</v>
      </c>
      <c r="Z114" s="127">
        <f t="shared" si="74"/>
        <v>0</v>
      </c>
      <c r="AA114" s="127">
        <f t="shared" si="74"/>
        <v>0</v>
      </c>
      <c r="AB114" s="127">
        <f t="shared" si="74"/>
        <v>0</v>
      </c>
      <c r="AC114" s="243"/>
    </row>
    <row r="115" spans="1:29" ht="15.75" hidden="1" customHeight="1" x14ac:dyDescent="0.4">
      <c r="A115" s="293">
        <f t="shared" si="57"/>
        <v>22</v>
      </c>
      <c r="B115" s="243">
        <f>STUD!H56</f>
        <v>0</v>
      </c>
      <c r="C115" s="244">
        <f>SUM(D116:AB116)</f>
        <v>0</v>
      </c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243">
        <f>SUM(D116:AB116)</f>
        <v>0</v>
      </c>
    </row>
    <row r="116" spans="1:29" ht="15.75" hidden="1" customHeight="1" x14ac:dyDescent="0.4">
      <c r="A116" s="242"/>
      <c r="B116" s="243"/>
      <c r="C116" s="245"/>
      <c r="D116" s="127">
        <f t="shared" ref="D116:AB116" si="75">IF(IFERROR(IF(VLOOKUP(D115,D$151:D$155,1,0)&gt;=1,D$150,0),D115)=D$132,D$136,IF(IFERROR(IF(VLOOKUP(D115,D$151:D$155,1,0)&gt;=1,D$150,0),D115)=D$139,D$142,IF(IFERROR(IF(VLOOKUP(D115,D$151:D$155,1,0)&gt;=1,D$150,0),D115)=D$145,D$147,0)))</f>
        <v>0</v>
      </c>
      <c r="E116" s="127">
        <f t="shared" si="75"/>
        <v>0</v>
      </c>
      <c r="F116" s="127">
        <f t="shared" si="75"/>
        <v>0</v>
      </c>
      <c r="G116" s="127">
        <f t="shared" si="75"/>
        <v>0</v>
      </c>
      <c r="H116" s="127">
        <f t="shared" si="75"/>
        <v>0</v>
      </c>
      <c r="I116" s="127">
        <f t="shared" si="75"/>
        <v>0</v>
      </c>
      <c r="J116" s="127">
        <f t="shared" si="75"/>
        <v>0</v>
      </c>
      <c r="K116" s="127">
        <f t="shared" si="75"/>
        <v>0</v>
      </c>
      <c r="L116" s="127">
        <f t="shared" si="75"/>
        <v>0</v>
      </c>
      <c r="M116" s="127">
        <f t="shared" si="75"/>
        <v>0</v>
      </c>
      <c r="N116" s="127">
        <f t="shared" si="75"/>
        <v>0</v>
      </c>
      <c r="O116" s="127">
        <f t="shared" si="75"/>
        <v>0</v>
      </c>
      <c r="P116" s="127">
        <f t="shared" si="75"/>
        <v>0</v>
      </c>
      <c r="Q116" s="127">
        <f t="shared" si="75"/>
        <v>0</v>
      </c>
      <c r="R116" s="127">
        <f t="shared" si="75"/>
        <v>0</v>
      </c>
      <c r="S116" s="127">
        <f t="shared" si="75"/>
        <v>0</v>
      </c>
      <c r="T116" s="127">
        <f t="shared" si="75"/>
        <v>0</v>
      </c>
      <c r="U116" s="127">
        <f t="shared" si="75"/>
        <v>0</v>
      </c>
      <c r="V116" s="127">
        <f t="shared" si="75"/>
        <v>0</v>
      </c>
      <c r="W116" s="127">
        <f t="shared" si="75"/>
        <v>0</v>
      </c>
      <c r="X116" s="127">
        <f t="shared" si="75"/>
        <v>0</v>
      </c>
      <c r="Y116" s="127">
        <f t="shared" si="75"/>
        <v>0</v>
      </c>
      <c r="Z116" s="127">
        <f t="shared" si="75"/>
        <v>0</v>
      </c>
      <c r="AA116" s="127">
        <f t="shared" si="75"/>
        <v>0</v>
      </c>
      <c r="AB116" s="127">
        <f t="shared" si="75"/>
        <v>0</v>
      </c>
      <c r="AC116" s="243"/>
    </row>
    <row r="117" spans="1:29" ht="15.75" hidden="1" customHeight="1" x14ac:dyDescent="0.4">
      <c r="A117" s="293">
        <f t="shared" si="57"/>
        <v>23</v>
      </c>
      <c r="B117" s="243">
        <f>STUD!H57</f>
        <v>0</v>
      </c>
      <c r="C117" s="244">
        <f>SUM(D118:AB118)</f>
        <v>0</v>
      </c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4"/>
      <c r="Z117" s="124"/>
      <c r="AA117" s="124"/>
      <c r="AB117" s="124"/>
      <c r="AC117" s="243">
        <f>SUM(D118:AB118)</f>
        <v>0</v>
      </c>
    </row>
    <row r="118" spans="1:29" ht="15.75" hidden="1" customHeight="1" x14ac:dyDescent="0.4">
      <c r="A118" s="242"/>
      <c r="B118" s="243"/>
      <c r="C118" s="245"/>
      <c r="D118" s="127">
        <f t="shared" ref="D118:AB118" si="76">IF(IFERROR(IF(VLOOKUP(D117,D$151:D$155,1,0)&gt;=1,D$150,0),D117)=D$132,D$136,IF(IFERROR(IF(VLOOKUP(D117,D$151:D$155,1,0)&gt;=1,D$150,0),D117)=D$139,D$142,IF(IFERROR(IF(VLOOKUP(D117,D$151:D$155,1,0)&gt;=1,D$150,0),D117)=D$145,D$147,0)))</f>
        <v>0</v>
      </c>
      <c r="E118" s="127">
        <f t="shared" si="76"/>
        <v>0</v>
      </c>
      <c r="F118" s="127">
        <f t="shared" si="76"/>
        <v>0</v>
      </c>
      <c r="G118" s="127">
        <f t="shared" si="76"/>
        <v>0</v>
      </c>
      <c r="H118" s="127">
        <f t="shared" si="76"/>
        <v>0</v>
      </c>
      <c r="I118" s="127">
        <f t="shared" si="76"/>
        <v>0</v>
      </c>
      <c r="J118" s="127">
        <f t="shared" si="76"/>
        <v>0</v>
      </c>
      <c r="K118" s="127">
        <f t="shared" si="76"/>
        <v>0</v>
      </c>
      <c r="L118" s="127">
        <f t="shared" si="76"/>
        <v>0</v>
      </c>
      <c r="M118" s="127">
        <f t="shared" si="76"/>
        <v>0</v>
      </c>
      <c r="N118" s="127">
        <f t="shared" si="76"/>
        <v>0</v>
      </c>
      <c r="O118" s="127">
        <f t="shared" si="76"/>
        <v>0</v>
      </c>
      <c r="P118" s="127">
        <f t="shared" si="76"/>
        <v>0</v>
      </c>
      <c r="Q118" s="127">
        <f t="shared" si="76"/>
        <v>0</v>
      </c>
      <c r="R118" s="127">
        <f t="shared" si="76"/>
        <v>0</v>
      </c>
      <c r="S118" s="127">
        <f t="shared" si="76"/>
        <v>0</v>
      </c>
      <c r="T118" s="127">
        <f t="shared" si="76"/>
        <v>0</v>
      </c>
      <c r="U118" s="127">
        <f t="shared" si="76"/>
        <v>0</v>
      </c>
      <c r="V118" s="127">
        <f t="shared" si="76"/>
        <v>0</v>
      </c>
      <c r="W118" s="127">
        <f t="shared" si="76"/>
        <v>0</v>
      </c>
      <c r="X118" s="127">
        <f t="shared" si="76"/>
        <v>0</v>
      </c>
      <c r="Y118" s="127">
        <f t="shared" si="76"/>
        <v>0</v>
      </c>
      <c r="Z118" s="127">
        <f t="shared" si="76"/>
        <v>0</v>
      </c>
      <c r="AA118" s="127">
        <f t="shared" si="76"/>
        <v>0</v>
      </c>
      <c r="AB118" s="127">
        <f t="shared" si="76"/>
        <v>0</v>
      </c>
      <c r="AC118" s="243"/>
    </row>
    <row r="119" spans="1:29" ht="15.75" hidden="1" customHeight="1" x14ac:dyDescent="0.4">
      <c r="A119" s="293">
        <f t="shared" si="57"/>
        <v>24</v>
      </c>
      <c r="B119" s="243">
        <f>STUD!H58</f>
        <v>0</v>
      </c>
      <c r="C119" s="244">
        <f>SUM(D120:AB120)</f>
        <v>0</v>
      </c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4"/>
      <c r="Z119" s="124"/>
      <c r="AA119" s="124"/>
      <c r="AB119" s="124"/>
      <c r="AC119" s="243">
        <f>SUM(D120:AB120)</f>
        <v>0</v>
      </c>
    </row>
    <row r="120" spans="1:29" ht="15.75" hidden="1" customHeight="1" x14ac:dyDescent="0.4">
      <c r="A120" s="242"/>
      <c r="B120" s="243"/>
      <c r="C120" s="245"/>
      <c r="D120" s="127">
        <f t="shared" ref="D120:AB120" si="77">IF(IFERROR(IF(VLOOKUP(D119,D$151:D$155,1,0)&gt;=1,D$150,0),D119)=D$132,D$136,IF(IFERROR(IF(VLOOKUP(D119,D$151:D$155,1,0)&gt;=1,D$150,0),D119)=D$139,D$142,IF(IFERROR(IF(VLOOKUP(D119,D$151:D$155,1,0)&gt;=1,D$150,0),D119)=D$145,D$147,0)))</f>
        <v>0</v>
      </c>
      <c r="E120" s="127">
        <f t="shared" si="77"/>
        <v>0</v>
      </c>
      <c r="F120" s="127">
        <f t="shared" si="77"/>
        <v>0</v>
      </c>
      <c r="G120" s="127">
        <f t="shared" si="77"/>
        <v>0</v>
      </c>
      <c r="H120" s="127">
        <f t="shared" si="77"/>
        <v>0</v>
      </c>
      <c r="I120" s="127">
        <f t="shared" si="77"/>
        <v>0</v>
      </c>
      <c r="J120" s="127">
        <f t="shared" si="77"/>
        <v>0</v>
      </c>
      <c r="K120" s="127">
        <f t="shared" si="77"/>
        <v>0</v>
      </c>
      <c r="L120" s="127">
        <f t="shared" si="77"/>
        <v>0</v>
      </c>
      <c r="M120" s="127">
        <f t="shared" si="77"/>
        <v>0</v>
      </c>
      <c r="N120" s="127">
        <f t="shared" si="77"/>
        <v>0</v>
      </c>
      <c r="O120" s="127">
        <f t="shared" si="77"/>
        <v>0</v>
      </c>
      <c r="P120" s="127">
        <f t="shared" si="77"/>
        <v>0</v>
      </c>
      <c r="Q120" s="127">
        <f t="shared" si="77"/>
        <v>0</v>
      </c>
      <c r="R120" s="127">
        <f t="shared" si="77"/>
        <v>0</v>
      </c>
      <c r="S120" s="127">
        <f t="shared" si="77"/>
        <v>0</v>
      </c>
      <c r="T120" s="127">
        <f t="shared" si="77"/>
        <v>0</v>
      </c>
      <c r="U120" s="127">
        <f t="shared" si="77"/>
        <v>0</v>
      </c>
      <c r="V120" s="127">
        <f t="shared" si="77"/>
        <v>0</v>
      </c>
      <c r="W120" s="127">
        <f t="shared" si="77"/>
        <v>0</v>
      </c>
      <c r="X120" s="127">
        <f t="shared" si="77"/>
        <v>0</v>
      </c>
      <c r="Y120" s="127">
        <f t="shared" si="77"/>
        <v>0</v>
      </c>
      <c r="Z120" s="127">
        <f t="shared" si="77"/>
        <v>0</v>
      </c>
      <c r="AA120" s="127">
        <f t="shared" si="77"/>
        <v>0</v>
      </c>
      <c r="AB120" s="127">
        <f t="shared" si="77"/>
        <v>0</v>
      </c>
      <c r="AC120" s="243"/>
    </row>
    <row r="121" spans="1:29" ht="15.75" hidden="1" customHeight="1" x14ac:dyDescent="0.4">
      <c r="A121" s="293">
        <f t="shared" si="57"/>
        <v>25</v>
      </c>
      <c r="B121" s="243">
        <f>STUD!H59</f>
        <v>0</v>
      </c>
      <c r="C121" s="244">
        <f>SUM(D122:AB122)</f>
        <v>0</v>
      </c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4"/>
      <c r="Z121" s="124"/>
      <c r="AA121" s="124"/>
      <c r="AB121" s="124"/>
      <c r="AC121" s="243">
        <f>SUM(D122:AB122)</f>
        <v>0</v>
      </c>
    </row>
    <row r="122" spans="1:29" ht="15.75" hidden="1" customHeight="1" x14ac:dyDescent="0.4">
      <c r="A122" s="242"/>
      <c r="B122" s="243"/>
      <c r="C122" s="245"/>
      <c r="D122" s="127">
        <f t="shared" ref="D122:AB122" si="78">IF(IFERROR(IF(VLOOKUP(D121,D$151:D$155,1,0)&gt;=1,D$150,0),D121)=D$132,D$136,IF(IFERROR(IF(VLOOKUP(D121,D$151:D$155,1,0)&gt;=1,D$150,0),D121)=D$139,D$142,IF(IFERROR(IF(VLOOKUP(D121,D$151:D$155,1,0)&gt;=1,D$150,0),D121)=D$145,D$147,0)))</f>
        <v>0</v>
      </c>
      <c r="E122" s="127">
        <f t="shared" si="78"/>
        <v>0</v>
      </c>
      <c r="F122" s="127">
        <f t="shared" si="78"/>
        <v>0</v>
      </c>
      <c r="G122" s="127">
        <f t="shared" si="78"/>
        <v>0</v>
      </c>
      <c r="H122" s="127">
        <f t="shared" si="78"/>
        <v>0</v>
      </c>
      <c r="I122" s="127">
        <f t="shared" si="78"/>
        <v>0</v>
      </c>
      <c r="J122" s="127">
        <f t="shared" si="78"/>
        <v>0</v>
      </c>
      <c r="K122" s="127">
        <f t="shared" si="78"/>
        <v>0</v>
      </c>
      <c r="L122" s="127">
        <f t="shared" si="78"/>
        <v>0</v>
      </c>
      <c r="M122" s="127">
        <f t="shared" si="78"/>
        <v>0</v>
      </c>
      <c r="N122" s="127">
        <f t="shared" si="78"/>
        <v>0</v>
      </c>
      <c r="O122" s="127">
        <f t="shared" si="78"/>
        <v>0</v>
      </c>
      <c r="P122" s="127">
        <f t="shared" si="78"/>
        <v>0</v>
      </c>
      <c r="Q122" s="127">
        <f t="shared" si="78"/>
        <v>0</v>
      </c>
      <c r="R122" s="127">
        <f t="shared" si="78"/>
        <v>0</v>
      </c>
      <c r="S122" s="127">
        <f t="shared" si="78"/>
        <v>0</v>
      </c>
      <c r="T122" s="127">
        <f t="shared" si="78"/>
        <v>0</v>
      </c>
      <c r="U122" s="127">
        <f t="shared" si="78"/>
        <v>0</v>
      </c>
      <c r="V122" s="127">
        <f t="shared" si="78"/>
        <v>0</v>
      </c>
      <c r="W122" s="127">
        <f t="shared" si="78"/>
        <v>0</v>
      </c>
      <c r="X122" s="127">
        <f t="shared" si="78"/>
        <v>0</v>
      </c>
      <c r="Y122" s="127">
        <f t="shared" si="78"/>
        <v>0</v>
      </c>
      <c r="Z122" s="127">
        <f t="shared" si="78"/>
        <v>0</v>
      </c>
      <c r="AA122" s="127">
        <f t="shared" si="78"/>
        <v>0</v>
      </c>
      <c r="AB122" s="127">
        <f t="shared" si="78"/>
        <v>0</v>
      </c>
      <c r="AC122" s="243"/>
    </row>
    <row r="123" spans="1:29" ht="15.75" hidden="1" customHeight="1" x14ac:dyDescent="0.4">
      <c r="A123" s="293">
        <f t="shared" si="57"/>
        <v>26</v>
      </c>
      <c r="B123" s="243">
        <f>STUD!H60</f>
        <v>0</v>
      </c>
      <c r="C123" s="244">
        <f>SUM(D124:AB124)</f>
        <v>0</v>
      </c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4"/>
      <c r="Y123" s="124"/>
      <c r="Z123" s="124"/>
      <c r="AA123" s="124"/>
      <c r="AB123" s="124"/>
      <c r="AC123" s="243">
        <f>SUM(D124:AB124)</f>
        <v>0</v>
      </c>
    </row>
    <row r="124" spans="1:29" ht="19.5" hidden="1" x14ac:dyDescent="0.4">
      <c r="A124" s="286"/>
      <c r="B124" s="243"/>
      <c r="C124" s="245"/>
      <c r="D124" s="127">
        <f t="shared" ref="D124:AB124" si="79">IF(IFERROR(IF(VLOOKUP(D123,D$151:D$155,1,0)&gt;=1,D$150,0),D123)=D$132,D$136,IF(IFERROR(IF(VLOOKUP(D123,D$151:D$155,1,0)&gt;=1,D$150,0),D123)=D$139,D$142,IF(IFERROR(IF(VLOOKUP(D123,D$151:D$155,1,0)&gt;=1,D$150,0),D123)=D$145,D$147,0)))</f>
        <v>0</v>
      </c>
      <c r="E124" s="127">
        <f t="shared" si="79"/>
        <v>0</v>
      </c>
      <c r="F124" s="127">
        <f t="shared" si="79"/>
        <v>0</v>
      </c>
      <c r="G124" s="127">
        <f t="shared" si="79"/>
        <v>0</v>
      </c>
      <c r="H124" s="127">
        <f t="shared" si="79"/>
        <v>0</v>
      </c>
      <c r="I124" s="127">
        <f t="shared" si="79"/>
        <v>0</v>
      </c>
      <c r="J124" s="127">
        <f t="shared" si="79"/>
        <v>0</v>
      </c>
      <c r="K124" s="127">
        <f t="shared" si="79"/>
        <v>0</v>
      </c>
      <c r="L124" s="127">
        <f t="shared" si="79"/>
        <v>0</v>
      </c>
      <c r="M124" s="127">
        <f t="shared" si="79"/>
        <v>0</v>
      </c>
      <c r="N124" s="127">
        <f t="shared" si="79"/>
        <v>0</v>
      </c>
      <c r="O124" s="127">
        <f t="shared" si="79"/>
        <v>0</v>
      </c>
      <c r="P124" s="127">
        <f t="shared" si="79"/>
        <v>0</v>
      </c>
      <c r="Q124" s="127">
        <f t="shared" si="79"/>
        <v>0</v>
      </c>
      <c r="R124" s="127">
        <f t="shared" si="79"/>
        <v>0</v>
      </c>
      <c r="S124" s="127">
        <f t="shared" si="79"/>
        <v>0</v>
      </c>
      <c r="T124" s="127">
        <f t="shared" si="79"/>
        <v>0</v>
      </c>
      <c r="U124" s="127">
        <f t="shared" si="79"/>
        <v>0</v>
      </c>
      <c r="V124" s="127">
        <f t="shared" si="79"/>
        <v>0</v>
      </c>
      <c r="W124" s="127">
        <f t="shared" si="79"/>
        <v>0</v>
      </c>
      <c r="X124" s="127">
        <f t="shared" si="79"/>
        <v>0</v>
      </c>
      <c r="Y124" s="127">
        <f t="shared" si="79"/>
        <v>0</v>
      </c>
      <c r="Z124" s="127">
        <f t="shared" si="79"/>
        <v>0</v>
      </c>
      <c r="AA124" s="127">
        <f t="shared" si="79"/>
        <v>0</v>
      </c>
      <c r="AB124" s="127">
        <f t="shared" si="79"/>
        <v>0</v>
      </c>
      <c r="AC124" s="243"/>
    </row>
    <row r="125" spans="1:29" ht="19.5" hidden="1" x14ac:dyDescent="0.4">
      <c r="A125" s="293">
        <f t="shared" si="57"/>
        <v>27</v>
      </c>
      <c r="B125" s="243">
        <f>STUD!H61</f>
        <v>0</v>
      </c>
      <c r="C125" s="244">
        <f>SUM(D126:AB126)</f>
        <v>0</v>
      </c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4"/>
      <c r="Y125" s="124"/>
      <c r="Z125" s="124"/>
      <c r="AA125" s="124"/>
      <c r="AB125" s="124"/>
      <c r="AC125" s="263">
        <f>SUM(D126:AB126)</f>
        <v>0</v>
      </c>
    </row>
    <row r="126" spans="1:29" ht="19.5" hidden="1" x14ac:dyDescent="0.4">
      <c r="A126" s="282"/>
      <c r="B126" s="243"/>
      <c r="C126" s="284"/>
      <c r="D126" s="127">
        <f t="shared" ref="D126:AB126" si="80">IF(IFERROR(IF(VLOOKUP(D125,D$151:D$155,1,0)&gt;=1,D$150,0),D125)=D$132,D$136,IF(IFERROR(IF(VLOOKUP(D125,D$151:D$155,1,0)&gt;=1,D$150,0),D125)=D$139,D$142,IF(IFERROR(IF(VLOOKUP(D125,D$151:D$155,1,0)&gt;=1,D$150,0),D125)=D$145,D$147,0)))</f>
        <v>0</v>
      </c>
      <c r="E126" s="127">
        <f t="shared" si="80"/>
        <v>0</v>
      </c>
      <c r="F126" s="127">
        <f t="shared" si="80"/>
        <v>0</v>
      </c>
      <c r="G126" s="127">
        <f t="shared" si="80"/>
        <v>0</v>
      </c>
      <c r="H126" s="127">
        <f t="shared" si="80"/>
        <v>0</v>
      </c>
      <c r="I126" s="127">
        <f t="shared" si="80"/>
        <v>0</v>
      </c>
      <c r="J126" s="127">
        <f t="shared" si="80"/>
        <v>0</v>
      </c>
      <c r="K126" s="127">
        <f t="shared" si="80"/>
        <v>0</v>
      </c>
      <c r="L126" s="127">
        <f t="shared" si="80"/>
        <v>0</v>
      </c>
      <c r="M126" s="127">
        <f t="shared" si="80"/>
        <v>0</v>
      </c>
      <c r="N126" s="127">
        <f t="shared" si="80"/>
        <v>0</v>
      </c>
      <c r="O126" s="127">
        <f t="shared" si="80"/>
        <v>0</v>
      </c>
      <c r="P126" s="127">
        <f t="shared" si="80"/>
        <v>0</v>
      </c>
      <c r="Q126" s="127">
        <f t="shared" si="80"/>
        <v>0</v>
      </c>
      <c r="R126" s="127">
        <f t="shared" si="80"/>
        <v>0</v>
      </c>
      <c r="S126" s="127">
        <f t="shared" si="80"/>
        <v>0</v>
      </c>
      <c r="T126" s="127">
        <f t="shared" si="80"/>
        <v>0</v>
      </c>
      <c r="U126" s="127">
        <f t="shared" si="80"/>
        <v>0</v>
      </c>
      <c r="V126" s="127">
        <f t="shared" si="80"/>
        <v>0</v>
      </c>
      <c r="W126" s="127">
        <f t="shared" si="80"/>
        <v>0</v>
      </c>
      <c r="X126" s="127">
        <f t="shared" si="80"/>
        <v>0</v>
      </c>
      <c r="Y126" s="127">
        <f t="shared" si="80"/>
        <v>0</v>
      </c>
      <c r="Z126" s="127">
        <f t="shared" si="80"/>
        <v>0</v>
      </c>
      <c r="AA126" s="127">
        <f t="shared" si="80"/>
        <v>0</v>
      </c>
      <c r="AB126" s="127">
        <f t="shared" si="80"/>
        <v>0</v>
      </c>
      <c r="AC126" s="263"/>
    </row>
    <row r="127" spans="1:29" ht="19.5" hidden="1" x14ac:dyDescent="0.4">
      <c r="A127" s="293">
        <f t="shared" si="57"/>
        <v>28</v>
      </c>
      <c r="B127" s="243">
        <f>STUD!H62</f>
        <v>0</v>
      </c>
      <c r="C127" s="244">
        <f>SUM(D128:AB128)</f>
        <v>0</v>
      </c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4"/>
      <c r="Y127" s="124"/>
      <c r="Z127" s="124"/>
      <c r="AA127" s="124"/>
      <c r="AB127" s="124"/>
      <c r="AC127" s="263">
        <f>SUM(D128:AB128)</f>
        <v>0</v>
      </c>
    </row>
    <row r="128" spans="1:29" ht="19.5" hidden="1" x14ac:dyDescent="0.4">
      <c r="A128" s="282"/>
      <c r="B128" s="243"/>
      <c r="C128" s="284"/>
      <c r="D128" s="127">
        <f t="shared" ref="D128:AB128" si="81">IF(IFERROR(IF(VLOOKUP(D127,D$151:D$155,1,0)&gt;=1,D$150,0),D127)=D$132,D$136,IF(IFERROR(IF(VLOOKUP(D127,D$151:D$155,1,0)&gt;=1,D$150,0),D127)=D$139,D$142,IF(IFERROR(IF(VLOOKUP(D127,D$151:D$155,1,0)&gt;=1,D$150,0),D127)=D$145,D$147,0)))</f>
        <v>0</v>
      </c>
      <c r="E128" s="127">
        <f t="shared" si="81"/>
        <v>0</v>
      </c>
      <c r="F128" s="127">
        <f t="shared" si="81"/>
        <v>0</v>
      </c>
      <c r="G128" s="127">
        <f t="shared" si="81"/>
        <v>0</v>
      </c>
      <c r="H128" s="127">
        <f t="shared" si="81"/>
        <v>0</v>
      </c>
      <c r="I128" s="127">
        <f t="shared" si="81"/>
        <v>0</v>
      </c>
      <c r="J128" s="127">
        <f t="shared" si="81"/>
        <v>0</v>
      </c>
      <c r="K128" s="127">
        <f t="shared" si="81"/>
        <v>0</v>
      </c>
      <c r="L128" s="127">
        <f t="shared" si="81"/>
        <v>0</v>
      </c>
      <c r="M128" s="127">
        <f t="shared" si="81"/>
        <v>0</v>
      </c>
      <c r="N128" s="127">
        <f t="shared" si="81"/>
        <v>0</v>
      </c>
      <c r="O128" s="127">
        <f t="shared" si="81"/>
        <v>0</v>
      </c>
      <c r="P128" s="127">
        <f t="shared" si="81"/>
        <v>0</v>
      </c>
      <c r="Q128" s="127">
        <f t="shared" si="81"/>
        <v>0</v>
      </c>
      <c r="R128" s="127">
        <f t="shared" si="81"/>
        <v>0</v>
      </c>
      <c r="S128" s="127">
        <f t="shared" si="81"/>
        <v>0</v>
      </c>
      <c r="T128" s="127">
        <f t="shared" si="81"/>
        <v>0</v>
      </c>
      <c r="U128" s="127">
        <f t="shared" si="81"/>
        <v>0</v>
      </c>
      <c r="V128" s="127">
        <f t="shared" si="81"/>
        <v>0</v>
      </c>
      <c r="W128" s="127">
        <f t="shared" si="81"/>
        <v>0</v>
      </c>
      <c r="X128" s="127">
        <f t="shared" si="81"/>
        <v>0</v>
      </c>
      <c r="Y128" s="127">
        <f t="shared" si="81"/>
        <v>0</v>
      </c>
      <c r="Z128" s="127">
        <f t="shared" si="81"/>
        <v>0</v>
      </c>
      <c r="AA128" s="127">
        <f t="shared" si="81"/>
        <v>0</v>
      </c>
      <c r="AB128" s="127">
        <f t="shared" si="81"/>
        <v>0</v>
      </c>
      <c r="AC128" s="263"/>
    </row>
    <row r="129" spans="1:29" x14ac:dyDescent="0.4">
      <c r="A129" s="13"/>
      <c r="B129" s="10"/>
      <c r="C129" s="10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0"/>
    </row>
    <row r="130" spans="1:29" ht="13.5" thickBot="1" x14ac:dyDescent="0.45">
      <c r="A130" s="3"/>
    </row>
    <row r="131" spans="1:29" ht="19.899999999999999" thickBot="1" x14ac:dyDescent="0.65">
      <c r="A131" s="3"/>
      <c r="C131" s="17" t="s">
        <v>21</v>
      </c>
      <c r="D131" s="18">
        <v>1</v>
      </c>
      <c r="E131" s="18">
        <v>2</v>
      </c>
      <c r="F131" s="18">
        <v>3</v>
      </c>
      <c r="G131" s="18">
        <v>4</v>
      </c>
      <c r="H131" s="18">
        <v>5</v>
      </c>
      <c r="I131" s="18">
        <v>6</v>
      </c>
      <c r="J131" s="18">
        <v>7</v>
      </c>
      <c r="K131" s="18">
        <v>8</v>
      </c>
      <c r="L131" s="18">
        <v>9</v>
      </c>
      <c r="M131" s="18">
        <v>10</v>
      </c>
      <c r="N131" s="18">
        <v>11</v>
      </c>
      <c r="O131" s="18">
        <v>12</v>
      </c>
      <c r="P131" s="18">
        <v>13</v>
      </c>
      <c r="Q131" s="18">
        <v>14</v>
      </c>
      <c r="R131" s="18">
        <v>15</v>
      </c>
      <c r="S131" s="18">
        <v>16</v>
      </c>
      <c r="T131" s="18">
        <v>17</v>
      </c>
      <c r="U131" s="18">
        <v>18</v>
      </c>
      <c r="V131" s="18">
        <v>19</v>
      </c>
      <c r="W131" s="18">
        <v>20</v>
      </c>
      <c r="X131" s="18">
        <v>21</v>
      </c>
      <c r="Y131" s="18">
        <v>22</v>
      </c>
      <c r="Z131" s="18">
        <v>23</v>
      </c>
      <c r="AA131" s="4">
        <v>24</v>
      </c>
      <c r="AB131" s="4">
        <v>25</v>
      </c>
    </row>
    <row r="132" spans="1:29" ht="19.5" x14ac:dyDescent="0.6">
      <c r="A132" s="3"/>
      <c r="C132" s="19" t="s">
        <v>22</v>
      </c>
      <c r="D132" s="20"/>
      <c r="E132" s="20"/>
      <c r="F132" s="20"/>
      <c r="G132" s="20"/>
      <c r="H132" s="20"/>
      <c r="I132" s="20"/>
      <c r="J132" s="20"/>
      <c r="K132" s="20"/>
      <c r="L132" s="20"/>
      <c r="M132" s="41"/>
      <c r="N132" s="41"/>
      <c r="O132" s="41"/>
      <c r="P132" s="20"/>
      <c r="Q132" s="20"/>
      <c r="R132" s="20"/>
      <c r="S132" s="41"/>
      <c r="T132" s="41"/>
      <c r="U132" s="41"/>
      <c r="V132" s="20"/>
      <c r="W132" s="20"/>
      <c r="X132" s="41"/>
      <c r="Y132" s="5"/>
      <c r="Z132" s="5"/>
      <c r="AA132" s="5"/>
      <c r="AB132" s="5"/>
    </row>
    <row r="133" spans="1:29" ht="19.5" x14ac:dyDescent="0.6">
      <c r="A133" s="3"/>
      <c r="C133" s="22" t="s">
        <v>23</v>
      </c>
      <c r="D133" s="37"/>
      <c r="E133" s="37"/>
      <c r="F133" s="37"/>
      <c r="G133" s="37"/>
      <c r="H133" s="37"/>
      <c r="I133" s="37"/>
      <c r="J133" s="37"/>
      <c r="K133" s="37"/>
      <c r="L133" s="37"/>
      <c r="M133" s="42"/>
      <c r="N133" s="43"/>
      <c r="O133" s="43"/>
      <c r="P133" s="37"/>
      <c r="Q133" s="37"/>
      <c r="R133" s="37"/>
      <c r="S133" s="43"/>
      <c r="T133" s="43"/>
      <c r="U133" s="43"/>
      <c r="V133" s="37"/>
      <c r="W133" s="37"/>
      <c r="X133" s="43"/>
      <c r="Y133" s="6"/>
      <c r="Z133" s="6"/>
      <c r="AA133" s="6"/>
      <c r="AB133" s="6"/>
    </row>
    <row r="134" spans="1:29" ht="19.5" x14ac:dyDescent="0.6">
      <c r="A134" s="3"/>
      <c r="C134" s="22" t="s">
        <v>24</v>
      </c>
      <c r="D134" s="37"/>
      <c r="E134" s="37"/>
      <c r="F134" s="37"/>
      <c r="G134" s="37"/>
      <c r="H134" s="37"/>
      <c r="I134" s="37"/>
      <c r="J134" s="37"/>
      <c r="K134" s="37"/>
      <c r="L134" s="37"/>
      <c r="M134" s="43"/>
      <c r="N134" s="43"/>
      <c r="O134" s="43"/>
      <c r="P134" s="37"/>
      <c r="Q134" s="37"/>
      <c r="R134" s="37"/>
      <c r="S134" s="43"/>
      <c r="T134" s="43"/>
      <c r="U134" s="43"/>
      <c r="V134" s="37"/>
      <c r="W134" s="37"/>
      <c r="X134" s="43"/>
      <c r="Y134" s="6"/>
      <c r="Z134" s="6"/>
      <c r="AA134" s="6"/>
      <c r="AB134" s="6"/>
    </row>
    <row r="135" spans="1:29" ht="19.5" x14ac:dyDescent="0.6">
      <c r="A135" s="3"/>
      <c r="C135" s="22" t="s">
        <v>25</v>
      </c>
      <c r="D135" s="37"/>
      <c r="E135" s="37"/>
      <c r="F135" s="37"/>
      <c r="G135" s="37"/>
      <c r="H135" s="37"/>
      <c r="I135" s="37"/>
      <c r="J135" s="37"/>
      <c r="K135" s="37"/>
      <c r="L135" s="37"/>
      <c r="M135" s="43"/>
      <c r="N135" s="43"/>
      <c r="O135" s="43"/>
      <c r="P135" s="37"/>
      <c r="Q135" s="37"/>
      <c r="R135" s="37"/>
      <c r="S135" s="43"/>
      <c r="T135" s="43"/>
      <c r="U135" s="43"/>
      <c r="V135" s="37"/>
      <c r="W135" s="37"/>
      <c r="X135" s="43"/>
      <c r="Y135" s="6"/>
      <c r="Z135" s="6"/>
      <c r="AA135" s="6"/>
      <c r="AB135" s="6"/>
    </row>
    <row r="136" spans="1:29" ht="19.899999999999999" thickBot="1" x14ac:dyDescent="0.65">
      <c r="A136" s="3"/>
      <c r="C136" s="24" t="s">
        <v>26</v>
      </c>
      <c r="D136" s="40">
        <f>IF(D130="U",D137*2,D137)</f>
        <v>0</v>
      </c>
      <c r="E136" s="40">
        <f t="shared" ref="E136:AC136" si="82">IF(E130="U",E137*2,E137)</f>
        <v>0</v>
      </c>
      <c r="F136" s="40">
        <f t="shared" si="82"/>
        <v>0</v>
      </c>
      <c r="G136" s="40">
        <f t="shared" si="82"/>
        <v>0</v>
      </c>
      <c r="H136" s="40">
        <f t="shared" si="82"/>
        <v>0</v>
      </c>
      <c r="I136" s="40">
        <f t="shared" si="82"/>
        <v>0</v>
      </c>
      <c r="J136" s="40">
        <f t="shared" si="82"/>
        <v>0</v>
      </c>
      <c r="K136" s="40">
        <f t="shared" si="82"/>
        <v>0</v>
      </c>
      <c r="L136" s="40">
        <f t="shared" si="82"/>
        <v>0</v>
      </c>
      <c r="M136" s="40">
        <f t="shared" si="82"/>
        <v>0</v>
      </c>
      <c r="N136" s="40">
        <f t="shared" si="82"/>
        <v>0</v>
      </c>
      <c r="O136" s="40">
        <f t="shared" si="82"/>
        <v>0</v>
      </c>
      <c r="P136" s="40">
        <f t="shared" si="82"/>
        <v>0</v>
      </c>
      <c r="Q136" s="40">
        <f t="shared" si="82"/>
        <v>0</v>
      </c>
      <c r="R136" s="40">
        <f t="shared" si="82"/>
        <v>0</v>
      </c>
      <c r="S136" s="40">
        <f t="shared" si="82"/>
        <v>0</v>
      </c>
      <c r="T136" s="40">
        <f t="shared" si="82"/>
        <v>0</v>
      </c>
      <c r="U136" s="40">
        <f t="shared" si="82"/>
        <v>0</v>
      </c>
      <c r="V136" s="40">
        <f t="shared" si="82"/>
        <v>0</v>
      </c>
      <c r="W136" s="40">
        <f t="shared" si="82"/>
        <v>0</v>
      </c>
      <c r="X136" s="40">
        <f t="shared" si="82"/>
        <v>0</v>
      </c>
      <c r="Y136" s="40">
        <f t="shared" si="82"/>
        <v>0</v>
      </c>
      <c r="Z136" s="40">
        <f t="shared" si="82"/>
        <v>0</v>
      </c>
      <c r="AA136" s="40">
        <f t="shared" si="82"/>
        <v>0</v>
      </c>
      <c r="AB136" s="40">
        <f t="shared" si="82"/>
        <v>0</v>
      </c>
      <c r="AC136" s="40">
        <f t="shared" si="82"/>
        <v>0</v>
      </c>
    </row>
    <row r="137" spans="1:29" ht="19.5" x14ac:dyDescent="0.6">
      <c r="A137" s="3"/>
      <c r="C137" s="26"/>
      <c r="D137" s="27">
        <f>SUM(D133:D135)</f>
        <v>0</v>
      </c>
      <c r="E137" s="27">
        <f t="shared" ref="E137:AC137" si="83">SUM(E133:E135)</f>
        <v>0</v>
      </c>
      <c r="F137" s="27">
        <f t="shared" si="83"/>
        <v>0</v>
      </c>
      <c r="G137" s="27">
        <f t="shared" si="83"/>
        <v>0</v>
      </c>
      <c r="H137" s="27">
        <f t="shared" si="83"/>
        <v>0</v>
      </c>
      <c r="I137" s="27">
        <f t="shared" si="83"/>
        <v>0</v>
      </c>
      <c r="J137" s="27">
        <f t="shared" si="83"/>
        <v>0</v>
      </c>
      <c r="K137" s="27">
        <f t="shared" si="83"/>
        <v>0</v>
      </c>
      <c r="L137" s="27">
        <f t="shared" si="83"/>
        <v>0</v>
      </c>
      <c r="M137" s="27">
        <f t="shared" si="83"/>
        <v>0</v>
      </c>
      <c r="N137" s="27">
        <f t="shared" si="83"/>
        <v>0</v>
      </c>
      <c r="O137" s="27">
        <f t="shared" si="83"/>
        <v>0</v>
      </c>
      <c r="P137" s="27">
        <f t="shared" si="83"/>
        <v>0</v>
      </c>
      <c r="Q137" s="27">
        <f t="shared" si="83"/>
        <v>0</v>
      </c>
      <c r="R137" s="27">
        <f t="shared" si="83"/>
        <v>0</v>
      </c>
      <c r="S137" s="27">
        <f t="shared" si="83"/>
        <v>0</v>
      </c>
      <c r="T137" s="27">
        <f t="shared" si="83"/>
        <v>0</v>
      </c>
      <c r="U137" s="27">
        <f t="shared" si="83"/>
        <v>0</v>
      </c>
      <c r="V137" s="27">
        <f t="shared" si="83"/>
        <v>0</v>
      </c>
      <c r="W137" s="27">
        <f t="shared" si="83"/>
        <v>0</v>
      </c>
      <c r="X137" s="27">
        <f t="shared" si="83"/>
        <v>0</v>
      </c>
      <c r="Y137" s="27">
        <f t="shared" si="83"/>
        <v>0</v>
      </c>
      <c r="Z137" s="27">
        <f t="shared" si="83"/>
        <v>0</v>
      </c>
      <c r="AA137" s="27">
        <f t="shared" si="83"/>
        <v>0</v>
      </c>
      <c r="AB137" s="27">
        <f t="shared" si="83"/>
        <v>0</v>
      </c>
      <c r="AC137" s="27">
        <f t="shared" si="83"/>
        <v>0</v>
      </c>
    </row>
    <row r="138" spans="1:29" ht="19.899999999999999" thickBot="1" x14ac:dyDescent="0.65">
      <c r="A138" s="3"/>
      <c r="C138" s="28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8"/>
    </row>
    <row r="139" spans="1:29" ht="19.5" x14ac:dyDescent="0.6">
      <c r="A139" s="3"/>
      <c r="C139" s="30" t="s">
        <v>27</v>
      </c>
      <c r="D139" s="20"/>
      <c r="E139" s="20"/>
      <c r="F139" s="20"/>
      <c r="G139" s="20"/>
      <c r="H139" s="20"/>
      <c r="I139" s="20"/>
      <c r="J139" s="20"/>
      <c r="K139" s="20"/>
      <c r="L139" s="20"/>
      <c r="M139" s="41"/>
      <c r="N139" s="41"/>
      <c r="O139" s="41"/>
      <c r="P139" s="20"/>
      <c r="Q139" s="20"/>
      <c r="R139" s="20"/>
      <c r="S139" s="41"/>
      <c r="T139" s="41"/>
      <c r="U139" s="41"/>
      <c r="V139" s="20"/>
      <c r="W139" s="20"/>
      <c r="X139" s="21"/>
      <c r="Y139" s="5"/>
      <c r="Z139" s="5"/>
      <c r="AA139" s="5"/>
      <c r="AB139" s="5"/>
    </row>
    <row r="140" spans="1:29" ht="19.5" x14ac:dyDescent="0.6">
      <c r="A140" s="3"/>
      <c r="C140" s="22" t="s">
        <v>24</v>
      </c>
      <c r="D140" s="37"/>
      <c r="E140" s="37"/>
      <c r="F140" s="37"/>
      <c r="G140" s="37"/>
      <c r="H140" s="37"/>
      <c r="I140" s="37"/>
      <c r="J140" s="37"/>
      <c r="K140" s="37"/>
      <c r="L140" s="37"/>
      <c r="M140" s="43"/>
      <c r="N140" s="43"/>
      <c r="O140" s="43"/>
      <c r="P140" s="37"/>
      <c r="Q140" s="37"/>
      <c r="R140" s="37"/>
      <c r="S140" s="43"/>
      <c r="T140" s="43"/>
      <c r="U140" s="43"/>
      <c r="V140" s="37"/>
      <c r="W140" s="37"/>
      <c r="X140" s="38"/>
      <c r="Y140" s="6"/>
      <c r="Z140" s="6"/>
      <c r="AA140" s="6"/>
      <c r="AB140" s="6"/>
    </row>
    <row r="141" spans="1:29" ht="19.5" x14ac:dyDescent="0.6">
      <c r="A141" s="3"/>
      <c r="C141" s="22" t="s">
        <v>25</v>
      </c>
      <c r="D141" s="37"/>
      <c r="E141" s="37"/>
      <c r="F141" s="37"/>
      <c r="G141" s="37"/>
      <c r="H141" s="37"/>
      <c r="I141" s="37"/>
      <c r="J141" s="37"/>
      <c r="K141" s="37"/>
      <c r="L141" s="37"/>
      <c r="M141" s="43"/>
      <c r="N141" s="43"/>
      <c r="O141" s="43"/>
      <c r="P141" s="37"/>
      <c r="Q141" s="37"/>
      <c r="R141" s="37"/>
      <c r="S141" s="43"/>
      <c r="T141" s="43"/>
      <c r="U141" s="43"/>
      <c r="V141" s="37"/>
      <c r="W141" s="37"/>
      <c r="X141" s="38"/>
      <c r="Y141" s="6"/>
      <c r="Z141" s="6"/>
      <c r="AA141" s="6"/>
      <c r="AB141" s="6"/>
    </row>
    <row r="142" spans="1:29" ht="19.899999999999999" thickBot="1" x14ac:dyDescent="0.65">
      <c r="A142" s="3"/>
      <c r="C142" s="24" t="s">
        <v>28</v>
      </c>
      <c r="D142" s="40">
        <f>IF(D130="U",D143*2,D143)</f>
        <v>0</v>
      </c>
      <c r="E142" s="40">
        <f t="shared" ref="E142:Z142" si="84">IF(E130="U",E143*2,E143)</f>
        <v>0</v>
      </c>
      <c r="F142" s="40">
        <f t="shared" si="84"/>
        <v>0</v>
      </c>
      <c r="G142" s="40">
        <f t="shared" si="84"/>
        <v>0</v>
      </c>
      <c r="H142" s="40">
        <f t="shared" si="84"/>
        <v>0</v>
      </c>
      <c r="I142" s="40">
        <f t="shared" si="84"/>
        <v>0</v>
      </c>
      <c r="J142" s="40">
        <f t="shared" si="84"/>
        <v>0</v>
      </c>
      <c r="K142" s="40">
        <f t="shared" si="84"/>
        <v>0</v>
      </c>
      <c r="L142" s="40">
        <f t="shared" si="84"/>
        <v>0</v>
      </c>
      <c r="M142" s="40">
        <f t="shared" si="84"/>
        <v>0</v>
      </c>
      <c r="N142" s="40">
        <f t="shared" si="84"/>
        <v>0</v>
      </c>
      <c r="O142" s="40">
        <f t="shared" si="84"/>
        <v>0</v>
      </c>
      <c r="P142" s="40">
        <f t="shared" si="84"/>
        <v>0</v>
      </c>
      <c r="Q142" s="40">
        <f t="shared" si="84"/>
        <v>0</v>
      </c>
      <c r="R142" s="40">
        <f t="shared" si="84"/>
        <v>0</v>
      </c>
      <c r="S142" s="40">
        <f t="shared" si="84"/>
        <v>0</v>
      </c>
      <c r="T142" s="40">
        <f t="shared" si="84"/>
        <v>0</v>
      </c>
      <c r="U142" s="40">
        <f t="shared" si="84"/>
        <v>0</v>
      </c>
      <c r="V142" s="40">
        <f t="shared" si="84"/>
        <v>0</v>
      </c>
      <c r="W142" s="40">
        <f t="shared" si="84"/>
        <v>0</v>
      </c>
      <c r="X142" s="40">
        <f t="shared" si="84"/>
        <v>0</v>
      </c>
      <c r="Y142" s="40">
        <f t="shared" si="84"/>
        <v>0</v>
      </c>
      <c r="Z142" s="40">
        <f t="shared" si="84"/>
        <v>0</v>
      </c>
      <c r="AA142" s="7">
        <f>+SUM(AA140:AA141)</f>
        <v>0</v>
      </c>
      <c r="AB142" s="7">
        <f>+SUM(AB140:AB141)</f>
        <v>0</v>
      </c>
    </row>
    <row r="143" spans="1:29" ht="19.5" x14ac:dyDescent="0.6">
      <c r="A143" s="3"/>
      <c r="C143" s="26"/>
      <c r="D143" s="27">
        <f>SUM(D140:D141)</f>
        <v>0</v>
      </c>
      <c r="E143" s="27">
        <f t="shared" ref="E143:Z143" si="85">SUM(E140:E141)</f>
        <v>0</v>
      </c>
      <c r="F143" s="27">
        <f t="shared" si="85"/>
        <v>0</v>
      </c>
      <c r="G143" s="27">
        <f t="shared" si="85"/>
        <v>0</v>
      </c>
      <c r="H143" s="27">
        <f t="shared" si="85"/>
        <v>0</v>
      </c>
      <c r="I143" s="27">
        <f t="shared" si="85"/>
        <v>0</v>
      </c>
      <c r="J143" s="27">
        <f t="shared" si="85"/>
        <v>0</v>
      </c>
      <c r="K143" s="27">
        <f t="shared" si="85"/>
        <v>0</v>
      </c>
      <c r="L143" s="27">
        <f t="shared" si="85"/>
        <v>0</v>
      </c>
      <c r="M143" s="27">
        <f t="shared" si="85"/>
        <v>0</v>
      </c>
      <c r="N143" s="27">
        <f t="shared" si="85"/>
        <v>0</v>
      </c>
      <c r="O143" s="27">
        <f t="shared" si="85"/>
        <v>0</v>
      </c>
      <c r="P143" s="27">
        <f t="shared" si="85"/>
        <v>0</v>
      </c>
      <c r="Q143" s="27">
        <f t="shared" si="85"/>
        <v>0</v>
      </c>
      <c r="R143" s="27">
        <f t="shared" si="85"/>
        <v>0</v>
      </c>
      <c r="S143" s="27">
        <f t="shared" si="85"/>
        <v>0</v>
      </c>
      <c r="T143" s="27">
        <f t="shared" si="85"/>
        <v>0</v>
      </c>
      <c r="U143" s="27">
        <f t="shared" si="85"/>
        <v>0</v>
      </c>
      <c r="V143" s="27">
        <f t="shared" si="85"/>
        <v>0</v>
      </c>
      <c r="W143" s="27">
        <f t="shared" si="85"/>
        <v>0</v>
      </c>
      <c r="X143" s="27">
        <f t="shared" si="85"/>
        <v>0</v>
      </c>
      <c r="Y143" s="27">
        <f t="shared" si="85"/>
        <v>0</v>
      </c>
      <c r="Z143" s="27">
        <f t="shared" si="85"/>
        <v>0</v>
      </c>
      <c r="AA143" s="12"/>
      <c r="AB143" s="12"/>
    </row>
    <row r="144" spans="1:29" ht="19.899999999999999" thickBot="1" x14ac:dyDescent="0.65">
      <c r="A144" s="3"/>
      <c r="C144" s="28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8"/>
    </row>
    <row r="145" spans="1:28" ht="19.5" x14ac:dyDescent="0.6">
      <c r="A145" s="3"/>
      <c r="C145" s="30" t="s">
        <v>29</v>
      </c>
      <c r="D145" s="20"/>
      <c r="E145" s="20"/>
      <c r="F145" s="20"/>
      <c r="G145" s="20"/>
      <c r="H145" s="20"/>
      <c r="I145" s="20"/>
      <c r="J145" s="20"/>
      <c r="K145" s="20"/>
      <c r="L145" s="20"/>
      <c r="M145" s="41"/>
      <c r="N145" s="20"/>
      <c r="O145" s="20"/>
      <c r="P145" s="20"/>
      <c r="Q145" s="20"/>
      <c r="R145" s="20"/>
      <c r="S145" s="41"/>
      <c r="T145" s="41"/>
      <c r="U145" s="41"/>
      <c r="V145" s="20"/>
      <c r="W145" s="20"/>
      <c r="X145" s="21"/>
      <c r="Y145" s="5"/>
      <c r="Z145" s="5"/>
      <c r="AA145" s="5"/>
      <c r="AB145" s="5"/>
    </row>
    <row r="146" spans="1:28" ht="19.5" x14ac:dyDescent="0.6">
      <c r="A146" s="3"/>
      <c r="C146" s="22" t="s">
        <v>25</v>
      </c>
      <c r="D146" s="39"/>
      <c r="E146" s="39"/>
      <c r="F146" s="39"/>
      <c r="G146" s="39"/>
      <c r="H146" s="39"/>
      <c r="I146" s="39"/>
      <c r="J146" s="39"/>
      <c r="K146" s="39"/>
      <c r="L146" s="39"/>
      <c r="M146" s="44"/>
      <c r="N146" s="39"/>
      <c r="O146" s="39"/>
      <c r="P146" s="39"/>
      <c r="Q146" s="39"/>
      <c r="R146" s="39"/>
      <c r="S146" s="44"/>
      <c r="T146" s="44"/>
      <c r="U146" s="44"/>
      <c r="V146" s="39"/>
      <c r="W146" s="39"/>
      <c r="X146" s="38"/>
      <c r="Y146" s="6"/>
      <c r="Z146" s="6"/>
      <c r="AA146" s="6"/>
      <c r="AB146" s="6"/>
    </row>
    <row r="147" spans="1:28" ht="19.899999999999999" thickBot="1" x14ac:dyDescent="0.65">
      <c r="A147" s="3"/>
      <c r="C147" s="24" t="s">
        <v>30</v>
      </c>
      <c r="D147" s="40">
        <f>IF(D130="U",D148*2,D148)</f>
        <v>0</v>
      </c>
      <c r="E147" s="40">
        <f t="shared" ref="E147:Z147" si="86">IF(E130="U",E148*2,E148)</f>
        <v>0</v>
      </c>
      <c r="F147" s="40">
        <f t="shared" si="86"/>
        <v>0</v>
      </c>
      <c r="G147" s="40">
        <f t="shared" si="86"/>
        <v>0</v>
      </c>
      <c r="H147" s="40">
        <f t="shared" si="86"/>
        <v>0</v>
      </c>
      <c r="I147" s="40">
        <f t="shared" si="86"/>
        <v>0</v>
      </c>
      <c r="J147" s="40">
        <f t="shared" si="86"/>
        <v>0</v>
      </c>
      <c r="K147" s="40">
        <f t="shared" si="86"/>
        <v>0</v>
      </c>
      <c r="L147" s="40">
        <f t="shared" si="86"/>
        <v>0</v>
      </c>
      <c r="M147" s="40">
        <f t="shared" si="86"/>
        <v>0</v>
      </c>
      <c r="N147" s="40">
        <f t="shared" si="86"/>
        <v>0</v>
      </c>
      <c r="O147" s="40">
        <f t="shared" si="86"/>
        <v>0</v>
      </c>
      <c r="P147" s="40">
        <f t="shared" si="86"/>
        <v>0</v>
      </c>
      <c r="Q147" s="40">
        <f t="shared" si="86"/>
        <v>0</v>
      </c>
      <c r="R147" s="40">
        <f t="shared" si="86"/>
        <v>0</v>
      </c>
      <c r="S147" s="40">
        <f t="shared" si="86"/>
        <v>0</v>
      </c>
      <c r="T147" s="40">
        <f t="shared" si="86"/>
        <v>0</v>
      </c>
      <c r="U147" s="40">
        <f t="shared" si="86"/>
        <v>0</v>
      </c>
      <c r="V147" s="40">
        <f t="shared" si="86"/>
        <v>0</v>
      </c>
      <c r="W147" s="40">
        <f t="shared" si="86"/>
        <v>0</v>
      </c>
      <c r="X147" s="40">
        <f t="shared" si="86"/>
        <v>0</v>
      </c>
      <c r="Y147" s="40">
        <f t="shared" si="86"/>
        <v>0</v>
      </c>
      <c r="Z147" s="40">
        <f t="shared" si="86"/>
        <v>0</v>
      </c>
      <c r="AA147" s="7">
        <f>+SUM(AA146)</f>
        <v>0</v>
      </c>
      <c r="AB147" s="7">
        <f>+SUM(AB146)</f>
        <v>0</v>
      </c>
    </row>
    <row r="148" spans="1:28" ht="19.5" x14ac:dyDescent="0.6">
      <c r="A148" s="3"/>
      <c r="C148" s="26"/>
      <c r="D148" s="27">
        <f>D146</f>
        <v>0</v>
      </c>
      <c r="E148" s="27">
        <f t="shared" ref="E148:Z148" si="87">E146</f>
        <v>0</v>
      </c>
      <c r="F148" s="27">
        <f t="shared" si="87"/>
        <v>0</v>
      </c>
      <c r="G148" s="27">
        <f t="shared" si="87"/>
        <v>0</v>
      </c>
      <c r="H148" s="27">
        <f t="shared" si="87"/>
        <v>0</v>
      </c>
      <c r="I148" s="27">
        <f t="shared" si="87"/>
        <v>0</v>
      </c>
      <c r="J148" s="27">
        <f t="shared" si="87"/>
        <v>0</v>
      </c>
      <c r="K148" s="27">
        <f t="shared" si="87"/>
        <v>0</v>
      </c>
      <c r="L148" s="27">
        <f t="shared" si="87"/>
        <v>0</v>
      </c>
      <c r="M148" s="27">
        <f t="shared" si="87"/>
        <v>0</v>
      </c>
      <c r="N148" s="27">
        <f t="shared" si="87"/>
        <v>0</v>
      </c>
      <c r="O148" s="27">
        <f t="shared" si="87"/>
        <v>0</v>
      </c>
      <c r="P148" s="27">
        <f t="shared" si="87"/>
        <v>0</v>
      </c>
      <c r="Q148" s="27">
        <f t="shared" si="87"/>
        <v>0</v>
      </c>
      <c r="R148" s="27">
        <f t="shared" si="87"/>
        <v>0</v>
      </c>
      <c r="S148" s="27">
        <f t="shared" si="87"/>
        <v>0</v>
      </c>
      <c r="T148" s="27">
        <f t="shared" si="87"/>
        <v>0</v>
      </c>
      <c r="U148" s="27">
        <f t="shared" si="87"/>
        <v>0</v>
      </c>
      <c r="V148" s="27">
        <f t="shared" si="87"/>
        <v>0</v>
      </c>
      <c r="W148" s="27">
        <f t="shared" si="87"/>
        <v>0</v>
      </c>
      <c r="X148" s="27">
        <f t="shared" si="87"/>
        <v>0</v>
      </c>
      <c r="Y148" s="27">
        <f t="shared" si="87"/>
        <v>0</v>
      </c>
      <c r="Z148" s="27">
        <f t="shared" si="87"/>
        <v>0</v>
      </c>
      <c r="AA148" s="12"/>
      <c r="AB148" s="12"/>
    </row>
    <row r="149" spans="1:28" ht="19.899999999999999" thickBot="1" x14ac:dyDescent="0.65">
      <c r="A149" s="3"/>
      <c r="C149" s="28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8"/>
    </row>
    <row r="150" spans="1:28" ht="19.5" x14ac:dyDescent="0.6">
      <c r="A150" s="3"/>
      <c r="C150" s="31" t="s">
        <v>31</v>
      </c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3"/>
      <c r="Y150" s="5"/>
      <c r="Z150" s="5"/>
      <c r="AA150" s="5"/>
      <c r="AB150" s="5"/>
    </row>
    <row r="151" spans="1:28" ht="19.5" x14ac:dyDescent="0.6">
      <c r="A151" s="3"/>
      <c r="C151" s="34" t="s">
        <v>32</v>
      </c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23"/>
      <c r="Y151" s="6"/>
      <c r="Z151" s="6"/>
      <c r="AA151" s="6"/>
      <c r="AB151" s="6"/>
    </row>
    <row r="152" spans="1:28" ht="19.5" x14ac:dyDescent="0.6">
      <c r="A152" s="3"/>
      <c r="C152" s="34" t="s">
        <v>33</v>
      </c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25"/>
      <c r="R152" s="36"/>
      <c r="S152" s="23"/>
      <c r="T152" s="36"/>
      <c r="U152" s="36"/>
      <c r="V152" s="36"/>
      <c r="W152" s="36"/>
      <c r="X152" s="23"/>
      <c r="Y152" s="6"/>
      <c r="Z152" s="6"/>
      <c r="AA152" s="6"/>
      <c r="AB152" s="6"/>
    </row>
    <row r="153" spans="1:28" ht="19.5" x14ac:dyDescent="0.6">
      <c r="A153" s="3"/>
      <c r="C153" s="34" t="s">
        <v>34</v>
      </c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8"/>
      <c r="Z153" s="8"/>
      <c r="AA153" s="8"/>
      <c r="AB153" s="8"/>
    </row>
    <row r="154" spans="1:28" ht="19.5" x14ac:dyDescent="0.6">
      <c r="A154" s="3"/>
      <c r="C154" s="34" t="s">
        <v>35</v>
      </c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8"/>
      <c r="Z154" s="8"/>
      <c r="AA154" s="8"/>
      <c r="AB154" s="8"/>
    </row>
    <row r="155" spans="1:28" ht="19.5" x14ac:dyDescent="0.6">
      <c r="A155" s="3"/>
      <c r="C155" s="34" t="s">
        <v>36</v>
      </c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8"/>
      <c r="Z155" s="8"/>
      <c r="AA155" s="8"/>
      <c r="AB155" s="8"/>
    </row>
    <row r="156" spans="1:28" x14ac:dyDescent="0.4">
      <c r="A156" s="3"/>
    </row>
  </sheetData>
  <sortState xmlns:xlrd2="http://schemas.microsoft.com/office/spreadsheetml/2017/richdata2" ref="BD4:BF18">
    <sortCondition descending="1" ref="BF3"/>
    <sortCondition descending="1" ref="BD3"/>
  </sortState>
  <mergeCells count="246">
    <mergeCell ref="BB2:BG2"/>
    <mergeCell ref="A125:A126"/>
    <mergeCell ref="B125:B126"/>
    <mergeCell ref="C125:C126"/>
    <mergeCell ref="AC125:AC126"/>
    <mergeCell ref="A127:A128"/>
    <mergeCell ref="B127:B128"/>
    <mergeCell ref="C127:C128"/>
    <mergeCell ref="AC127:AC128"/>
    <mergeCell ref="A121:A122"/>
    <mergeCell ref="B121:B122"/>
    <mergeCell ref="C121:C122"/>
    <mergeCell ref="AC121:AC122"/>
    <mergeCell ref="A123:A124"/>
    <mergeCell ref="B123:B124"/>
    <mergeCell ref="C123:C124"/>
    <mergeCell ref="AC123:AC124"/>
    <mergeCell ref="A117:A118"/>
    <mergeCell ref="B117:B118"/>
    <mergeCell ref="C117:C118"/>
    <mergeCell ref="AC117:AC118"/>
    <mergeCell ref="A119:A120"/>
    <mergeCell ref="B119:B120"/>
    <mergeCell ref="C119:C120"/>
    <mergeCell ref="AC119:AC120"/>
    <mergeCell ref="A113:A114"/>
    <mergeCell ref="B113:B114"/>
    <mergeCell ref="C113:C114"/>
    <mergeCell ref="AC113:AC114"/>
    <mergeCell ref="A115:A116"/>
    <mergeCell ref="B115:B116"/>
    <mergeCell ref="C115:C116"/>
    <mergeCell ref="AC115:AC116"/>
    <mergeCell ref="A109:A110"/>
    <mergeCell ref="B109:B110"/>
    <mergeCell ref="C109:C110"/>
    <mergeCell ref="AC109:AC110"/>
    <mergeCell ref="A111:A112"/>
    <mergeCell ref="B111:B112"/>
    <mergeCell ref="C111:C112"/>
    <mergeCell ref="AC111:AC112"/>
    <mergeCell ref="A105:A106"/>
    <mergeCell ref="B105:B106"/>
    <mergeCell ref="C105:C106"/>
    <mergeCell ref="AC105:AC106"/>
    <mergeCell ref="A107:A108"/>
    <mergeCell ref="B107:B108"/>
    <mergeCell ref="C107:C108"/>
    <mergeCell ref="AC107:AC108"/>
    <mergeCell ref="A101:A102"/>
    <mergeCell ref="B101:B102"/>
    <mergeCell ref="C101:C102"/>
    <mergeCell ref="AC101:AC102"/>
    <mergeCell ref="A103:A104"/>
    <mergeCell ref="B103:B104"/>
    <mergeCell ref="C103:C104"/>
    <mergeCell ref="AC103:AC104"/>
    <mergeCell ref="A97:A98"/>
    <mergeCell ref="B97:B98"/>
    <mergeCell ref="C97:C98"/>
    <mergeCell ref="AC97:AC98"/>
    <mergeCell ref="A99:A100"/>
    <mergeCell ref="B99:B100"/>
    <mergeCell ref="C99:C100"/>
    <mergeCell ref="AC99:AC100"/>
    <mergeCell ref="A93:A94"/>
    <mergeCell ref="B93:B94"/>
    <mergeCell ref="C93:C94"/>
    <mergeCell ref="AC93:AC94"/>
    <mergeCell ref="A95:A96"/>
    <mergeCell ref="B95:B96"/>
    <mergeCell ref="C95:C96"/>
    <mergeCell ref="AC95:AC96"/>
    <mergeCell ref="A89:A90"/>
    <mergeCell ref="B89:B90"/>
    <mergeCell ref="C89:C90"/>
    <mergeCell ref="AC89:AC90"/>
    <mergeCell ref="A91:A92"/>
    <mergeCell ref="B91:B92"/>
    <mergeCell ref="C91:C92"/>
    <mergeCell ref="AC91:AC92"/>
    <mergeCell ref="A85:A86"/>
    <mergeCell ref="B85:B86"/>
    <mergeCell ref="C85:C86"/>
    <mergeCell ref="AC85:AC86"/>
    <mergeCell ref="A87:A88"/>
    <mergeCell ref="B87:B88"/>
    <mergeCell ref="C87:C88"/>
    <mergeCell ref="AC87:AC88"/>
    <mergeCell ref="A81:A82"/>
    <mergeCell ref="B81:B82"/>
    <mergeCell ref="C81:C82"/>
    <mergeCell ref="AC81:AC82"/>
    <mergeCell ref="A83:A84"/>
    <mergeCell ref="B83:B84"/>
    <mergeCell ref="C83:C84"/>
    <mergeCell ref="AC83:AC84"/>
    <mergeCell ref="A77:A78"/>
    <mergeCell ref="B77:B78"/>
    <mergeCell ref="C77:C78"/>
    <mergeCell ref="AC77:AC78"/>
    <mergeCell ref="A79:A80"/>
    <mergeCell ref="B79:B80"/>
    <mergeCell ref="C79:C80"/>
    <mergeCell ref="AC79:AC80"/>
    <mergeCell ref="A73:A74"/>
    <mergeCell ref="B73:B74"/>
    <mergeCell ref="C73:C74"/>
    <mergeCell ref="AC73:AC74"/>
    <mergeCell ref="A75:A76"/>
    <mergeCell ref="B75:B76"/>
    <mergeCell ref="C75:C76"/>
    <mergeCell ref="AC75:AC76"/>
    <mergeCell ref="A67:A68"/>
    <mergeCell ref="B67:B68"/>
    <mergeCell ref="C67:C68"/>
    <mergeCell ref="AC67:AC68"/>
    <mergeCell ref="A69:AC71"/>
    <mergeCell ref="AE72:AH72"/>
    <mergeCell ref="A63:A64"/>
    <mergeCell ref="B63:B64"/>
    <mergeCell ref="C63:C64"/>
    <mergeCell ref="AC63:AC64"/>
    <mergeCell ref="A65:A66"/>
    <mergeCell ref="B65:B66"/>
    <mergeCell ref="C65:C66"/>
    <mergeCell ref="AC65:AC66"/>
    <mergeCell ref="A59:A60"/>
    <mergeCell ref="B59:B60"/>
    <mergeCell ref="C59:C60"/>
    <mergeCell ref="AC59:AC60"/>
    <mergeCell ref="A61:A62"/>
    <mergeCell ref="B61:B62"/>
    <mergeCell ref="C61:C62"/>
    <mergeCell ref="AC61:AC62"/>
    <mergeCell ref="A55:A56"/>
    <mergeCell ref="B55:B56"/>
    <mergeCell ref="C55:C56"/>
    <mergeCell ref="AC55:AC56"/>
    <mergeCell ref="A57:A58"/>
    <mergeCell ref="B57:B58"/>
    <mergeCell ref="C57:C58"/>
    <mergeCell ref="AC57:AC58"/>
    <mergeCell ref="A51:A52"/>
    <mergeCell ref="B51:B52"/>
    <mergeCell ref="C51:C52"/>
    <mergeCell ref="AC51:AC52"/>
    <mergeCell ref="A53:A54"/>
    <mergeCell ref="B53:B54"/>
    <mergeCell ref="C53:C54"/>
    <mergeCell ref="AC53:AC54"/>
    <mergeCell ref="A47:A48"/>
    <mergeCell ref="B47:B48"/>
    <mergeCell ref="C47:C48"/>
    <mergeCell ref="AC47:AC48"/>
    <mergeCell ref="A49:A50"/>
    <mergeCell ref="B49:B50"/>
    <mergeCell ref="C49:C50"/>
    <mergeCell ref="AC49:AC50"/>
    <mergeCell ref="A43:A44"/>
    <mergeCell ref="B43:B44"/>
    <mergeCell ref="C43:C44"/>
    <mergeCell ref="AC43:AC44"/>
    <mergeCell ref="A45:A46"/>
    <mergeCell ref="B45:B46"/>
    <mergeCell ref="C45:C46"/>
    <mergeCell ref="AC45:AC46"/>
    <mergeCell ref="A39:A40"/>
    <mergeCell ref="B39:B40"/>
    <mergeCell ref="C39:C40"/>
    <mergeCell ref="AC39:AC40"/>
    <mergeCell ref="A41:A42"/>
    <mergeCell ref="B41:B42"/>
    <mergeCell ref="C41:C42"/>
    <mergeCell ref="AC41:AC42"/>
    <mergeCell ref="A35:A36"/>
    <mergeCell ref="B35:B36"/>
    <mergeCell ref="C35:C36"/>
    <mergeCell ref="AC35:AC36"/>
    <mergeCell ref="A37:A38"/>
    <mergeCell ref="B37:B38"/>
    <mergeCell ref="C37:C38"/>
    <mergeCell ref="AC37:AC38"/>
    <mergeCell ref="A31:A32"/>
    <mergeCell ref="B31:B32"/>
    <mergeCell ref="C31:C32"/>
    <mergeCell ref="AC31:AC32"/>
    <mergeCell ref="A33:A34"/>
    <mergeCell ref="B33:B34"/>
    <mergeCell ref="C33:C34"/>
    <mergeCell ref="AC33:AC34"/>
    <mergeCell ref="A27:A28"/>
    <mergeCell ref="B27:B28"/>
    <mergeCell ref="C27:C28"/>
    <mergeCell ref="AC27:AC28"/>
    <mergeCell ref="A29:A30"/>
    <mergeCell ref="B29:B30"/>
    <mergeCell ref="C29:C30"/>
    <mergeCell ref="AC29:AC30"/>
    <mergeCell ref="A23:A24"/>
    <mergeCell ref="B23:B24"/>
    <mergeCell ref="C23:C24"/>
    <mergeCell ref="AC23:AC24"/>
    <mergeCell ref="A25:A26"/>
    <mergeCell ref="B25:B26"/>
    <mergeCell ref="C25:C26"/>
    <mergeCell ref="AC25:AC26"/>
    <mergeCell ref="A19:A20"/>
    <mergeCell ref="B19:B20"/>
    <mergeCell ref="C19:C20"/>
    <mergeCell ref="AC19:AC20"/>
    <mergeCell ref="A21:A22"/>
    <mergeCell ref="B21:B22"/>
    <mergeCell ref="C21:C22"/>
    <mergeCell ref="AC21:AC22"/>
    <mergeCell ref="A15:A16"/>
    <mergeCell ref="B15:B16"/>
    <mergeCell ref="C15:C16"/>
    <mergeCell ref="AC15:AC16"/>
    <mergeCell ref="A17:A18"/>
    <mergeCell ref="B17:B18"/>
    <mergeCell ref="C17:C18"/>
    <mergeCell ref="AC17:AC18"/>
    <mergeCell ref="A13:A14"/>
    <mergeCell ref="B13:B14"/>
    <mergeCell ref="C13:C14"/>
    <mergeCell ref="AC13:AC14"/>
    <mergeCell ref="A7:A8"/>
    <mergeCell ref="B7:B8"/>
    <mergeCell ref="C7:C8"/>
    <mergeCell ref="AC7:AC8"/>
    <mergeCell ref="A9:A10"/>
    <mergeCell ref="B9:B10"/>
    <mergeCell ref="C9:C10"/>
    <mergeCell ref="AC9:AC10"/>
    <mergeCell ref="A1:AC3"/>
    <mergeCell ref="AE2:AH2"/>
    <mergeCell ref="AP2:AZ2"/>
    <mergeCell ref="A5:A6"/>
    <mergeCell ref="B5:B6"/>
    <mergeCell ref="C5:C6"/>
    <mergeCell ref="AC5:AC6"/>
    <mergeCell ref="A11:A12"/>
    <mergeCell ref="B11:B12"/>
    <mergeCell ref="C11:C12"/>
    <mergeCell ref="AC11:AC12"/>
  </mergeCells>
  <conditionalFormatting sqref="D6:AB6 D8:AB8 D10:AB10 D12:AB12 D14:AB14 D16:AB16 D18:AB18 D20:AB20 D22:AB22 D24:AB24 D26:AB26 D28:AB28 D30:AB30 D32:AB32 D34:AB34 D36:AB36 D38:AB38 D40:AB40 D42:AB42 D44:AB44 D46:AB46 D48:AB48 D50:AB50 D52:AB52 D58:AB58 D60:AB60 D62:AB62 D64:AB64 D66:AB66 D68:AB68 D74:AB74 D76:AB76 D78:AB78 D80:AB80 D82:AB82 D84:AB84 D86:AB86 D88:AB88 D90:AB90 D92:AB92 D94:AB94 D96:AB96 D98:AB98 D100:AB100 D102:AB102 D104:AB104 D106:AB106 D108:AB108 D110:AB110 D112:AB112 D114:AB114 D116:AB116 D118:AB118 D120:AB120 D122:AB122 D124:AB124 D126:AB126 D128:AB129">
    <cfRule type="cellIs" dxfId="4" priority="7" operator="greaterThan">
      <formula>0</formula>
    </cfRule>
  </conditionalFormatting>
  <conditionalFormatting sqref="AF4:AH31 BC4:BG31 AQ4:AZ31">
    <cfRule type="expression" dxfId="3" priority="5">
      <formula>AND(ROW()&gt;=4,ROW()&lt;=5)</formula>
    </cfRule>
    <cfRule type="expression" dxfId="2" priority="6">
      <formula>TRUE</formula>
    </cfRule>
  </conditionalFormatting>
  <conditionalFormatting sqref="AF74:AH101">
    <cfRule type="expression" dxfId="1" priority="3">
      <formula>AND(ROW()&gt;=74,ROW()&lt;=75)</formula>
    </cfRule>
    <cfRule type="expression" dxfId="0" priority="4">
      <formula>TRUE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Ordenar_Tres_TablasDomingo">
                <anchor moveWithCells="1" sizeWithCells="1">
                  <from>
                    <xdr:col>20</xdr:col>
                    <xdr:colOff>342900</xdr:colOff>
                    <xdr:row>0</xdr:row>
                    <xdr:rowOff>123825</xdr:rowOff>
                  </from>
                  <to>
                    <xdr:col>22</xdr:col>
                    <xdr:colOff>276225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Limpiar_Por_Rangos">
                <anchor moveWithCells="1" sizeWithCells="1">
                  <from>
                    <xdr:col>18</xdr:col>
                    <xdr:colOff>133350</xdr:colOff>
                    <xdr:row>0</xdr:row>
                    <xdr:rowOff>85725</xdr:rowOff>
                  </from>
                  <to>
                    <xdr:col>19</xdr:col>
                    <xdr:colOff>400050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/>
  <dimension ref="A1:AH50"/>
  <sheetViews>
    <sheetView zoomScale="80" zoomScaleNormal="80" workbookViewId="0">
      <selection activeCell="H18" sqref="H18"/>
    </sheetView>
  </sheetViews>
  <sheetFormatPr baseColWidth="10" defaultRowHeight="14.25" x14ac:dyDescent="0.45"/>
  <cols>
    <col min="3" max="3" width="17" bestFit="1" customWidth="1"/>
    <col min="4" max="4" width="5.59765625" bestFit="1" customWidth="1"/>
  </cols>
  <sheetData>
    <row r="1" spans="1:34" x14ac:dyDescent="0.45">
      <c r="A1" s="294" t="s">
        <v>44</v>
      </c>
      <c r="B1" s="295"/>
      <c r="C1" s="295"/>
      <c r="D1" s="295"/>
      <c r="F1" s="294" t="s">
        <v>45</v>
      </c>
      <c r="G1" s="295"/>
      <c r="H1" s="295"/>
      <c r="I1" s="295"/>
      <c r="K1" s="294" t="s">
        <v>46</v>
      </c>
      <c r="L1" s="295"/>
      <c r="M1" s="295"/>
      <c r="N1" s="295"/>
      <c r="P1" s="294" t="s">
        <v>47</v>
      </c>
      <c r="Q1" s="295"/>
      <c r="R1" s="295"/>
      <c r="S1" s="295"/>
      <c r="U1" s="294" t="s">
        <v>48</v>
      </c>
      <c r="V1" s="295"/>
      <c r="W1" s="295"/>
      <c r="X1" s="295"/>
      <c r="Z1" s="294" t="s">
        <v>49</v>
      </c>
      <c r="AA1" s="295"/>
      <c r="AB1" s="295"/>
      <c r="AC1" s="295"/>
      <c r="AE1" s="294" t="s">
        <v>50</v>
      </c>
      <c r="AF1" s="295"/>
      <c r="AG1" s="295"/>
      <c r="AH1" s="295"/>
    </row>
    <row r="2" spans="1:34" x14ac:dyDescent="0.45">
      <c r="A2" s="48" t="s">
        <v>21</v>
      </c>
      <c r="B2" s="48" t="s">
        <v>41</v>
      </c>
      <c r="C2" s="48" t="s">
        <v>42</v>
      </c>
      <c r="D2" s="48" t="s">
        <v>43</v>
      </c>
      <c r="F2" s="48" t="s">
        <v>21</v>
      </c>
      <c r="G2" s="48" t="s">
        <v>41</v>
      </c>
      <c r="H2" s="48" t="s">
        <v>42</v>
      </c>
      <c r="I2" s="48" t="s">
        <v>43</v>
      </c>
      <c r="K2" s="48" t="s">
        <v>21</v>
      </c>
      <c r="L2" s="48" t="s">
        <v>41</v>
      </c>
      <c r="M2" s="48" t="s">
        <v>42</v>
      </c>
      <c r="N2" s="48" t="s">
        <v>43</v>
      </c>
      <c r="P2" s="48" t="s">
        <v>21</v>
      </c>
      <c r="Q2" s="48" t="s">
        <v>41</v>
      </c>
      <c r="R2" s="48" t="s">
        <v>42</v>
      </c>
      <c r="S2" s="48" t="s">
        <v>43</v>
      </c>
      <c r="U2" s="48" t="s">
        <v>21</v>
      </c>
      <c r="V2" s="48" t="s">
        <v>41</v>
      </c>
      <c r="W2" s="48" t="s">
        <v>42</v>
      </c>
      <c r="X2" s="48" t="s">
        <v>43</v>
      </c>
      <c r="Z2" s="48" t="s">
        <v>21</v>
      </c>
      <c r="AA2" s="48" t="s">
        <v>41</v>
      </c>
      <c r="AB2" s="48" t="s">
        <v>42</v>
      </c>
      <c r="AC2" s="48" t="s">
        <v>43</v>
      </c>
      <c r="AE2" s="48" t="s">
        <v>21</v>
      </c>
      <c r="AF2" s="48" t="s">
        <v>41</v>
      </c>
      <c r="AG2" s="48" t="s">
        <v>42</v>
      </c>
      <c r="AH2" s="48" t="s">
        <v>43</v>
      </c>
    </row>
    <row r="3" spans="1:34" x14ac:dyDescent="0.45">
      <c r="A3">
        <v>1</v>
      </c>
      <c r="B3">
        <v>1</v>
      </c>
      <c r="C3" s="9" t="s">
        <v>130</v>
      </c>
      <c r="F3">
        <v>1</v>
      </c>
      <c r="G3">
        <v>1</v>
      </c>
      <c r="H3" s="9" t="s">
        <v>159</v>
      </c>
      <c r="K3">
        <v>1</v>
      </c>
      <c r="L3">
        <v>1</v>
      </c>
      <c r="M3" s="9" t="s">
        <v>78</v>
      </c>
      <c r="P3">
        <v>1</v>
      </c>
      <c r="Q3">
        <v>1</v>
      </c>
      <c r="U3">
        <v>1</v>
      </c>
      <c r="V3">
        <v>1</v>
      </c>
      <c r="W3" s="9" t="s">
        <v>91</v>
      </c>
      <c r="Z3">
        <v>1</v>
      </c>
      <c r="AA3">
        <v>1</v>
      </c>
      <c r="AE3">
        <v>1</v>
      </c>
      <c r="AF3">
        <v>1</v>
      </c>
    </row>
    <row r="4" spans="1:34" x14ac:dyDescent="0.45">
      <c r="A4">
        <v>1</v>
      </c>
      <c r="B4">
        <v>2</v>
      </c>
      <c r="C4" s="9" t="s">
        <v>131</v>
      </c>
      <c r="F4">
        <v>1</v>
      </c>
      <c r="G4">
        <v>2</v>
      </c>
      <c r="H4" s="9" t="s">
        <v>160</v>
      </c>
      <c r="K4">
        <v>1</v>
      </c>
      <c r="L4">
        <v>2</v>
      </c>
      <c r="M4" s="9" t="s">
        <v>79</v>
      </c>
      <c r="P4">
        <v>1</v>
      </c>
      <c r="Q4">
        <v>2</v>
      </c>
      <c r="U4">
        <v>1</v>
      </c>
      <c r="V4">
        <v>2</v>
      </c>
      <c r="W4" s="9" t="s">
        <v>92</v>
      </c>
      <c r="Z4">
        <v>1</v>
      </c>
      <c r="AA4">
        <v>2</v>
      </c>
      <c r="AE4">
        <v>1</v>
      </c>
      <c r="AF4">
        <v>2</v>
      </c>
    </row>
    <row r="5" spans="1:34" x14ac:dyDescent="0.45">
      <c r="A5">
        <v>1</v>
      </c>
      <c r="B5">
        <v>3</v>
      </c>
      <c r="C5" s="9" t="s">
        <v>132</v>
      </c>
      <c r="F5">
        <v>1</v>
      </c>
      <c r="G5">
        <v>3</v>
      </c>
      <c r="H5" s="9" t="s">
        <v>161</v>
      </c>
      <c r="K5">
        <v>1</v>
      </c>
      <c r="L5">
        <v>3</v>
      </c>
      <c r="M5" s="9" t="s">
        <v>80</v>
      </c>
      <c r="P5">
        <v>1</v>
      </c>
      <c r="Q5">
        <v>3</v>
      </c>
      <c r="U5">
        <v>1</v>
      </c>
      <c r="V5">
        <v>3</v>
      </c>
      <c r="W5" s="9" t="s">
        <v>93</v>
      </c>
      <c r="Z5">
        <v>1</v>
      </c>
      <c r="AA5">
        <v>3</v>
      </c>
      <c r="AE5">
        <v>1</v>
      </c>
      <c r="AF5">
        <v>3</v>
      </c>
    </row>
    <row r="6" spans="1:34" x14ac:dyDescent="0.45">
      <c r="A6">
        <v>1</v>
      </c>
      <c r="B6">
        <v>4</v>
      </c>
      <c r="C6" s="9" t="s">
        <v>133</v>
      </c>
      <c r="F6">
        <v>1</v>
      </c>
      <c r="G6">
        <v>4</v>
      </c>
      <c r="H6" s="9" t="s">
        <v>162</v>
      </c>
      <c r="K6">
        <v>1</v>
      </c>
      <c r="L6">
        <v>4</v>
      </c>
      <c r="M6" s="9" t="s">
        <v>81</v>
      </c>
      <c r="P6">
        <v>1</v>
      </c>
      <c r="Q6">
        <v>4</v>
      </c>
      <c r="U6">
        <v>1</v>
      </c>
      <c r="V6">
        <v>4</v>
      </c>
      <c r="W6" s="9" t="s">
        <v>94</v>
      </c>
      <c r="Z6">
        <v>1</v>
      </c>
      <c r="AA6">
        <v>4</v>
      </c>
      <c r="AE6">
        <v>1</v>
      </c>
      <c r="AF6">
        <v>4</v>
      </c>
    </row>
    <row r="7" spans="1:34" x14ac:dyDescent="0.45">
      <c r="A7">
        <v>1</v>
      </c>
      <c r="B7">
        <v>5</v>
      </c>
      <c r="C7" s="9" t="s">
        <v>134</v>
      </c>
      <c r="F7">
        <v>1</v>
      </c>
      <c r="G7">
        <v>5</v>
      </c>
      <c r="H7" s="9" t="s">
        <v>163</v>
      </c>
      <c r="K7">
        <v>1</v>
      </c>
      <c r="L7">
        <v>5</v>
      </c>
      <c r="M7" s="9" t="s">
        <v>82</v>
      </c>
      <c r="P7">
        <v>1</v>
      </c>
      <c r="Q7">
        <v>5</v>
      </c>
      <c r="U7">
        <v>1</v>
      </c>
      <c r="V7">
        <v>5</v>
      </c>
      <c r="W7" s="9" t="s">
        <v>95</v>
      </c>
      <c r="Z7">
        <v>1</v>
      </c>
      <c r="AA7">
        <v>5</v>
      </c>
      <c r="AE7">
        <v>1</v>
      </c>
      <c r="AF7">
        <v>5</v>
      </c>
    </row>
    <row r="8" spans="1:34" x14ac:dyDescent="0.45">
      <c r="A8">
        <v>1</v>
      </c>
      <c r="B8">
        <v>6</v>
      </c>
      <c r="C8" s="9" t="s">
        <v>135</v>
      </c>
      <c r="F8">
        <v>1</v>
      </c>
      <c r="G8">
        <v>6</v>
      </c>
      <c r="H8" s="9" t="s">
        <v>164</v>
      </c>
      <c r="K8">
        <v>1</v>
      </c>
      <c r="L8">
        <v>6</v>
      </c>
      <c r="M8" s="9" t="s">
        <v>83</v>
      </c>
      <c r="P8">
        <v>1</v>
      </c>
      <c r="Q8">
        <v>6</v>
      </c>
      <c r="U8">
        <v>1</v>
      </c>
      <c r="V8">
        <v>6</v>
      </c>
      <c r="W8" s="9" t="s">
        <v>96</v>
      </c>
      <c r="Z8">
        <v>1</v>
      </c>
      <c r="AA8">
        <v>6</v>
      </c>
      <c r="AE8">
        <v>1</v>
      </c>
      <c r="AF8">
        <v>6</v>
      </c>
    </row>
    <row r="9" spans="1:34" x14ac:dyDescent="0.45">
      <c r="A9">
        <v>1</v>
      </c>
      <c r="B9">
        <v>7</v>
      </c>
      <c r="C9" s="9" t="s">
        <v>136</v>
      </c>
      <c r="F9">
        <v>1</v>
      </c>
      <c r="G9">
        <v>7</v>
      </c>
      <c r="H9" s="9" t="s">
        <v>165</v>
      </c>
      <c r="K9">
        <v>1</v>
      </c>
      <c r="L9">
        <v>7</v>
      </c>
      <c r="M9" s="9" t="s">
        <v>84</v>
      </c>
      <c r="P9">
        <v>1</v>
      </c>
      <c r="Q9">
        <v>7</v>
      </c>
      <c r="U9">
        <v>1</v>
      </c>
      <c r="V9">
        <v>7</v>
      </c>
      <c r="W9" s="9" t="s">
        <v>97</v>
      </c>
      <c r="Z9">
        <v>1</v>
      </c>
      <c r="AA9">
        <v>7</v>
      </c>
      <c r="AE9">
        <v>1</v>
      </c>
      <c r="AF9">
        <v>7</v>
      </c>
    </row>
    <row r="10" spans="1:34" x14ac:dyDescent="0.45">
      <c r="A10">
        <v>1</v>
      </c>
      <c r="B10">
        <v>8</v>
      </c>
      <c r="C10" s="9" t="s">
        <v>137</v>
      </c>
      <c r="F10">
        <v>1</v>
      </c>
      <c r="G10">
        <v>8</v>
      </c>
      <c r="H10" s="9" t="s">
        <v>166</v>
      </c>
      <c r="K10">
        <v>1</v>
      </c>
      <c r="L10">
        <v>8</v>
      </c>
      <c r="M10" s="9" t="s">
        <v>85</v>
      </c>
      <c r="P10">
        <v>1</v>
      </c>
      <c r="Q10">
        <v>8</v>
      </c>
      <c r="U10">
        <v>1</v>
      </c>
      <c r="V10">
        <v>8</v>
      </c>
      <c r="W10" s="9" t="s">
        <v>98</v>
      </c>
      <c r="Z10">
        <v>1</v>
      </c>
      <c r="AA10">
        <v>8</v>
      </c>
      <c r="AE10">
        <v>1</v>
      </c>
      <c r="AF10">
        <v>8</v>
      </c>
    </row>
    <row r="11" spans="1:34" x14ac:dyDescent="0.45">
      <c r="A11">
        <v>1</v>
      </c>
      <c r="B11">
        <v>9</v>
      </c>
      <c r="C11" s="9" t="s">
        <v>138</v>
      </c>
      <c r="F11">
        <v>1</v>
      </c>
      <c r="G11">
        <v>9</v>
      </c>
      <c r="H11" s="9" t="s">
        <v>167</v>
      </c>
      <c r="K11">
        <v>1</v>
      </c>
      <c r="L11">
        <v>9</v>
      </c>
      <c r="M11" s="9" t="s">
        <v>86</v>
      </c>
      <c r="P11">
        <v>1</v>
      </c>
      <c r="Q11">
        <v>9</v>
      </c>
      <c r="U11">
        <v>1</v>
      </c>
      <c r="V11">
        <v>9</v>
      </c>
      <c r="W11" s="9" t="s">
        <v>99</v>
      </c>
      <c r="Z11">
        <v>1</v>
      </c>
      <c r="AA11">
        <v>9</v>
      </c>
      <c r="AE11">
        <v>1</v>
      </c>
      <c r="AF11">
        <v>9</v>
      </c>
    </row>
    <row r="12" spans="1:34" x14ac:dyDescent="0.45">
      <c r="A12">
        <v>1</v>
      </c>
      <c r="B12">
        <v>10</v>
      </c>
      <c r="C12" s="9" t="s">
        <v>139</v>
      </c>
      <c r="F12">
        <v>1</v>
      </c>
      <c r="G12">
        <v>10</v>
      </c>
      <c r="H12" s="9" t="s">
        <v>168</v>
      </c>
      <c r="K12">
        <v>1</v>
      </c>
      <c r="L12">
        <v>10</v>
      </c>
      <c r="M12" s="9" t="s">
        <v>87</v>
      </c>
      <c r="P12">
        <v>1</v>
      </c>
      <c r="Q12">
        <v>10</v>
      </c>
      <c r="U12">
        <v>1</v>
      </c>
      <c r="V12">
        <v>10</v>
      </c>
      <c r="Z12">
        <v>1</v>
      </c>
      <c r="AA12">
        <v>10</v>
      </c>
      <c r="AE12">
        <v>1</v>
      </c>
      <c r="AF12">
        <v>10</v>
      </c>
    </row>
    <row r="13" spans="1:34" x14ac:dyDescent="0.45">
      <c r="A13">
        <v>1</v>
      </c>
      <c r="B13">
        <v>11</v>
      </c>
      <c r="C13" s="9" t="s">
        <v>140</v>
      </c>
      <c r="F13">
        <v>1</v>
      </c>
      <c r="G13">
        <v>11</v>
      </c>
      <c r="H13" s="9" t="s">
        <v>169</v>
      </c>
      <c r="K13">
        <v>1</v>
      </c>
      <c r="L13">
        <v>11</v>
      </c>
      <c r="M13" s="9" t="s">
        <v>88</v>
      </c>
      <c r="P13">
        <v>1</v>
      </c>
      <c r="Q13">
        <v>11</v>
      </c>
      <c r="U13">
        <v>1</v>
      </c>
      <c r="V13">
        <v>11</v>
      </c>
      <c r="Z13">
        <v>1</v>
      </c>
      <c r="AA13">
        <v>11</v>
      </c>
      <c r="AE13">
        <v>1</v>
      </c>
      <c r="AF13">
        <v>11</v>
      </c>
    </row>
    <row r="14" spans="1:34" x14ac:dyDescent="0.45">
      <c r="A14">
        <v>1</v>
      </c>
      <c r="B14">
        <v>12</v>
      </c>
      <c r="C14" s="9"/>
      <c r="F14">
        <v>1</v>
      </c>
      <c r="G14">
        <v>12</v>
      </c>
      <c r="H14" s="9" t="s">
        <v>170</v>
      </c>
      <c r="K14">
        <v>1</v>
      </c>
      <c r="L14">
        <v>12</v>
      </c>
      <c r="M14" s="9" t="s">
        <v>89</v>
      </c>
      <c r="P14">
        <v>1</v>
      </c>
      <c r="Q14">
        <v>12</v>
      </c>
      <c r="U14">
        <v>1</v>
      </c>
      <c r="V14">
        <v>12</v>
      </c>
      <c r="Z14">
        <v>1</v>
      </c>
      <c r="AA14">
        <v>12</v>
      </c>
      <c r="AE14">
        <v>1</v>
      </c>
      <c r="AF14">
        <v>12</v>
      </c>
    </row>
    <row r="15" spans="1:34" x14ac:dyDescent="0.45">
      <c r="A15">
        <v>1</v>
      </c>
      <c r="B15">
        <v>13</v>
      </c>
      <c r="F15">
        <v>1</v>
      </c>
      <c r="G15">
        <v>13</v>
      </c>
      <c r="H15" s="9" t="s">
        <v>171</v>
      </c>
      <c r="K15">
        <v>1</v>
      </c>
      <c r="L15">
        <v>13</v>
      </c>
      <c r="M15" s="9" t="s">
        <v>90</v>
      </c>
      <c r="P15">
        <v>1</v>
      </c>
      <c r="Q15">
        <v>13</v>
      </c>
      <c r="U15">
        <v>1</v>
      </c>
      <c r="V15">
        <v>13</v>
      </c>
      <c r="Z15">
        <v>1</v>
      </c>
      <c r="AA15">
        <v>13</v>
      </c>
      <c r="AE15">
        <v>1</v>
      </c>
      <c r="AF15">
        <v>13</v>
      </c>
    </row>
    <row r="16" spans="1:34" x14ac:dyDescent="0.45">
      <c r="A16">
        <v>1</v>
      </c>
      <c r="B16">
        <v>14</v>
      </c>
      <c r="F16">
        <v>1</v>
      </c>
      <c r="G16">
        <v>14</v>
      </c>
      <c r="H16" s="9" t="s">
        <v>172</v>
      </c>
      <c r="K16">
        <v>1</v>
      </c>
      <c r="L16">
        <v>14</v>
      </c>
      <c r="P16">
        <v>1</v>
      </c>
      <c r="Q16">
        <v>14</v>
      </c>
      <c r="U16">
        <v>1</v>
      </c>
      <c r="V16">
        <v>14</v>
      </c>
      <c r="Z16">
        <v>1</v>
      </c>
      <c r="AA16">
        <v>14</v>
      </c>
      <c r="AE16">
        <v>1</v>
      </c>
      <c r="AF16">
        <v>14</v>
      </c>
    </row>
    <row r="17" spans="1:32" x14ac:dyDescent="0.45">
      <c r="A17">
        <v>1</v>
      </c>
      <c r="B17">
        <v>15</v>
      </c>
      <c r="F17">
        <v>1</v>
      </c>
      <c r="G17">
        <v>15</v>
      </c>
      <c r="H17" s="9" t="s">
        <v>173</v>
      </c>
      <c r="K17">
        <v>1</v>
      </c>
      <c r="L17">
        <v>15</v>
      </c>
      <c r="P17">
        <v>1</v>
      </c>
      <c r="Q17">
        <v>15</v>
      </c>
      <c r="U17">
        <v>1</v>
      </c>
      <c r="V17">
        <v>15</v>
      </c>
      <c r="Z17">
        <v>1</v>
      </c>
      <c r="AA17">
        <v>15</v>
      </c>
      <c r="AE17">
        <v>1</v>
      </c>
      <c r="AF17">
        <v>15</v>
      </c>
    </row>
    <row r="18" spans="1:32" x14ac:dyDescent="0.45">
      <c r="A18">
        <v>1</v>
      </c>
      <c r="B18">
        <v>16</v>
      </c>
      <c r="F18">
        <v>1</v>
      </c>
      <c r="G18">
        <v>16</v>
      </c>
      <c r="K18">
        <v>1</v>
      </c>
      <c r="L18">
        <v>16</v>
      </c>
      <c r="P18">
        <v>1</v>
      </c>
      <c r="Q18">
        <v>16</v>
      </c>
      <c r="U18">
        <v>1</v>
      </c>
      <c r="V18">
        <v>16</v>
      </c>
      <c r="Z18">
        <v>1</v>
      </c>
      <c r="AA18">
        <v>16</v>
      </c>
      <c r="AE18">
        <v>1</v>
      </c>
      <c r="AF18">
        <v>16</v>
      </c>
    </row>
    <row r="19" spans="1:32" x14ac:dyDescent="0.45">
      <c r="A19">
        <v>2</v>
      </c>
      <c r="B19">
        <v>1</v>
      </c>
      <c r="C19" s="9" t="s">
        <v>141</v>
      </c>
      <c r="F19">
        <v>2</v>
      </c>
      <c r="G19">
        <v>1</v>
      </c>
      <c r="H19" s="9"/>
      <c r="K19">
        <v>2</v>
      </c>
      <c r="L19">
        <v>1</v>
      </c>
      <c r="M19" s="9" t="s">
        <v>58</v>
      </c>
      <c r="P19">
        <v>2</v>
      </c>
      <c r="Q19">
        <v>1</v>
      </c>
      <c r="U19">
        <v>2</v>
      </c>
      <c r="V19">
        <v>1</v>
      </c>
      <c r="W19" s="9" t="s">
        <v>100</v>
      </c>
      <c r="Z19">
        <v>2</v>
      </c>
      <c r="AA19">
        <v>1</v>
      </c>
      <c r="AE19">
        <v>2</v>
      </c>
      <c r="AF19">
        <v>1</v>
      </c>
    </row>
    <row r="20" spans="1:32" x14ac:dyDescent="0.45">
      <c r="A20">
        <v>2</v>
      </c>
      <c r="B20">
        <v>2</v>
      </c>
      <c r="C20" s="9" t="s">
        <v>142</v>
      </c>
      <c r="F20">
        <v>2</v>
      </c>
      <c r="G20">
        <v>2</v>
      </c>
      <c r="H20" s="9"/>
      <c r="K20">
        <v>2</v>
      </c>
      <c r="L20">
        <v>2</v>
      </c>
      <c r="M20" s="9" t="s">
        <v>59</v>
      </c>
      <c r="P20">
        <v>2</v>
      </c>
      <c r="Q20">
        <v>2</v>
      </c>
      <c r="U20">
        <v>2</v>
      </c>
      <c r="V20">
        <v>2</v>
      </c>
      <c r="W20" s="9" t="s">
        <v>101</v>
      </c>
      <c r="Z20">
        <v>2</v>
      </c>
      <c r="AA20">
        <v>2</v>
      </c>
      <c r="AE20">
        <v>2</v>
      </c>
      <c r="AF20">
        <v>2</v>
      </c>
    </row>
    <row r="21" spans="1:32" x14ac:dyDescent="0.45">
      <c r="A21">
        <v>2</v>
      </c>
      <c r="B21">
        <v>3</v>
      </c>
      <c r="C21" s="9" t="s">
        <v>143</v>
      </c>
      <c r="F21">
        <v>2</v>
      </c>
      <c r="G21">
        <v>3</v>
      </c>
      <c r="H21" s="9"/>
      <c r="K21">
        <v>2</v>
      </c>
      <c r="L21">
        <v>3</v>
      </c>
      <c r="M21" s="9" t="s">
        <v>60</v>
      </c>
      <c r="P21">
        <v>2</v>
      </c>
      <c r="Q21">
        <v>3</v>
      </c>
      <c r="U21">
        <v>2</v>
      </c>
      <c r="V21">
        <v>3</v>
      </c>
      <c r="W21" s="9" t="s">
        <v>102</v>
      </c>
      <c r="Z21">
        <v>2</v>
      </c>
      <c r="AA21">
        <v>3</v>
      </c>
      <c r="AE21">
        <v>2</v>
      </c>
      <c r="AF21">
        <v>3</v>
      </c>
    </row>
    <row r="22" spans="1:32" x14ac:dyDescent="0.45">
      <c r="A22">
        <v>2</v>
      </c>
      <c r="B22">
        <v>4</v>
      </c>
      <c r="C22" s="9" t="s">
        <v>144</v>
      </c>
      <c r="F22">
        <v>2</v>
      </c>
      <c r="G22">
        <v>4</v>
      </c>
      <c r="H22" s="9"/>
      <c r="K22">
        <v>2</v>
      </c>
      <c r="L22">
        <v>4</v>
      </c>
      <c r="M22" s="9" t="s">
        <v>61</v>
      </c>
      <c r="P22">
        <v>2</v>
      </c>
      <c r="Q22">
        <v>4</v>
      </c>
      <c r="U22">
        <v>2</v>
      </c>
      <c r="V22">
        <v>4</v>
      </c>
      <c r="W22" s="9" t="s">
        <v>103</v>
      </c>
      <c r="Z22">
        <v>2</v>
      </c>
      <c r="AA22">
        <v>4</v>
      </c>
      <c r="AE22">
        <v>2</v>
      </c>
      <c r="AF22">
        <v>4</v>
      </c>
    </row>
    <row r="23" spans="1:32" x14ac:dyDescent="0.45">
      <c r="A23">
        <v>2</v>
      </c>
      <c r="B23">
        <v>5</v>
      </c>
      <c r="C23" s="9" t="s">
        <v>145</v>
      </c>
      <c r="F23">
        <v>2</v>
      </c>
      <c r="G23">
        <v>5</v>
      </c>
      <c r="H23" s="9"/>
      <c r="K23">
        <v>2</v>
      </c>
      <c r="L23">
        <v>5</v>
      </c>
      <c r="M23" s="9" t="s">
        <v>62</v>
      </c>
      <c r="P23">
        <v>2</v>
      </c>
      <c r="Q23">
        <v>5</v>
      </c>
      <c r="U23">
        <v>2</v>
      </c>
      <c r="V23">
        <v>5</v>
      </c>
      <c r="W23" s="9" t="s">
        <v>104</v>
      </c>
      <c r="Z23">
        <v>2</v>
      </c>
      <c r="AA23">
        <v>5</v>
      </c>
      <c r="AE23">
        <v>2</v>
      </c>
      <c r="AF23">
        <v>5</v>
      </c>
    </row>
    <row r="24" spans="1:32" x14ac:dyDescent="0.45">
      <c r="A24">
        <v>2</v>
      </c>
      <c r="B24">
        <v>6</v>
      </c>
      <c r="C24" s="9" t="s">
        <v>146</v>
      </c>
      <c r="F24">
        <v>2</v>
      </c>
      <c r="G24">
        <v>6</v>
      </c>
      <c r="H24" s="9"/>
      <c r="K24">
        <v>2</v>
      </c>
      <c r="L24">
        <v>6</v>
      </c>
      <c r="M24" s="9" t="s">
        <v>63</v>
      </c>
      <c r="P24">
        <v>2</v>
      </c>
      <c r="Q24">
        <v>6</v>
      </c>
      <c r="U24">
        <v>2</v>
      </c>
      <c r="V24">
        <v>6</v>
      </c>
      <c r="W24" s="9" t="s">
        <v>105</v>
      </c>
      <c r="Z24">
        <v>2</v>
      </c>
      <c r="AA24">
        <v>6</v>
      </c>
      <c r="AE24">
        <v>2</v>
      </c>
      <c r="AF24">
        <v>6</v>
      </c>
    </row>
    <row r="25" spans="1:32" x14ac:dyDescent="0.45">
      <c r="A25">
        <v>2</v>
      </c>
      <c r="B25">
        <v>7</v>
      </c>
      <c r="C25" s="9" t="s">
        <v>147</v>
      </c>
      <c r="F25">
        <v>2</v>
      </c>
      <c r="G25">
        <v>7</v>
      </c>
      <c r="H25" s="9"/>
      <c r="K25">
        <v>2</v>
      </c>
      <c r="L25">
        <v>7</v>
      </c>
      <c r="M25" s="9" t="s">
        <v>64</v>
      </c>
      <c r="P25">
        <v>2</v>
      </c>
      <c r="Q25">
        <v>7</v>
      </c>
      <c r="U25">
        <v>2</v>
      </c>
      <c r="V25">
        <v>7</v>
      </c>
      <c r="W25" s="9" t="s">
        <v>106</v>
      </c>
      <c r="Z25">
        <v>2</v>
      </c>
      <c r="AA25">
        <v>7</v>
      </c>
      <c r="AE25">
        <v>2</v>
      </c>
      <c r="AF25">
        <v>7</v>
      </c>
    </row>
    <row r="26" spans="1:32" x14ac:dyDescent="0.45">
      <c r="A26">
        <v>2</v>
      </c>
      <c r="B26">
        <v>8</v>
      </c>
      <c r="C26" s="9" t="s">
        <v>148</v>
      </c>
      <c r="F26">
        <v>2</v>
      </c>
      <c r="G26">
        <v>8</v>
      </c>
      <c r="H26" s="9"/>
      <c r="K26">
        <v>2</v>
      </c>
      <c r="L26">
        <v>8</v>
      </c>
      <c r="M26" s="9" t="s">
        <v>65</v>
      </c>
      <c r="P26">
        <v>2</v>
      </c>
      <c r="Q26">
        <v>8</v>
      </c>
      <c r="U26">
        <v>2</v>
      </c>
      <c r="V26">
        <v>8</v>
      </c>
      <c r="W26" s="9" t="s">
        <v>107</v>
      </c>
      <c r="Z26">
        <v>2</v>
      </c>
      <c r="AA26">
        <v>8</v>
      </c>
      <c r="AE26">
        <v>2</v>
      </c>
      <c r="AF26">
        <v>8</v>
      </c>
    </row>
    <row r="27" spans="1:32" x14ac:dyDescent="0.45">
      <c r="A27">
        <v>2</v>
      </c>
      <c r="B27">
        <v>9</v>
      </c>
      <c r="C27" s="9" t="s">
        <v>149</v>
      </c>
      <c r="F27">
        <v>2</v>
      </c>
      <c r="G27">
        <v>9</v>
      </c>
      <c r="H27" s="9"/>
      <c r="K27">
        <v>2</v>
      </c>
      <c r="L27">
        <v>9</v>
      </c>
      <c r="M27" s="9" t="s">
        <v>66</v>
      </c>
      <c r="P27">
        <v>2</v>
      </c>
      <c r="Q27">
        <v>9</v>
      </c>
      <c r="U27">
        <v>2</v>
      </c>
      <c r="V27">
        <v>9</v>
      </c>
      <c r="W27" s="9" t="s">
        <v>108</v>
      </c>
      <c r="Z27">
        <v>2</v>
      </c>
      <c r="AA27">
        <v>9</v>
      </c>
      <c r="AE27">
        <v>2</v>
      </c>
      <c r="AF27">
        <v>9</v>
      </c>
    </row>
    <row r="28" spans="1:32" x14ac:dyDescent="0.45">
      <c r="A28">
        <v>2</v>
      </c>
      <c r="B28">
        <v>10</v>
      </c>
      <c r="C28" s="9" t="s">
        <v>150</v>
      </c>
      <c r="F28">
        <v>2</v>
      </c>
      <c r="G28">
        <v>10</v>
      </c>
      <c r="H28" s="9"/>
      <c r="K28">
        <v>2</v>
      </c>
      <c r="L28">
        <v>10</v>
      </c>
      <c r="M28" s="9" t="s">
        <v>67</v>
      </c>
      <c r="P28">
        <v>2</v>
      </c>
      <c r="Q28">
        <v>10</v>
      </c>
      <c r="U28">
        <v>2</v>
      </c>
      <c r="V28">
        <v>10</v>
      </c>
      <c r="W28" s="9" t="s">
        <v>109</v>
      </c>
      <c r="Z28">
        <v>2</v>
      </c>
      <c r="AA28">
        <v>10</v>
      </c>
      <c r="AE28">
        <v>2</v>
      </c>
      <c r="AF28">
        <v>10</v>
      </c>
    </row>
    <row r="29" spans="1:32" x14ac:dyDescent="0.45">
      <c r="A29">
        <v>2</v>
      </c>
      <c r="B29">
        <v>11</v>
      </c>
      <c r="C29" s="9" t="s">
        <v>151</v>
      </c>
      <c r="F29">
        <v>2</v>
      </c>
      <c r="G29">
        <v>11</v>
      </c>
      <c r="H29" s="9"/>
      <c r="K29">
        <v>2</v>
      </c>
      <c r="L29">
        <v>11</v>
      </c>
      <c r="P29">
        <v>2</v>
      </c>
      <c r="Q29">
        <v>11</v>
      </c>
      <c r="U29">
        <v>2</v>
      </c>
      <c r="V29">
        <v>11</v>
      </c>
      <c r="W29" s="9" t="s">
        <v>110</v>
      </c>
      <c r="Z29">
        <v>2</v>
      </c>
      <c r="AA29">
        <v>11</v>
      </c>
      <c r="AE29">
        <v>2</v>
      </c>
      <c r="AF29">
        <v>11</v>
      </c>
    </row>
    <row r="30" spans="1:32" x14ac:dyDescent="0.45">
      <c r="A30">
        <v>2</v>
      </c>
      <c r="B30">
        <v>12</v>
      </c>
      <c r="C30" s="9"/>
      <c r="F30">
        <v>2</v>
      </c>
      <c r="G30">
        <v>12</v>
      </c>
      <c r="H30" s="9"/>
      <c r="K30">
        <v>2</v>
      </c>
      <c r="L30">
        <v>12</v>
      </c>
      <c r="P30">
        <v>2</v>
      </c>
      <c r="Q30">
        <v>12</v>
      </c>
      <c r="U30">
        <v>2</v>
      </c>
      <c r="V30">
        <v>12</v>
      </c>
      <c r="W30" s="9" t="s">
        <v>111</v>
      </c>
      <c r="Z30">
        <v>2</v>
      </c>
      <c r="AA30">
        <v>12</v>
      </c>
      <c r="AE30">
        <v>2</v>
      </c>
      <c r="AF30">
        <v>12</v>
      </c>
    </row>
    <row r="31" spans="1:32" x14ac:dyDescent="0.45">
      <c r="A31">
        <v>2</v>
      </c>
      <c r="B31">
        <v>13</v>
      </c>
      <c r="C31" s="9"/>
      <c r="F31">
        <v>2</v>
      </c>
      <c r="G31">
        <v>13</v>
      </c>
      <c r="H31" s="9"/>
      <c r="K31">
        <v>2</v>
      </c>
      <c r="L31">
        <v>13</v>
      </c>
      <c r="P31">
        <v>2</v>
      </c>
      <c r="Q31">
        <v>13</v>
      </c>
      <c r="U31">
        <v>2</v>
      </c>
      <c r="V31">
        <v>13</v>
      </c>
      <c r="W31" s="9" t="s">
        <v>112</v>
      </c>
      <c r="Z31">
        <v>2</v>
      </c>
      <c r="AA31">
        <v>13</v>
      </c>
      <c r="AE31">
        <v>2</v>
      </c>
      <c r="AF31">
        <v>13</v>
      </c>
    </row>
    <row r="32" spans="1:32" x14ac:dyDescent="0.45">
      <c r="A32">
        <v>2</v>
      </c>
      <c r="B32">
        <v>14</v>
      </c>
      <c r="F32">
        <v>2</v>
      </c>
      <c r="G32">
        <v>14</v>
      </c>
      <c r="K32">
        <v>2</v>
      </c>
      <c r="L32">
        <v>14</v>
      </c>
      <c r="P32">
        <v>2</v>
      </c>
      <c r="Q32">
        <v>14</v>
      </c>
      <c r="U32">
        <v>2</v>
      </c>
      <c r="V32">
        <v>14</v>
      </c>
      <c r="W32" s="9" t="s">
        <v>113</v>
      </c>
      <c r="Z32">
        <v>2</v>
      </c>
      <c r="AA32">
        <v>14</v>
      </c>
      <c r="AE32">
        <v>2</v>
      </c>
      <c r="AF32">
        <v>14</v>
      </c>
    </row>
    <row r="33" spans="1:32" x14ac:dyDescent="0.45">
      <c r="A33">
        <v>2</v>
      </c>
      <c r="B33">
        <v>15</v>
      </c>
      <c r="F33">
        <v>2</v>
      </c>
      <c r="G33">
        <v>15</v>
      </c>
      <c r="K33">
        <v>2</v>
      </c>
      <c r="L33">
        <v>15</v>
      </c>
      <c r="P33">
        <v>2</v>
      </c>
      <c r="Q33">
        <v>15</v>
      </c>
      <c r="U33">
        <v>2</v>
      </c>
      <c r="V33">
        <v>15</v>
      </c>
      <c r="W33" s="9" t="s">
        <v>114</v>
      </c>
      <c r="Z33">
        <v>2</v>
      </c>
      <c r="AA33">
        <v>15</v>
      </c>
      <c r="AE33">
        <v>2</v>
      </c>
      <c r="AF33">
        <v>15</v>
      </c>
    </row>
    <row r="34" spans="1:32" x14ac:dyDescent="0.45">
      <c r="A34">
        <v>2</v>
      </c>
      <c r="B34">
        <v>16</v>
      </c>
      <c r="F34">
        <v>2</v>
      </c>
      <c r="G34">
        <v>16</v>
      </c>
      <c r="K34">
        <v>2</v>
      </c>
      <c r="L34">
        <v>16</v>
      </c>
      <c r="P34">
        <v>2</v>
      </c>
      <c r="Q34">
        <v>16</v>
      </c>
      <c r="U34">
        <v>2</v>
      </c>
      <c r="V34">
        <v>16</v>
      </c>
      <c r="Z34">
        <v>2</v>
      </c>
      <c r="AA34">
        <v>16</v>
      </c>
      <c r="AE34">
        <v>2</v>
      </c>
      <c r="AF34">
        <v>16</v>
      </c>
    </row>
    <row r="35" spans="1:32" x14ac:dyDescent="0.45">
      <c r="A35">
        <v>3</v>
      </c>
      <c r="B35">
        <v>1</v>
      </c>
      <c r="C35" s="9" t="s">
        <v>152</v>
      </c>
      <c r="F35">
        <v>3</v>
      </c>
      <c r="G35">
        <v>1</v>
      </c>
      <c r="K35">
        <v>3</v>
      </c>
      <c r="L35">
        <v>1</v>
      </c>
      <c r="M35" s="9" t="s">
        <v>68</v>
      </c>
      <c r="P35">
        <v>3</v>
      </c>
      <c r="Q35">
        <v>1</v>
      </c>
      <c r="U35">
        <v>3</v>
      </c>
      <c r="V35">
        <v>1</v>
      </c>
      <c r="W35" s="9" t="s">
        <v>115</v>
      </c>
      <c r="Z35">
        <v>3</v>
      </c>
      <c r="AA35">
        <v>1</v>
      </c>
      <c r="AE35">
        <v>3</v>
      </c>
      <c r="AF35">
        <v>1</v>
      </c>
    </row>
    <row r="36" spans="1:32" x14ac:dyDescent="0.45">
      <c r="A36">
        <v>3</v>
      </c>
      <c r="B36">
        <v>2</v>
      </c>
      <c r="C36" s="9" t="s">
        <v>153</v>
      </c>
      <c r="F36">
        <v>3</v>
      </c>
      <c r="G36">
        <v>2</v>
      </c>
      <c r="K36">
        <v>3</v>
      </c>
      <c r="L36">
        <v>2</v>
      </c>
      <c r="M36" s="9" t="s">
        <v>69</v>
      </c>
      <c r="P36">
        <v>3</v>
      </c>
      <c r="Q36">
        <v>2</v>
      </c>
      <c r="U36">
        <v>3</v>
      </c>
      <c r="V36">
        <v>2</v>
      </c>
      <c r="W36" s="9" t="s">
        <v>116</v>
      </c>
      <c r="Z36">
        <v>3</v>
      </c>
      <c r="AA36">
        <v>2</v>
      </c>
      <c r="AE36">
        <v>3</v>
      </c>
      <c r="AF36">
        <v>2</v>
      </c>
    </row>
    <row r="37" spans="1:32" x14ac:dyDescent="0.45">
      <c r="A37">
        <v>3</v>
      </c>
      <c r="B37">
        <v>3</v>
      </c>
      <c r="C37" s="9" t="s">
        <v>154</v>
      </c>
      <c r="F37">
        <v>3</v>
      </c>
      <c r="G37">
        <v>3</v>
      </c>
      <c r="K37">
        <v>3</v>
      </c>
      <c r="L37">
        <v>3</v>
      </c>
      <c r="M37" s="9" t="s">
        <v>70</v>
      </c>
      <c r="P37">
        <v>3</v>
      </c>
      <c r="Q37">
        <v>3</v>
      </c>
      <c r="U37">
        <v>3</v>
      </c>
      <c r="V37">
        <v>3</v>
      </c>
      <c r="W37" s="9" t="s">
        <v>117</v>
      </c>
      <c r="Z37">
        <v>3</v>
      </c>
      <c r="AA37">
        <v>3</v>
      </c>
      <c r="AE37">
        <v>3</v>
      </c>
      <c r="AF37">
        <v>3</v>
      </c>
    </row>
    <row r="38" spans="1:32" x14ac:dyDescent="0.45">
      <c r="A38">
        <v>3</v>
      </c>
      <c r="B38">
        <v>4</v>
      </c>
      <c r="C38" s="9" t="s">
        <v>155</v>
      </c>
      <c r="F38">
        <v>3</v>
      </c>
      <c r="G38">
        <v>4</v>
      </c>
      <c r="K38">
        <v>3</v>
      </c>
      <c r="L38">
        <v>4</v>
      </c>
      <c r="M38" s="9" t="s">
        <v>71</v>
      </c>
      <c r="P38">
        <v>3</v>
      </c>
      <c r="Q38">
        <v>4</v>
      </c>
      <c r="U38">
        <v>3</v>
      </c>
      <c r="V38">
        <v>4</v>
      </c>
      <c r="W38" s="9" t="s">
        <v>118</v>
      </c>
      <c r="Z38">
        <v>3</v>
      </c>
      <c r="AA38">
        <v>4</v>
      </c>
      <c r="AE38">
        <v>3</v>
      </c>
      <c r="AF38">
        <v>4</v>
      </c>
    </row>
    <row r="39" spans="1:32" x14ac:dyDescent="0.45">
      <c r="A39">
        <v>3</v>
      </c>
      <c r="B39">
        <v>5</v>
      </c>
      <c r="C39" s="9" t="s">
        <v>156</v>
      </c>
      <c r="F39">
        <v>3</v>
      </c>
      <c r="G39">
        <v>5</v>
      </c>
      <c r="K39">
        <v>3</v>
      </c>
      <c r="L39">
        <v>5</v>
      </c>
      <c r="M39" s="9" t="s">
        <v>72</v>
      </c>
      <c r="P39">
        <v>3</v>
      </c>
      <c r="Q39">
        <v>5</v>
      </c>
      <c r="U39">
        <v>3</v>
      </c>
      <c r="V39">
        <v>5</v>
      </c>
      <c r="W39" s="9" t="s">
        <v>119</v>
      </c>
      <c r="Z39">
        <v>3</v>
      </c>
      <c r="AA39">
        <v>5</v>
      </c>
      <c r="AE39">
        <v>3</v>
      </c>
      <c r="AF39">
        <v>5</v>
      </c>
    </row>
    <row r="40" spans="1:32" x14ac:dyDescent="0.45">
      <c r="A40">
        <v>3</v>
      </c>
      <c r="B40">
        <v>6</v>
      </c>
      <c r="C40" s="9" t="s">
        <v>157</v>
      </c>
      <c r="F40">
        <v>3</v>
      </c>
      <c r="G40">
        <v>6</v>
      </c>
      <c r="K40">
        <v>3</v>
      </c>
      <c r="L40">
        <v>6</v>
      </c>
      <c r="M40" s="9" t="s">
        <v>73</v>
      </c>
      <c r="P40">
        <v>3</v>
      </c>
      <c r="Q40">
        <v>6</v>
      </c>
      <c r="U40">
        <v>3</v>
      </c>
      <c r="V40">
        <v>6</v>
      </c>
      <c r="W40" s="9" t="s">
        <v>120</v>
      </c>
      <c r="Z40">
        <v>3</v>
      </c>
      <c r="AA40">
        <v>6</v>
      </c>
      <c r="AE40">
        <v>3</v>
      </c>
      <c r="AF40">
        <v>6</v>
      </c>
    </row>
    <row r="41" spans="1:32" x14ac:dyDescent="0.45">
      <c r="A41">
        <v>3</v>
      </c>
      <c r="B41">
        <v>7</v>
      </c>
      <c r="C41" s="9" t="s">
        <v>158</v>
      </c>
      <c r="F41">
        <v>3</v>
      </c>
      <c r="G41">
        <v>7</v>
      </c>
      <c r="K41">
        <v>3</v>
      </c>
      <c r="L41">
        <v>7</v>
      </c>
      <c r="M41" s="9" t="s">
        <v>74</v>
      </c>
      <c r="P41">
        <v>3</v>
      </c>
      <c r="Q41">
        <v>7</v>
      </c>
      <c r="U41">
        <v>3</v>
      </c>
      <c r="V41">
        <v>7</v>
      </c>
      <c r="W41" s="9" t="s">
        <v>121</v>
      </c>
      <c r="Z41">
        <v>3</v>
      </c>
      <c r="AA41">
        <v>7</v>
      </c>
      <c r="AE41">
        <v>3</v>
      </c>
      <c r="AF41">
        <v>7</v>
      </c>
    </row>
    <row r="42" spans="1:32" x14ac:dyDescent="0.45">
      <c r="A42">
        <v>3</v>
      </c>
      <c r="B42">
        <v>8</v>
      </c>
      <c r="C42" s="9"/>
      <c r="F42">
        <v>3</v>
      </c>
      <c r="G42">
        <v>8</v>
      </c>
      <c r="K42">
        <v>3</v>
      </c>
      <c r="L42">
        <v>8</v>
      </c>
      <c r="M42" s="9" t="s">
        <v>75</v>
      </c>
      <c r="P42">
        <v>3</v>
      </c>
      <c r="Q42">
        <v>8</v>
      </c>
      <c r="U42">
        <v>3</v>
      </c>
      <c r="V42">
        <v>8</v>
      </c>
      <c r="W42" s="9" t="s">
        <v>122</v>
      </c>
      <c r="Z42">
        <v>3</v>
      </c>
      <c r="AA42">
        <v>8</v>
      </c>
      <c r="AE42">
        <v>3</v>
      </c>
      <c r="AF42">
        <v>8</v>
      </c>
    </row>
    <row r="43" spans="1:32" x14ac:dyDescent="0.45">
      <c r="A43">
        <v>3</v>
      </c>
      <c r="B43">
        <v>9</v>
      </c>
      <c r="C43" s="9"/>
      <c r="F43">
        <v>3</v>
      </c>
      <c r="G43">
        <v>9</v>
      </c>
      <c r="K43">
        <v>3</v>
      </c>
      <c r="L43">
        <v>9</v>
      </c>
      <c r="M43" s="9" t="s">
        <v>76</v>
      </c>
      <c r="P43">
        <v>3</v>
      </c>
      <c r="Q43">
        <v>9</v>
      </c>
      <c r="U43">
        <v>3</v>
      </c>
      <c r="V43">
        <v>9</v>
      </c>
      <c r="W43" s="9" t="s">
        <v>123</v>
      </c>
      <c r="Z43">
        <v>3</v>
      </c>
      <c r="AA43">
        <v>9</v>
      </c>
      <c r="AE43">
        <v>3</v>
      </c>
      <c r="AF43">
        <v>9</v>
      </c>
    </row>
    <row r="44" spans="1:32" x14ac:dyDescent="0.45">
      <c r="A44">
        <v>3</v>
      </c>
      <c r="B44">
        <v>10</v>
      </c>
      <c r="C44" s="9"/>
      <c r="F44">
        <v>3</v>
      </c>
      <c r="G44">
        <v>10</v>
      </c>
      <c r="K44">
        <v>3</v>
      </c>
      <c r="L44">
        <v>10</v>
      </c>
      <c r="M44" s="9" t="s">
        <v>77</v>
      </c>
      <c r="P44">
        <v>3</v>
      </c>
      <c r="Q44">
        <v>10</v>
      </c>
      <c r="U44">
        <v>3</v>
      </c>
      <c r="V44">
        <v>10</v>
      </c>
      <c r="W44" s="9" t="s">
        <v>124</v>
      </c>
      <c r="Z44">
        <v>3</v>
      </c>
      <c r="AA44">
        <v>10</v>
      </c>
      <c r="AE44">
        <v>3</v>
      </c>
      <c r="AF44">
        <v>10</v>
      </c>
    </row>
    <row r="45" spans="1:32" x14ac:dyDescent="0.45">
      <c r="A45">
        <v>3</v>
      </c>
      <c r="B45">
        <v>11</v>
      </c>
      <c r="C45" s="9"/>
      <c r="F45">
        <v>3</v>
      </c>
      <c r="G45">
        <v>11</v>
      </c>
      <c r="K45">
        <v>3</v>
      </c>
      <c r="L45">
        <v>11</v>
      </c>
      <c r="P45">
        <v>3</v>
      </c>
      <c r="Q45">
        <v>11</v>
      </c>
      <c r="U45">
        <v>3</v>
      </c>
      <c r="V45">
        <v>11</v>
      </c>
      <c r="W45" s="9" t="s">
        <v>125</v>
      </c>
      <c r="Z45">
        <v>3</v>
      </c>
      <c r="AA45">
        <v>11</v>
      </c>
      <c r="AE45">
        <v>3</v>
      </c>
      <c r="AF45">
        <v>11</v>
      </c>
    </row>
    <row r="46" spans="1:32" x14ac:dyDescent="0.45">
      <c r="A46">
        <v>3</v>
      </c>
      <c r="B46">
        <v>12</v>
      </c>
      <c r="C46" s="9"/>
      <c r="F46">
        <v>3</v>
      </c>
      <c r="G46">
        <v>12</v>
      </c>
      <c r="K46">
        <v>3</v>
      </c>
      <c r="L46">
        <v>12</v>
      </c>
      <c r="P46">
        <v>3</v>
      </c>
      <c r="Q46">
        <v>12</v>
      </c>
      <c r="U46">
        <v>3</v>
      </c>
      <c r="V46">
        <v>12</v>
      </c>
      <c r="W46" s="9" t="s">
        <v>126</v>
      </c>
      <c r="Z46">
        <v>3</v>
      </c>
      <c r="AA46">
        <v>12</v>
      </c>
      <c r="AE46">
        <v>3</v>
      </c>
      <c r="AF46">
        <v>12</v>
      </c>
    </row>
    <row r="47" spans="1:32" x14ac:dyDescent="0.45">
      <c r="A47">
        <v>3</v>
      </c>
      <c r="B47">
        <v>13</v>
      </c>
      <c r="C47" s="9"/>
      <c r="F47">
        <v>3</v>
      </c>
      <c r="G47">
        <v>13</v>
      </c>
      <c r="K47">
        <v>3</v>
      </c>
      <c r="L47">
        <v>13</v>
      </c>
      <c r="P47">
        <v>3</v>
      </c>
      <c r="Q47">
        <v>13</v>
      </c>
      <c r="U47">
        <v>3</v>
      </c>
      <c r="V47">
        <v>13</v>
      </c>
      <c r="W47" s="9" t="s">
        <v>127</v>
      </c>
      <c r="Z47">
        <v>3</v>
      </c>
      <c r="AA47">
        <v>13</v>
      </c>
      <c r="AE47">
        <v>3</v>
      </c>
      <c r="AF47">
        <v>13</v>
      </c>
    </row>
    <row r="48" spans="1:32" x14ac:dyDescent="0.45">
      <c r="A48">
        <v>3</v>
      </c>
      <c r="B48">
        <v>14</v>
      </c>
      <c r="C48" s="9"/>
      <c r="F48">
        <v>3</v>
      </c>
      <c r="G48">
        <v>14</v>
      </c>
      <c r="K48">
        <v>3</v>
      </c>
      <c r="L48">
        <v>14</v>
      </c>
      <c r="P48">
        <v>3</v>
      </c>
      <c r="Q48">
        <v>14</v>
      </c>
      <c r="U48">
        <v>3</v>
      </c>
      <c r="V48">
        <v>14</v>
      </c>
      <c r="W48" s="9" t="s">
        <v>128</v>
      </c>
      <c r="Z48">
        <v>3</v>
      </c>
      <c r="AA48">
        <v>14</v>
      </c>
      <c r="AE48">
        <v>3</v>
      </c>
      <c r="AF48">
        <v>14</v>
      </c>
    </row>
    <row r="49" spans="1:32" x14ac:dyDescent="0.45">
      <c r="A49">
        <v>3</v>
      </c>
      <c r="B49">
        <v>15</v>
      </c>
      <c r="C49" s="9"/>
      <c r="F49">
        <v>3</v>
      </c>
      <c r="G49">
        <v>15</v>
      </c>
      <c r="K49">
        <v>3</v>
      </c>
      <c r="L49">
        <v>15</v>
      </c>
      <c r="P49">
        <v>3</v>
      </c>
      <c r="Q49">
        <v>15</v>
      </c>
      <c r="U49">
        <v>3</v>
      </c>
      <c r="V49">
        <v>15</v>
      </c>
      <c r="W49" s="9" t="s">
        <v>129</v>
      </c>
      <c r="Z49">
        <v>3</v>
      </c>
      <c r="AA49">
        <v>15</v>
      </c>
      <c r="AE49">
        <v>3</v>
      </c>
      <c r="AF49">
        <v>15</v>
      </c>
    </row>
    <row r="50" spans="1:32" x14ac:dyDescent="0.45">
      <c r="A50">
        <v>3</v>
      </c>
      <c r="B50">
        <v>16</v>
      </c>
      <c r="F50">
        <v>3</v>
      </c>
      <c r="G50">
        <v>16</v>
      </c>
      <c r="K50">
        <v>3</v>
      </c>
      <c r="L50">
        <v>16</v>
      </c>
      <c r="P50">
        <v>3</v>
      </c>
      <c r="Q50">
        <v>16</v>
      </c>
      <c r="U50">
        <v>3</v>
      </c>
      <c r="V50">
        <v>16</v>
      </c>
      <c r="Z50">
        <v>3</v>
      </c>
      <c r="AA50">
        <v>16</v>
      </c>
      <c r="AE50">
        <v>3</v>
      </c>
      <c r="AF50">
        <v>16</v>
      </c>
    </row>
  </sheetData>
  <mergeCells count="7">
    <mergeCell ref="AE1:AH1"/>
    <mergeCell ref="A1:D1"/>
    <mergeCell ref="F1:I1"/>
    <mergeCell ref="K1:N1"/>
    <mergeCell ref="P1:S1"/>
    <mergeCell ref="U1:X1"/>
    <mergeCell ref="Z1:A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D15"/>
  <sheetViews>
    <sheetView workbookViewId="0">
      <selection activeCell="D2" sqref="D2"/>
    </sheetView>
  </sheetViews>
  <sheetFormatPr baseColWidth="10" defaultRowHeight="14.25" x14ac:dyDescent="0.45"/>
  <cols>
    <col min="1" max="1" width="7.3984375" bestFit="1" customWidth="1"/>
    <col min="2" max="2" width="3.265625" bestFit="1" customWidth="1"/>
    <col min="3" max="3" width="8.86328125" bestFit="1" customWidth="1"/>
    <col min="4" max="4" width="6.3984375" bestFit="1" customWidth="1"/>
  </cols>
  <sheetData>
    <row r="1" spans="1:4" x14ac:dyDescent="0.45">
      <c r="A1" t="s">
        <v>21</v>
      </c>
      <c r="B1" t="s">
        <v>41</v>
      </c>
      <c r="C1" t="s">
        <v>42</v>
      </c>
      <c r="D1" t="s">
        <v>43</v>
      </c>
    </row>
    <row r="2" spans="1:4" x14ac:dyDescent="0.45">
      <c r="A2">
        <v>1</v>
      </c>
      <c r="B2">
        <v>1</v>
      </c>
    </row>
    <row r="3" spans="1:4" x14ac:dyDescent="0.45">
      <c r="A3">
        <v>1</v>
      </c>
      <c r="B3">
        <v>2</v>
      </c>
    </row>
    <row r="4" spans="1:4" x14ac:dyDescent="0.45">
      <c r="A4">
        <v>1</v>
      </c>
      <c r="B4">
        <v>3</v>
      </c>
    </row>
    <row r="5" spans="1:4" x14ac:dyDescent="0.45">
      <c r="A5">
        <v>1</v>
      </c>
      <c r="B5">
        <v>4</v>
      </c>
    </row>
    <row r="6" spans="1:4" x14ac:dyDescent="0.45">
      <c r="A6">
        <v>1</v>
      </c>
      <c r="B6">
        <v>5</v>
      </c>
    </row>
    <row r="7" spans="1:4" x14ac:dyDescent="0.45">
      <c r="A7">
        <v>1</v>
      </c>
      <c r="B7">
        <v>6</v>
      </c>
    </row>
    <row r="8" spans="1:4" x14ac:dyDescent="0.45">
      <c r="A8">
        <v>1</v>
      </c>
      <c r="B8">
        <v>7</v>
      </c>
    </row>
    <row r="9" spans="1:4" x14ac:dyDescent="0.45">
      <c r="A9">
        <v>1</v>
      </c>
      <c r="B9">
        <v>8</v>
      </c>
    </row>
    <row r="10" spans="1:4" x14ac:dyDescent="0.45">
      <c r="A10">
        <v>1</v>
      </c>
      <c r="B10">
        <v>9</v>
      </c>
    </row>
    <row r="11" spans="1:4" x14ac:dyDescent="0.45">
      <c r="A11">
        <v>1</v>
      </c>
      <c r="B11">
        <v>10</v>
      </c>
    </row>
    <row r="12" spans="1:4" x14ac:dyDescent="0.45">
      <c r="A12">
        <v>1</v>
      </c>
      <c r="B12">
        <v>11</v>
      </c>
    </row>
    <row r="13" spans="1:4" x14ac:dyDescent="0.45">
      <c r="A13">
        <v>1</v>
      </c>
      <c r="B13">
        <v>12</v>
      </c>
    </row>
    <row r="14" spans="1:4" x14ac:dyDescent="0.45">
      <c r="A14">
        <v>1</v>
      </c>
      <c r="B14">
        <v>13</v>
      </c>
    </row>
    <row r="15" spans="1:4" x14ac:dyDescent="0.45">
      <c r="A15">
        <v>1</v>
      </c>
      <c r="B15">
        <v>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/>
  <dimension ref="A3:Y266"/>
  <sheetViews>
    <sheetView workbookViewId="0">
      <selection activeCell="O23" sqref="O23"/>
    </sheetView>
  </sheetViews>
  <sheetFormatPr baseColWidth="10" defaultRowHeight="14.25" x14ac:dyDescent="0.45"/>
  <cols>
    <col min="5" max="5" width="37.1328125" bestFit="1" customWidth="1"/>
  </cols>
  <sheetData>
    <row r="3" spans="1:16" x14ac:dyDescent="0.45">
      <c r="A3" t="s">
        <v>174</v>
      </c>
    </row>
    <row r="4" spans="1:16" x14ac:dyDescent="0.45">
      <c r="A4" t="s">
        <v>175</v>
      </c>
    </row>
    <row r="5" spans="1:16" x14ac:dyDescent="0.45">
      <c r="A5" t="s">
        <v>176</v>
      </c>
    </row>
    <row r="6" spans="1:16" x14ac:dyDescent="0.45">
      <c r="A6" s="9" t="s">
        <v>177</v>
      </c>
      <c r="I6" s="107"/>
      <c r="J6" s="106"/>
      <c r="K6" s="107"/>
      <c r="L6" s="106"/>
      <c r="M6" s="105"/>
      <c r="N6" s="106"/>
      <c r="P6" s="106"/>
    </row>
    <row r="7" spans="1:16" x14ac:dyDescent="0.45">
      <c r="A7" t="s">
        <v>178</v>
      </c>
    </row>
    <row r="8" spans="1:16" x14ac:dyDescent="0.45">
      <c r="A8" t="s">
        <v>179</v>
      </c>
    </row>
    <row r="9" spans="1:16" x14ac:dyDescent="0.45">
      <c r="A9" t="s">
        <v>180</v>
      </c>
    </row>
    <row r="10" spans="1:16" x14ac:dyDescent="0.45">
      <c r="A10" t="s">
        <v>181</v>
      </c>
      <c r="B10" s="9"/>
    </row>
    <row r="11" spans="1:16" x14ac:dyDescent="0.45">
      <c r="A11" t="s">
        <v>182</v>
      </c>
      <c r="B11" s="9"/>
    </row>
    <row r="12" spans="1:16" x14ac:dyDescent="0.45">
      <c r="A12" t="s">
        <v>183</v>
      </c>
      <c r="B12" s="9"/>
    </row>
    <row r="13" spans="1:16" x14ac:dyDescent="0.45">
      <c r="A13" t="s">
        <v>184</v>
      </c>
      <c r="B13" s="9"/>
    </row>
    <row r="14" spans="1:16" x14ac:dyDescent="0.45">
      <c r="A14" s="9" t="s">
        <v>185</v>
      </c>
      <c r="B14" s="9"/>
      <c r="I14" s="106"/>
      <c r="J14" s="106"/>
      <c r="K14" s="105"/>
      <c r="M14" s="106"/>
      <c r="N14" s="106"/>
    </row>
    <row r="15" spans="1:16" x14ac:dyDescent="0.45">
      <c r="A15" t="s">
        <v>186</v>
      </c>
      <c r="B15" s="9"/>
      <c r="C15" s="9"/>
      <c r="E15" s="9"/>
    </row>
    <row r="16" spans="1:16" x14ac:dyDescent="0.45">
      <c r="A16" t="s">
        <v>187</v>
      </c>
    </row>
    <row r="17" spans="1:25" x14ac:dyDescent="0.45">
      <c r="A17" t="s">
        <v>188</v>
      </c>
    </row>
    <row r="18" spans="1:25" x14ac:dyDescent="0.45">
      <c r="A18" t="s">
        <v>189</v>
      </c>
    </row>
    <row r="19" spans="1:25" x14ac:dyDescent="0.45">
      <c r="A19" t="s">
        <v>190</v>
      </c>
    </row>
    <row r="20" spans="1:25" x14ac:dyDescent="0.45">
      <c r="A20" t="s">
        <v>191</v>
      </c>
    </row>
    <row r="21" spans="1:25" x14ac:dyDescent="0.45">
      <c r="A21" t="s">
        <v>192</v>
      </c>
    </row>
    <row r="22" spans="1:25" x14ac:dyDescent="0.45">
      <c r="A22" t="s">
        <v>193</v>
      </c>
    </row>
    <row r="23" spans="1:25" x14ac:dyDescent="0.45">
      <c r="A23" t="s">
        <v>194</v>
      </c>
    </row>
    <row r="24" spans="1:25" x14ac:dyDescent="0.45">
      <c r="A24" t="s">
        <v>195</v>
      </c>
    </row>
    <row r="25" spans="1:25" x14ac:dyDescent="0.45">
      <c r="A25" t="s">
        <v>196</v>
      </c>
    </row>
    <row r="26" spans="1:25" x14ac:dyDescent="0.45">
      <c r="A26" t="s">
        <v>197</v>
      </c>
    </row>
    <row r="27" spans="1:25" x14ac:dyDescent="0.45">
      <c r="A27" t="s">
        <v>198</v>
      </c>
    </row>
    <row r="28" spans="1:25" x14ac:dyDescent="0.45">
      <c r="A28" t="s">
        <v>199</v>
      </c>
    </row>
    <row r="29" spans="1:25" x14ac:dyDescent="0.45">
      <c r="A29" t="s">
        <v>200</v>
      </c>
    </row>
    <row r="30" spans="1:25" x14ac:dyDescent="0.45">
      <c r="A30" t="s">
        <v>201</v>
      </c>
      <c r="O30" s="106"/>
      <c r="P30" s="105"/>
      <c r="S30" s="106"/>
      <c r="U30" s="105"/>
      <c r="Y30" s="106"/>
    </row>
    <row r="31" spans="1:25" x14ac:dyDescent="0.45">
      <c r="A31" t="s">
        <v>202</v>
      </c>
    </row>
    <row r="32" spans="1:25" x14ac:dyDescent="0.45">
      <c r="A32" t="s">
        <v>203</v>
      </c>
    </row>
    <row r="33" spans="1:17" x14ac:dyDescent="0.45">
      <c r="A33" t="s">
        <v>204</v>
      </c>
    </row>
    <row r="34" spans="1:17" x14ac:dyDescent="0.45">
      <c r="A34" t="s">
        <v>205</v>
      </c>
    </row>
    <row r="35" spans="1:17" x14ac:dyDescent="0.45">
      <c r="A35" t="s">
        <v>206</v>
      </c>
    </row>
    <row r="36" spans="1:17" x14ac:dyDescent="0.45">
      <c r="A36" t="s">
        <v>207</v>
      </c>
    </row>
    <row r="37" spans="1:17" x14ac:dyDescent="0.45">
      <c r="A37" t="s">
        <v>208</v>
      </c>
      <c r="J37" s="107"/>
      <c r="K37" s="106"/>
      <c r="L37" s="105"/>
      <c r="Q37" s="105"/>
    </row>
    <row r="38" spans="1:17" x14ac:dyDescent="0.45">
      <c r="A38" t="s">
        <v>209</v>
      </c>
    </row>
    <row r="39" spans="1:17" x14ac:dyDescent="0.45">
      <c r="A39" t="s">
        <v>210</v>
      </c>
    </row>
    <row r="40" spans="1:17" x14ac:dyDescent="0.45">
      <c r="A40" t="s">
        <v>211</v>
      </c>
    </row>
    <row r="41" spans="1:17" x14ac:dyDescent="0.45">
      <c r="A41" t="s">
        <v>212</v>
      </c>
    </row>
    <row r="42" spans="1:17" x14ac:dyDescent="0.45">
      <c r="A42" t="s">
        <v>213</v>
      </c>
    </row>
    <row r="43" spans="1:17" x14ac:dyDescent="0.45">
      <c r="A43" t="s">
        <v>214</v>
      </c>
    </row>
    <row r="44" spans="1:17" x14ac:dyDescent="0.45">
      <c r="A44" t="s">
        <v>215</v>
      </c>
    </row>
    <row r="45" spans="1:17" x14ac:dyDescent="0.45">
      <c r="A45" t="s">
        <v>216</v>
      </c>
    </row>
    <row r="46" spans="1:17" x14ac:dyDescent="0.45">
      <c r="A46" t="s">
        <v>217</v>
      </c>
    </row>
    <row r="47" spans="1:17" x14ac:dyDescent="0.45">
      <c r="A47" t="s">
        <v>218</v>
      </c>
    </row>
    <row r="48" spans="1:17" x14ac:dyDescent="0.45">
      <c r="A48" t="s">
        <v>219</v>
      </c>
    </row>
    <row r="49" spans="1:1" x14ac:dyDescent="0.45">
      <c r="A49" t="s">
        <v>220</v>
      </c>
    </row>
    <row r="50" spans="1:1" x14ac:dyDescent="0.45">
      <c r="A50" t="s">
        <v>221</v>
      </c>
    </row>
    <row r="51" spans="1:1" x14ac:dyDescent="0.45">
      <c r="A51" t="s">
        <v>190</v>
      </c>
    </row>
    <row r="52" spans="1:1" x14ac:dyDescent="0.45">
      <c r="A52" t="s">
        <v>222</v>
      </c>
    </row>
    <row r="53" spans="1:1" x14ac:dyDescent="0.45">
      <c r="A53" t="s">
        <v>223</v>
      </c>
    </row>
    <row r="54" spans="1:1" x14ac:dyDescent="0.45">
      <c r="A54" t="s">
        <v>224</v>
      </c>
    </row>
    <row r="55" spans="1:1" x14ac:dyDescent="0.45">
      <c r="A55" t="s">
        <v>225</v>
      </c>
    </row>
    <row r="56" spans="1:1" x14ac:dyDescent="0.45">
      <c r="A56" t="s">
        <v>226</v>
      </c>
    </row>
    <row r="57" spans="1:1" x14ac:dyDescent="0.45">
      <c r="A57" t="s">
        <v>227</v>
      </c>
    </row>
    <row r="58" spans="1:1" x14ac:dyDescent="0.45">
      <c r="A58" t="s">
        <v>228</v>
      </c>
    </row>
    <row r="59" spans="1:1" x14ac:dyDescent="0.45">
      <c r="A59" t="s">
        <v>229</v>
      </c>
    </row>
    <row r="60" spans="1:1" x14ac:dyDescent="0.45">
      <c r="A60" t="s">
        <v>230</v>
      </c>
    </row>
    <row r="61" spans="1:1" x14ac:dyDescent="0.45">
      <c r="A61" t="s">
        <v>231</v>
      </c>
    </row>
    <row r="62" spans="1:1" x14ac:dyDescent="0.45">
      <c r="A62" t="s">
        <v>232</v>
      </c>
    </row>
    <row r="63" spans="1:1" x14ac:dyDescent="0.45">
      <c r="A63" t="s">
        <v>233</v>
      </c>
    </row>
    <row r="64" spans="1:1" x14ac:dyDescent="0.45">
      <c r="A64" t="s">
        <v>234</v>
      </c>
    </row>
    <row r="65" spans="1:1" x14ac:dyDescent="0.45">
      <c r="A65" t="s">
        <v>235</v>
      </c>
    </row>
    <row r="66" spans="1:1" x14ac:dyDescent="0.45">
      <c r="A66" t="s">
        <v>236</v>
      </c>
    </row>
    <row r="67" spans="1:1" x14ac:dyDescent="0.45">
      <c r="A67" t="s">
        <v>237</v>
      </c>
    </row>
    <row r="68" spans="1:1" x14ac:dyDescent="0.45">
      <c r="A68" t="s">
        <v>238</v>
      </c>
    </row>
    <row r="69" spans="1:1" x14ac:dyDescent="0.45">
      <c r="A69" t="s">
        <v>190</v>
      </c>
    </row>
    <row r="70" spans="1:1" x14ac:dyDescent="0.45">
      <c r="A70" t="s">
        <v>239</v>
      </c>
    </row>
    <row r="71" spans="1:1" x14ac:dyDescent="0.45">
      <c r="A71" t="s">
        <v>240</v>
      </c>
    </row>
    <row r="72" spans="1:1" x14ac:dyDescent="0.45">
      <c r="A72" t="s">
        <v>241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22" x14ac:dyDescent="0.45">
      <c r="A81" t="s">
        <v>250</v>
      </c>
    </row>
    <row r="82" spans="1:22" x14ac:dyDescent="0.45">
      <c r="A82" t="s">
        <v>251</v>
      </c>
    </row>
    <row r="83" spans="1:22" x14ac:dyDescent="0.45">
      <c r="A83" t="s">
        <v>252</v>
      </c>
    </row>
    <row r="84" spans="1:22" x14ac:dyDescent="0.45">
      <c r="A84" t="s">
        <v>253</v>
      </c>
    </row>
    <row r="85" spans="1:22" x14ac:dyDescent="0.45">
      <c r="A85" t="s">
        <v>254</v>
      </c>
    </row>
    <row r="86" spans="1:22" x14ac:dyDescent="0.45">
      <c r="A86" t="s">
        <v>255</v>
      </c>
    </row>
    <row r="87" spans="1:22" x14ac:dyDescent="0.45">
      <c r="A87" t="s">
        <v>256</v>
      </c>
      <c r="K87" s="107"/>
      <c r="L87" s="106"/>
      <c r="M87" s="105"/>
      <c r="P87" s="106"/>
      <c r="R87" s="105"/>
      <c r="V87" s="106"/>
    </row>
    <row r="88" spans="1:22" x14ac:dyDescent="0.45">
      <c r="A88" t="s">
        <v>257</v>
      </c>
    </row>
    <row r="89" spans="1:22" x14ac:dyDescent="0.45">
      <c r="A89" t="s">
        <v>258</v>
      </c>
    </row>
    <row r="90" spans="1:22" x14ac:dyDescent="0.45">
      <c r="A90" t="s">
        <v>259</v>
      </c>
    </row>
    <row r="91" spans="1:22" x14ac:dyDescent="0.45">
      <c r="A91" t="s">
        <v>260</v>
      </c>
    </row>
    <row r="92" spans="1:22" x14ac:dyDescent="0.45">
      <c r="A92" t="s">
        <v>261</v>
      </c>
    </row>
    <row r="93" spans="1:22" x14ac:dyDescent="0.45">
      <c r="A93" t="s">
        <v>262</v>
      </c>
    </row>
    <row r="94" spans="1:22" x14ac:dyDescent="0.45">
      <c r="A94" t="s">
        <v>263</v>
      </c>
    </row>
    <row r="95" spans="1:22" x14ac:dyDescent="0.45">
      <c r="A95" t="s">
        <v>264</v>
      </c>
      <c r="J95" s="106"/>
      <c r="K95" s="105"/>
      <c r="N95" s="106"/>
      <c r="P95" s="105"/>
      <c r="T95" s="106"/>
    </row>
    <row r="96" spans="1:22" x14ac:dyDescent="0.45">
      <c r="A96" t="s">
        <v>265</v>
      </c>
    </row>
    <row r="97" spans="1:1" x14ac:dyDescent="0.45">
      <c r="A97" t="s">
        <v>266</v>
      </c>
    </row>
    <row r="98" spans="1:1" x14ac:dyDescent="0.45">
      <c r="A98" t="s">
        <v>267</v>
      </c>
    </row>
    <row r="99" spans="1:1" x14ac:dyDescent="0.45">
      <c r="A99" t="s">
        <v>268</v>
      </c>
    </row>
    <row r="100" spans="1:1" x14ac:dyDescent="0.45">
      <c r="A100" t="s">
        <v>190</v>
      </c>
    </row>
    <row r="101" spans="1:1" x14ac:dyDescent="0.45">
      <c r="A101" t="s">
        <v>269</v>
      </c>
    </row>
    <row r="102" spans="1:1" x14ac:dyDescent="0.45">
      <c r="A102" t="s">
        <v>270</v>
      </c>
    </row>
    <row r="103" spans="1:1" x14ac:dyDescent="0.45">
      <c r="A103" t="s">
        <v>271</v>
      </c>
    </row>
    <row r="104" spans="1:1" x14ac:dyDescent="0.45">
      <c r="A104" t="s">
        <v>272</v>
      </c>
    </row>
    <row r="105" spans="1:1" x14ac:dyDescent="0.45">
      <c r="A105" t="s">
        <v>273</v>
      </c>
    </row>
    <row r="106" spans="1:1" x14ac:dyDescent="0.45">
      <c r="A106" t="s">
        <v>274</v>
      </c>
    </row>
    <row r="107" spans="1:1" x14ac:dyDescent="0.45">
      <c r="A107" t="s">
        <v>275</v>
      </c>
    </row>
    <row r="108" spans="1:1" x14ac:dyDescent="0.45">
      <c r="A108" t="s">
        <v>276</v>
      </c>
    </row>
    <row r="109" spans="1:1" x14ac:dyDescent="0.45">
      <c r="A109" t="s">
        <v>277</v>
      </c>
    </row>
    <row r="110" spans="1:1" x14ac:dyDescent="0.45">
      <c r="A110" t="s">
        <v>278</v>
      </c>
    </row>
    <row r="111" spans="1:1" x14ac:dyDescent="0.45">
      <c r="A111" t="s">
        <v>279</v>
      </c>
    </row>
    <row r="112" spans="1:1" x14ac:dyDescent="0.45">
      <c r="A112" t="s">
        <v>280</v>
      </c>
    </row>
    <row r="113" spans="1:1" x14ac:dyDescent="0.45">
      <c r="A113" t="s">
        <v>281</v>
      </c>
    </row>
    <row r="114" spans="1:1" x14ac:dyDescent="0.45">
      <c r="A114" t="s">
        <v>282</v>
      </c>
    </row>
    <row r="115" spans="1:1" x14ac:dyDescent="0.45">
      <c r="A115" t="s">
        <v>283</v>
      </c>
    </row>
    <row r="116" spans="1:1" x14ac:dyDescent="0.45">
      <c r="A116" t="s">
        <v>284</v>
      </c>
    </row>
    <row r="117" spans="1:1" x14ac:dyDescent="0.45">
      <c r="A117" t="s">
        <v>285</v>
      </c>
    </row>
    <row r="118" spans="1:1" x14ac:dyDescent="0.45">
      <c r="A118" t="s">
        <v>286</v>
      </c>
    </row>
    <row r="119" spans="1:1" x14ac:dyDescent="0.45">
      <c r="A119" t="s">
        <v>190</v>
      </c>
    </row>
    <row r="120" spans="1:1" x14ac:dyDescent="0.45">
      <c r="A120" t="s">
        <v>287</v>
      </c>
    </row>
    <row r="121" spans="1:1" x14ac:dyDescent="0.45">
      <c r="A121" t="s">
        <v>288</v>
      </c>
    </row>
    <row r="122" spans="1:1" x14ac:dyDescent="0.45">
      <c r="A122" t="s">
        <v>289</v>
      </c>
    </row>
    <row r="123" spans="1:1" x14ac:dyDescent="0.45">
      <c r="A123" t="s">
        <v>290</v>
      </c>
    </row>
    <row r="124" spans="1:1" x14ac:dyDescent="0.45">
      <c r="A124" t="s">
        <v>291</v>
      </c>
    </row>
    <row r="125" spans="1:1" x14ac:dyDescent="0.45">
      <c r="A125" t="s">
        <v>292</v>
      </c>
    </row>
    <row r="126" spans="1:1" x14ac:dyDescent="0.45">
      <c r="A126" t="s">
        <v>293</v>
      </c>
    </row>
    <row r="127" spans="1:1" x14ac:dyDescent="0.45">
      <c r="A127" t="s">
        <v>294</v>
      </c>
    </row>
    <row r="128" spans="1:1" x14ac:dyDescent="0.45">
      <c r="A128" t="s">
        <v>295</v>
      </c>
    </row>
    <row r="129" spans="1:1" x14ac:dyDescent="0.45">
      <c r="A129" t="s">
        <v>296</v>
      </c>
    </row>
    <row r="130" spans="1:1" x14ac:dyDescent="0.45">
      <c r="A130" t="s">
        <v>297</v>
      </c>
    </row>
    <row r="131" spans="1:1" x14ac:dyDescent="0.45">
      <c r="A131" t="s">
        <v>298</v>
      </c>
    </row>
    <row r="132" spans="1:1" x14ac:dyDescent="0.45">
      <c r="A132" t="s">
        <v>299</v>
      </c>
    </row>
    <row r="133" spans="1:1" x14ac:dyDescent="0.45">
      <c r="A133" t="s">
        <v>300</v>
      </c>
    </row>
    <row r="134" spans="1:1" x14ac:dyDescent="0.45">
      <c r="A134" t="s">
        <v>301</v>
      </c>
    </row>
    <row r="135" spans="1:1" x14ac:dyDescent="0.45">
      <c r="A135" t="s">
        <v>302</v>
      </c>
    </row>
    <row r="136" spans="1:1" x14ac:dyDescent="0.45">
      <c r="A136" t="s">
        <v>303</v>
      </c>
    </row>
    <row r="137" spans="1:1" x14ac:dyDescent="0.45">
      <c r="A137" t="s">
        <v>304</v>
      </c>
    </row>
    <row r="138" spans="1:1" x14ac:dyDescent="0.45">
      <c r="A138" t="s">
        <v>305</v>
      </c>
    </row>
    <row r="139" spans="1:1" x14ac:dyDescent="0.45">
      <c r="A139" t="s">
        <v>190</v>
      </c>
    </row>
    <row r="140" spans="1:1" x14ac:dyDescent="0.45">
      <c r="A140" t="s">
        <v>306</v>
      </c>
    </row>
    <row r="141" spans="1:1" x14ac:dyDescent="0.45">
      <c r="A141" t="s">
        <v>307</v>
      </c>
    </row>
    <row r="142" spans="1:1" x14ac:dyDescent="0.45">
      <c r="A142" t="s">
        <v>308</v>
      </c>
    </row>
    <row r="143" spans="1:1" x14ac:dyDescent="0.45">
      <c r="A143" t="s">
        <v>309</v>
      </c>
    </row>
    <row r="144" spans="1:1" x14ac:dyDescent="0.45">
      <c r="A144" t="s">
        <v>310</v>
      </c>
    </row>
    <row r="145" spans="1:1" x14ac:dyDescent="0.45">
      <c r="A145" t="s">
        <v>311</v>
      </c>
    </row>
    <row r="146" spans="1:1" x14ac:dyDescent="0.45">
      <c r="A146" t="s">
        <v>312</v>
      </c>
    </row>
    <row r="147" spans="1:1" x14ac:dyDescent="0.45">
      <c r="A147" t="s">
        <v>313</v>
      </c>
    </row>
    <row r="148" spans="1:1" x14ac:dyDescent="0.45">
      <c r="A148" t="s">
        <v>314</v>
      </c>
    </row>
    <row r="149" spans="1:1" x14ac:dyDescent="0.45">
      <c r="A149" t="s">
        <v>315</v>
      </c>
    </row>
    <row r="150" spans="1:1" x14ac:dyDescent="0.45">
      <c r="A150" t="s">
        <v>316</v>
      </c>
    </row>
    <row r="151" spans="1:1" x14ac:dyDescent="0.45">
      <c r="A151" t="s">
        <v>317</v>
      </c>
    </row>
    <row r="152" spans="1:1" x14ac:dyDescent="0.45">
      <c r="A152" t="s">
        <v>318</v>
      </c>
    </row>
    <row r="153" spans="1:1" x14ac:dyDescent="0.45">
      <c r="A153" t="s">
        <v>319</v>
      </c>
    </row>
    <row r="154" spans="1:1" x14ac:dyDescent="0.45">
      <c r="A154" t="s">
        <v>320</v>
      </c>
    </row>
    <row r="155" spans="1:1" x14ac:dyDescent="0.45">
      <c r="A155" t="s">
        <v>321</v>
      </c>
    </row>
    <row r="156" spans="1:1" x14ac:dyDescent="0.45">
      <c r="A156" t="s">
        <v>322</v>
      </c>
    </row>
    <row r="157" spans="1:1" x14ac:dyDescent="0.45">
      <c r="A157" t="s">
        <v>190</v>
      </c>
    </row>
    <row r="158" spans="1:1" x14ac:dyDescent="0.45">
      <c r="A158" t="s">
        <v>323</v>
      </c>
    </row>
    <row r="159" spans="1:1" x14ac:dyDescent="0.45">
      <c r="A159" t="s">
        <v>324</v>
      </c>
    </row>
    <row r="160" spans="1:1" x14ac:dyDescent="0.45">
      <c r="A160" t="s">
        <v>325</v>
      </c>
    </row>
    <row r="161" spans="1:1" x14ac:dyDescent="0.45">
      <c r="A161" t="s">
        <v>326</v>
      </c>
    </row>
    <row r="162" spans="1:1" x14ac:dyDescent="0.45">
      <c r="A162" t="s">
        <v>327</v>
      </c>
    </row>
    <row r="163" spans="1:1" x14ac:dyDescent="0.45">
      <c r="A163" t="s">
        <v>328</v>
      </c>
    </row>
    <row r="164" spans="1:1" x14ac:dyDescent="0.45">
      <c r="A164" t="s">
        <v>329</v>
      </c>
    </row>
    <row r="165" spans="1:1" x14ac:dyDescent="0.45">
      <c r="A165" t="s">
        <v>330</v>
      </c>
    </row>
    <row r="166" spans="1:1" x14ac:dyDescent="0.45">
      <c r="A166" t="s">
        <v>331</v>
      </c>
    </row>
    <row r="167" spans="1:1" x14ac:dyDescent="0.45">
      <c r="A167" t="s">
        <v>332</v>
      </c>
    </row>
    <row r="168" spans="1:1" x14ac:dyDescent="0.45">
      <c r="A168" t="s">
        <v>333</v>
      </c>
    </row>
    <row r="169" spans="1:1" x14ac:dyDescent="0.45">
      <c r="A169" t="s">
        <v>334</v>
      </c>
    </row>
    <row r="170" spans="1:1" x14ac:dyDescent="0.45">
      <c r="A170" t="s">
        <v>335</v>
      </c>
    </row>
    <row r="171" spans="1:1" x14ac:dyDescent="0.45">
      <c r="A171" t="s">
        <v>336</v>
      </c>
    </row>
    <row r="172" spans="1:1" x14ac:dyDescent="0.45">
      <c r="A172" t="s">
        <v>337</v>
      </c>
    </row>
    <row r="173" spans="1:1" x14ac:dyDescent="0.45">
      <c r="A173" t="s">
        <v>338</v>
      </c>
    </row>
    <row r="174" spans="1:1" x14ac:dyDescent="0.45">
      <c r="A174" t="s">
        <v>339</v>
      </c>
    </row>
    <row r="175" spans="1:1" x14ac:dyDescent="0.45">
      <c r="A175" t="s">
        <v>340</v>
      </c>
    </row>
    <row r="176" spans="1:1" x14ac:dyDescent="0.45">
      <c r="A176" t="s">
        <v>341</v>
      </c>
    </row>
    <row r="177" spans="1:1" x14ac:dyDescent="0.45">
      <c r="A177" t="s">
        <v>342</v>
      </c>
    </row>
    <row r="178" spans="1:1" x14ac:dyDescent="0.45">
      <c r="A178" t="s">
        <v>343</v>
      </c>
    </row>
    <row r="179" spans="1:1" x14ac:dyDescent="0.45">
      <c r="A179" t="s">
        <v>344</v>
      </c>
    </row>
    <row r="180" spans="1:1" x14ac:dyDescent="0.45">
      <c r="A180" t="s">
        <v>345</v>
      </c>
    </row>
    <row r="181" spans="1:1" x14ac:dyDescent="0.45">
      <c r="A181" t="s">
        <v>346</v>
      </c>
    </row>
    <row r="182" spans="1:1" x14ac:dyDescent="0.45">
      <c r="A182" t="s">
        <v>347</v>
      </c>
    </row>
    <row r="183" spans="1:1" x14ac:dyDescent="0.45">
      <c r="A183" t="s">
        <v>348</v>
      </c>
    </row>
    <row r="184" spans="1:1" x14ac:dyDescent="0.45">
      <c r="A184" t="s">
        <v>349</v>
      </c>
    </row>
    <row r="185" spans="1:1" x14ac:dyDescent="0.45">
      <c r="A185" t="s">
        <v>350</v>
      </c>
    </row>
    <row r="186" spans="1:1" x14ac:dyDescent="0.45">
      <c r="A186" t="s">
        <v>351</v>
      </c>
    </row>
    <row r="187" spans="1:1" x14ac:dyDescent="0.45">
      <c r="A187" t="s">
        <v>352</v>
      </c>
    </row>
    <row r="188" spans="1:1" x14ac:dyDescent="0.45">
      <c r="A188" t="s">
        <v>353</v>
      </c>
    </row>
    <row r="189" spans="1:1" x14ac:dyDescent="0.45">
      <c r="A189" t="s">
        <v>354</v>
      </c>
    </row>
    <row r="190" spans="1:1" x14ac:dyDescent="0.45">
      <c r="A190" t="s">
        <v>190</v>
      </c>
    </row>
    <row r="191" spans="1:1" x14ac:dyDescent="0.45">
      <c r="A191" t="s">
        <v>355</v>
      </c>
    </row>
    <row r="192" spans="1:1" x14ac:dyDescent="0.45">
      <c r="A192" t="s">
        <v>356</v>
      </c>
    </row>
    <row r="193" spans="1:1" x14ac:dyDescent="0.45">
      <c r="A193" t="s">
        <v>357</v>
      </c>
    </row>
    <row r="194" spans="1:1" x14ac:dyDescent="0.45">
      <c r="A194" t="s">
        <v>358</v>
      </c>
    </row>
    <row r="195" spans="1:1" x14ac:dyDescent="0.45">
      <c r="A195" t="s">
        <v>359</v>
      </c>
    </row>
    <row r="196" spans="1:1" x14ac:dyDescent="0.45">
      <c r="A196" t="s">
        <v>360</v>
      </c>
    </row>
    <row r="197" spans="1:1" x14ac:dyDescent="0.45">
      <c r="A197" t="s">
        <v>361</v>
      </c>
    </row>
    <row r="198" spans="1:1" x14ac:dyDescent="0.45">
      <c r="A198" t="s">
        <v>362</v>
      </c>
    </row>
    <row r="199" spans="1:1" x14ac:dyDescent="0.45">
      <c r="A199" t="s">
        <v>363</v>
      </c>
    </row>
    <row r="200" spans="1:1" x14ac:dyDescent="0.45">
      <c r="A200" t="s">
        <v>364</v>
      </c>
    </row>
    <row r="201" spans="1:1" x14ac:dyDescent="0.45">
      <c r="A201" t="s">
        <v>365</v>
      </c>
    </row>
    <row r="202" spans="1:1" x14ac:dyDescent="0.45">
      <c r="A202" t="s">
        <v>366</v>
      </c>
    </row>
    <row r="203" spans="1:1" x14ac:dyDescent="0.45">
      <c r="A203" t="s">
        <v>367</v>
      </c>
    </row>
    <row r="204" spans="1:1" x14ac:dyDescent="0.45">
      <c r="A204" t="s">
        <v>368</v>
      </c>
    </row>
    <row r="205" spans="1:1" x14ac:dyDescent="0.45">
      <c r="A205" t="s">
        <v>369</v>
      </c>
    </row>
    <row r="206" spans="1:1" x14ac:dyDescent="0.45">
      <c r="A206" t="s">
        <v>370</v>
      </c>
    </row>
    <row r="207" spans="1:1" x14ac:dyDescent="0.45">
      <c r="A207" t="s">
        <v>371</v>
      </c>
    </row>
    <row r="208" spans="1:1" x14ac:dyDescent="0.45">
      <c r="A208" t="s">
        <v>372</v>
      </c>
    </row>
    <row r="209" spans="1:1" x14ac:dyDescent="0.45">
      <c r="A209" t="s">
        <v>190</v>
      </c>
    </row>
    <row r="210" spans="1:1" x14ac:dyDescent="0.45">
      <c r="A210" t="s">
        <v>373</v>
      </c>
    </row>
    <row r="211" spans="1:1" x14ac:dyDescent="0.45">
      <c r="A211" t="s">
        <v>374</v>
      </c>
    </row>
    <row r="212" spans="1:1" x14ac:dyDescent="0.45">
      <c r="A212" t="s">
        <v>375</v>
      </c>
    </row>
    <row r="213" spans="1:1" x14ac:dyDescent="0.45">
      <c r="A213" t="s">
        <v>376</v>
      </c>
    </row>
    <row r="214" spans="1:1" x14ac:dyDescent="0.45">
      <c r="A214" t="s">
        <v>377</v>
      </c>
    </row>
    <row r="215" spans="1:1" x14ac:dyDescent="0.45">
      <c r="A215" t="s">
        <v>378</v>
      </c>
    </row>
    <row r="216" spans="1:1" x14ac:dyDescent="0.45">
      <c r="A216" t="s">
        <v>379</v>
      </c>
    </row>
    <row r="217" spans="1:1" x14ac:dyDescent="0.45">
      <c r="A217" t="s">
        <v>380</v>
      </c>
    </row>
    <row r="218" spans="1:1" x14ac:dyDescent="0.45">
      <c r="A218" t="s">
        <v>381</v>
      </c>
    </row>
    <row r="219" spans="1:1" x14ac:dyDescent="0.45">
      <c r="A219" t="s">
        <v>382</v>
      </c>
    </row>
    <row r="220" spans="1:1" x14ac:dyDescent="0.45">
      <c r="A220" t="s">
        <v>383</v>
      </c>
    </row>
    <row r="221" spans="1:1" x14ac:dyDescent="0.45">
      <c r="A221" t="s">
        <v>384</v>
      </c>
    </row>
    <row r="222" spans="1:1" x14ac:dyDescent="0.45">
      <c r="A222" t="s">
        <v>385</v>
      </c>
    </row>
    <row r="223" spans="1:1" x14ac:dyDescent="0.45">
      <c r="A223" t="s">
        <v>386</v>
      </c>
    </row>
    <row r="224" spans="1:1" x14ac:dyDescent="0.45">
      <c r="A224" t="s">
        <v>387</v>
      </c>
    </row>
    <row r="225" spans="1:1" x14ac:dyDescent="0.45">
      <c r="A225" t="s">
        <v>388</v>
      </c>
    </row>
    <row r="226" spans="1:1" x14ac:dyDescent="0.45">
      <c r="A226" t="s">
        <v>389</v>
      </c>
    </row>
    <row r="227" spans="1:1" x14ac:dyDescent="0.45">
      <c r="A227" t="s">
        <v>390</v>
      </c>
    </row>
    <row r="228" spans="1:1" x14ac:dyDescent="0.45">
      <c r="A228" t="s">
        <v>391</v>
      </c>
    </row>
    <row r="229" spans="1:1" x14ac:dyDescent="0.45">
      <c r="A229" t="s">
        <v>190</v>
      </c>
    </row>
    <row r="230" spans="1:1" x14ac:dyDescent="0.45">
      <c r="A230" t="s">
        <v>392</v>
      </c>
    </row>
    <row r="231" spans="1:1" x14ac:dyDescent="0.45">
      <c r="A231" t="s">
        <v>393</v>
      </c>
    </row>
    <row r="232" spans="1:1" x14ac:dyDescent="0.45">
      <c r="A232" t="s">
        <v>394</v>
      </c>
    </row>
    <row r="233" spans="1:1" x14ac:dyDescent="0.45">
      <c r="A233" t="s">
        <v>395</v>
      </c>
    </row>
    <row r="234" spans="1:1" x14ac:dyDescent="0.45">
      <c r="A234" t="s">
        <v>396</v>
      </c>
    </row>
    <row r="235" spans="1:1" x14ac:dyDescent="0.45">
      <c r="A235" t="s">
        <v>397</v>
      </c>
    </row>
    <row r="236" spans="1:1" x14ac:dyDescent="0.45">
      <c r="A236" t="s">
        <v>398</v>
      </c>
    </row>
    <row r="237" spans="1:1" x14ac:dyDescent="0.45">
      <c r="A237" t="s">
        <v>399</v>
      </c>
    </row>
    <row r="238" spans="1:1" x14ac:dyDescent="0.45">
      <c r="A238" t="s">
        <v>400</v>
      </c>
    </row>
    <row r="239" spans="1:1" x14ac:dyDescent="0.45">
      <c r="A239" t="s">
        <v>401</v>
      </c>
    </row>
    <row r="240" spans="1:1" x14ac:dyDescent="0.45">
      <c r="A240" t="s">
        <v>402</v>
      </c>
    </row>
    <row r="241" spans="1:1" x14ac:dyDescent="0.45">
      <c r="A241" t="s">
        <v>403</v>
      </c>
    </row>
    <row r="242" spans="1:1" x14ac:dyDescent="0.45">
      <c r="A242" t="s">
        <v>404</v>
      </c>
    </row>
    <row r="243" spans="1:1" x14ac:dyDescent="0.45">
      <c r="A243" t="s">
        <v>405</v>
      </c>
    </row>
    <row r="244" spans="1:1" x14ac:dyDescent="0.45">
      <c r="A244" t="s">
        <v>406</v>
      </c>
    </row>
    <row r="245" spans="1:1" x14ac:dyDescent="0.45">
      <c r="A245" t="s">
        <v>407</v>
      </c>
    </row>
    <row r="246" spans="1:1" x14ac:dyDescent="0.45">
      <c r="A246" t="s">
        <v>408</v>
      </c>
    </row>
    <row r="247" spans="1:1" x14ac:dyDescent="0.45">
      <c r="A247" t="s">
        <v>409</v>
      </c>
    </row>
    <row r="248" spans="1:1" x14ac:dyDescent="0.45">
      <c r="A248" t="s">
        <v>410</v>
      </c>
    </row>
    <row r="249" spans="1:1" x14ac:dyDescent="0.45">
      <c r="A249" t="s">
        <v>411</v>
      </c>
    </row>
    <row r="250" spans="1:1" x14ac:dyDescent="0.45">
      <c r="A250" t="s">
        <v>412</v>
      </c>
    </row>
    <row r="251" spans="1:1" x14ac:dyDescent="0.45">
      <c r="A251" t="s">
        <v>413</v>
      </c>
    </row>
    <row r="252" spans="1:1" x14ac:dyDescent="0.45">
      <c r="A252" t="s">
        <v>414</v>
      </c>
    </row>
    <row r="253" spans="1:1" x14ac:dyDescent="0.45">
      <c r="A253" t="s">
        <v>415</v>
      </c>
    </row>
    <row r="254" spans="1:1" x14ac:dyDescent="0.45">
      <c r="A254" t="s">
        <v>416</v>
      </c>
    </row>
    <row r="255" spans="1:1" x14ac:dyDescent="0.45">
      <c r="A255" t="s">
        <v>417</v>
      </c>
    </row>
    <row r="256" spans="1:1" x14ac:dyDescent="0.45">
      <c r="A256" t="s">
        <v>418</v>
      </c>
    </row>
    <row r="257" spans="1:1" x14ac:dyDescent="0.45">
      <c r="A257" t="s">
        <v>419</v>
      </c>
    </row>
    <row r="258" spans="1:1" x14ac:dyDescent="0.45">
      <c r="A258" t="s">
        <v>420</v>
      </c>
    </row>
    <row r="259" spans="1:1" x14ac:dyDescent="0.45">
      <c r="A259" t="s">
        <v>421</v>
      </c>
    </row>
    <row r="260" spans="1:1" x14ac:dyDescent="0.45">
      <c r="A260" t="s">
        <v>422</v>
      </c>
    </row>
    <row r="261" spans="1:1" x14ac:dyDescent="0.45">
      <c r="A261" t="s">
        <v>423</v>
      </c>
    </row>
    <row r="262" spans="1:1" x14ac:dyDescent="0.45">
      <c r="A262" t="s">
        <v>424</v>
      </c>
    </row>
    <row r="263" spans="1:1" x14ac:dyDescent="0.45">
      <c r="A263" t="s">
        <v>425</v>
      </c>
    </row>
    <row r="264" spans="1:1" x14ac:dyDescent="0.45">
      <c r="A264" t="s">
        <v>426</v>
      </c>
    </row>
    <row r="265" spans="1:1" x14ac:dyDescent="0.45">
      <c r="A265" t="s">
        <v>427</v>
      </c>
    </row>
    <row r="266" spans="1:1" x14ac:dyDescent="0.45">
      <c r="A266" t="s">
        <v>428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arsearNomina_Importacion_Flexible">
                <anchor moveWithCells="1" siz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2</xdr:col>
                    <xdr:colOff>180975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8f71fa0-760d-47db-bba8-e9e95f236c1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6F61A898CCB4F4A8027E23E86623C0B" ma:contentTypeVersion="6" ma:contentTypeDescription="Crear nuevo documento." ma:contentTypeScope="" ma:versionID="a39d713f5346d1bb16a82c9cd88788fb">
  <xsd:schema xmlns:xsd="http://www.w3.org/2001/XMLSchema" xmlns:xs="http://www.w3.org/2001/XMLSchema" xmlns:p="http://schemas.microsoft.com/office/2006/metadata/properties" xmlns:ns3="b8f71fa0-760d-47db-bba8-e9e95f236c15" targetNamespace="http://schemas.microsoft.com/office/2006/metadata/properties" ma:root="true" ma:fieldsID="2a2c4b633707e64bc92849f2b1f12137" ns3:_="">
    <xsd:import namespace="b8f71fa0-760d-47db-bba8-e9e95f236c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f71fa0-760d-47db-bba8-e9e95f236c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BD8C52-0D47-4C36-A2DF-9EDCBA0C2723}">
  <ds:schemaRefs>
    <ds:schemaRef ds:uri="b8f71fa0-760d-47db-bba8-e9e95f236c15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purl.org/dc/dcmitype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A82983B-3796-4129-8961-E59902253B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f71fa0-760d-47db-bba8-e9e95f236c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8BCD2C0-83D0-45E0-AB30-CF9077454B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STUD</vt:lpstr>
      <vt:lpstr>Lunes</vt:lpstr>
      <vt:lpstr>Martes</vt:lpstr>
      <vt:lpstr>Miercoles</vt:lpstr>
      <vt:lpstr>Jueves</vt:lpstr>
      <vt:lpstr>Viernes</vt:lpstr>
      <vt:lpstr>Sabado</vt:lpstr>
      <vt:lpstr>Domingo</vt:lpstr>
      <vt:lpstr>Programa</vt:lpstr>
      <vt:lpstr>Importacion</vt:lpstr>
      <vt:lpstr>Generar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Israel Ojeda</dc:creator>
  <cp:keywords/>
  <dc:description/>
  <cp:lastModifiedBy>alvaro osses</cp:lastModifiedBy>
  <cp:revision/>
  <dcterms:created xsi:type="dcterms:W3CDTF">2018-02-21T21:36:50Z</dcterms:created>
  <dcterms:modified xsi:type="dcterms:W3CDTF">2026-04-04T16:05:03Z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0x010100C6F61A898CCB4F4A8027E23E86623C0B</vt:lpwstr>
  </property>
</Properties>
</file>